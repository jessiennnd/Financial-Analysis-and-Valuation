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DELL\Videos\"/>
    </mc:Choice>
  </mc:AlternateContent>
  <xr:revisionPtr revIDLastSave="0" documentId="8_{62CE565E-189E-40FC-A305-C981243AC1A5}" xr6:coauthVersionLast="47" xr6:coauthVersionMax="47" xr10:uidLastSave="{00000000-0000-0000-0000-000000000000}"/>
  <bookViews>
    <workbookView xWindow="-110" yWindow="-110" windowWidth="19420" windowHeight="10300" firstSheet="24" activeTab="24" xr2:uid="{F8285F54-0138-4587-9F36-372EA077C76D}"/>
  </bookViews>
  <sheets>
    <sheet name="Table of contents" sheetId="51" r:id="rId1"/>
    <sheet name="Raw Data" sheetId="16" r:id="rId2"/>
    <sheet name="Data Clean" sheetId="13" r:id="rId3"/>
    <sheet name="Financial Ratios" sheetId="9" r:id="rId4"/>
    <sheet name="Depreciation Calculation" sheetId="7" r:id="rId5"/>
    <sheet name="Revenue Detail" sheetId="4" r:id="rId6"/>
    <sheet name="Assumptions" sheetId="5" r:id="rId7"/>
    <sheet name="FS" sheetId="14" r:id="rId8"/>
    <sheet name="WACC &amp; EBITDA Multiply" sheetId="6" r:id="rId9"/>
    <sheet name="Beta" sheetId="8" r:id="rId10"/>
    <sheet name="PE Valuation" sheetId="24" r:id="rId11"/>
    <sheet name="Relative Valuation" sheetId="25" r:id="rId12"/>
    <sheet name="DDM Valuation" sheetId="26" r:id="rId13"/>
    <sheet name="DDM Tornado" sheetId="49" r:id="rId14"/>
    <sheet name="DDM Scenario Analysis" sheetId="47" r:id="rId15"/>
    <sheet name="DCF" sheetId="11" r:id="rId16"/>
    <sheet name="DCF Scenario Analysis" sheetId="42" r:id="rId17"/>
    <sheet name="DCF Tornado" sheetId="37" r:id="rId18"/>
    <sheet name="APV" sheetId="10" r:id="rId19"/>
    <sheet name="APV Scencario Analysis" sheetId="50" r:id="rId20"/>
    <sheet name="APV Tornado" sheetId="45" r:id="rId21"/>
    <sheet name="Scenario Summary" sheetId="28" state="hidden" r:id="rId22"/>
    <sheet name="Valuation Summary" sheetId="15" r:id="rId23"/>
    <sheet name="Sensitivity" sheetId="12" r:id="rId24"/>
    <sheet name="Z-score" sheetId="18" r:id="rId25"/>
    <sheet name="VAR" sheetId="20" r:id="rId26"/>
    <sheet name="Dividend" sheetId="52" r:id="rId27"/>
  </sheets>
  <externalReferences>
    <externalReference r:id="rId28"/>
  </externalReferences>
  <definedNames>
    <definedName name="_01_11_2001">#N/A</definedName>
    <definedName name="_1">#N/A</definedName>
    <definedName name="_1000A01">#N/A</definedName>
    <definedName name="_2">#N/A</definedName>
    <definedName name="A01_">#N/A</definedName>
    <definedName name="A01AC">#N/A</definedName>
    <definedName name="A01CAT">#N/A</definedName>
    <definedName name="A01CODE">#N/A</definedName>
    <definedName name="A01DATA">#N/A</definedName>
    <definedName name="A01MI">#N/A</definedName>
    <definedName name="A01TO">#N/A</definedName>
    <definedName name="ALPIN">#N/A</definedName>
    <definedName name="ALPJYOU">#N/A</definedName>
    <definedName name="ALPTOI">#N/A</definedName>
    <definedName name="CATIN">#N/A</definedName>
    <definedName name="CATJYOU">#N/A</definedName>
    <definedName name="CATREC">#N/A</definedName>
    <definedName name="CATSYU">#N/A</definedName>
    <definedName name="chung">66</definedName>
    <definedName name="CLVC3">0.1</definedName>
    <definedName name="dam">78000</definedName>
    <definedName name="Document_array">{"Book1"}</definedName>
    <definedName name="Document_array_1">{"Book1"}</definedName>
    <definedName name="Document_array_2">{"Book1"}</definedName>
    <definedName name="Heä_soá_laép_xaø_H">1.7</definedName>
    <definedName name="hoc">55000</definedName>
    <definedName name="HSCT3">0.1</definedName>
    <definedName name="HSDN">2.5</definedName>
    <definedName name="Intangible_Fixed_Assets" localSheetId="6">Assumptions!#REF!</definedName>
    <definedName name="khac">2</definedName>
    <definedName name="KhuyenmaiUPS">"AutoShape 264"</definedName>
    <definedName name="Payment_Date">NA()</definedName>
    <definedName name="RECOUT">#N/A</definedName>
    <definedName name="ST_TH2_131">3</definedName>
    <definedName name="Tangible_Fixed_Assets" localSheetId="6">Assumptions!#REF!</definedName>
    <definedName name="TaxTV">10%</definedName>
    <definedName name="TaxXL">5%</definedName>
    <definedName name="thue">6</definedName>
    <definedName name="TKYB">"TKYB"</definedName>
    <definedName name="Total_Payment">NA()</definedName>
    <definedName name="valuevx">42.314159</definedName>
    <definedName name="XCCT">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9" l="1"/>
  <c r="D5" i="14"/>
  <c r="E20" i="9"/>
  <c r="H15" i="20"/>
  <c r="H28"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2" i="20"/>
  <c r="I96" i="14"/>
  <c r="I97" i="14"/>
  <c r="I98" i="14"/>
  <c r="E25" i="9"/>
  <c r="B2" i="18"/>
  <c r="L2" i="18"/>
  <c r="B123" i="14"/>
  <c r="C9" i="25"/>
  <c r="B5" i="11"/>
  <c r="F5" i="10"/>
  <c r="K4" i="26"/>
  <c r="B4" i="11"/>
  <c r="O2" i="8"/>
  <c r="N2" i="8"/>
  <c r="F19" i="10"/>
  <c r="E6" i="11"/>
  <c r="F17" i="37"/>
  <c r="N36" i="24"/>
  <c r="B16" i="24"/>
  <c r="E12" i="15"/>
  <c r="D9" i="12"/>
  <c r="C21" i="45"/>
  <c r="C20" i="45"/>
  <c r="C19" i="45"/>
  <c r="G58" i="10"/>
  <c r="H58" i="10" s="1"/>
  <c r="E58" i="10"/>
  <c r="D58" i="10" s="1"/>
  <c r="G42" i="10"/>
  <c r="H42" i="10" s="1"/>
  <c r="E42" i="10"/>
  <c r="D42" i="10" s="1"/>
  <c r="C17" i="49" l="1"/>
  <c r="F13" i="25"/>
  <c r="C18" i="49" l="1"/>
  <c r="C19" i="49"/>
  <c r="E19" i="49"/>
  <c r="E18" i="49"/>
  <c r="E17" i="49"/>
  <c r="D19" i="49"/>
  <c r="D18" i="49"/>
  <c r="D17" i="49"/>
  <c r="G17" i="49"/>
  <c r="F17" i="49"/>
  <c r="H19" i="49"/>
  <c r="D24" i="49" s="1"/>
  <c r="H18" i="49"/>
  <c r="H17" i="49"/>
  <c r="G19" i="49"/>
  <c r="G18" i="49"/>
  <c r="F19" i="49"/>
  <c r="F18" i="49"/>
  <c r="C23" i="49" s="1"/>
  <c r="C24" i="49" l="1"/>
  <c r="D22" i="49"/>
  <c r="I18" i="49"/>
  <c r="D23" i="49"/>
  <c r="I17" i="49"/>
  <c r="C22" i="49"/>
  <c r="I19" i="49"/>
  <c r="B4" i="6"/>
  <c r="H21" i="45"/>
  <c r="H20" i="45"/>
  <c r="H19" i="45"/>
  <c r="G21" i="45"/>
  <c r="G20" i="45"/>
  <c r="I20" i="45" s="1"/>
  <c r="G19" i="45"/>
  <c r="F21" i="45"/>
  <c r="F20" i="45"/>
  <c r="F19" i="45"/>
  <c r="D24" i="45" s="1"/>
  <c r="E21" i="45"/>
  <c r="E20" i="45"/>
  <c r="E19" i="45"/>
  <c r="D21" i="45"/>
  <c r="D20" i="45"/>
  <c r="D19" i="45"/>
  <c r="I17" i="37"/>
  <c r="H17" i="37"/>
  <c r="H18" i="37"/>
  <c r="H19" i="37"/>
  <c r="G19" i="37"/>
  <c r="G18" i="37"/>
  <c r="G17" i="37"/>
  <c r="C22" i="37"/>
  <c r="E19" i="37"/>
  <c r="E18" i="37"/>
  <c r="E17" i="37"/>
  <c r="D19" i="37"/>
  <c r="D18" i="37"/>
  <c r="D17" i="37"/>
  <c r="E34" i="8"/>
  <c r="E37" i="8" s="1"/>
  <c r="J15" i="20"/>
  <c r="J12" i="20"/>
  <c r="N14" i="20"/>
  <c r="N11" i="20"/>
  <c r="H2" i="20"/>
  <c r="D2" i="20"/>
  <c r="I2" i="20"/>
  <c r="J5" i="20" s="1"/>
  <c r="J8" i="20" s="1"/>
  <c r="L5" i="20" s="1"/>
  <c r="D3" i="20"/>
  <c r="D4" i="20"/>
  <c r="I4" i="20"/>
  <c r="H5" i="20" s="1"/>
  <c r="D5" i="20"/>
  <c r="D6" i="20"/>
  <c r="D7" i="20"/>
  <c r="I7" i="20"/>
  <c r="H8" i="20" s="1"/>
  <c r="D8" i="20"/>
  <c r="D9" i="20"/>
  <c r="D10" i="20"/>
  <c r="D11" i="20"/>
  <c r="I11" i="20"/>
  <c r="D12" i="20"/>
  <c r="D13" i="20"/>
  <c r="D14" i="20"/>
  <c r="I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D95" i="20"/>
  <c r="D96" i="20"/>
  <c r="D97" i="20"/>
  <c r="D98" i="20"/>
  <c r="D99" i="20"/>
  <c r="D100" i="20"/>
  <c r="D101" i="20"/>
  <c r="D102" i="20"/>
  <c r="D103" i="20"/>
  <c r="D104" i="20"/>
  <c r="D105" i="20"/>
  <c r="D106" i="20"/>
  <c r="D107" i="20"/>
  <c r="D108" i="20"/>
  <c r="D109" i="20"/>
  <c r="D110" i="20"/>
  <c r="D111" i="20"/>
  <c r="D112" i="20"/>
  <c r="D113" i="20"/>
  <c r="D114" i="20"/>
  <c r="D115" i="20"/>
  <c r="D116" i="20"/>
  <c r="D117" i="20"/>
  <c r="D118"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18" i="20"/>
  <c r="D219" i="20"/>
  <c r="D220" i="20"/>
  <c r="D221" i="20"/>
  <c r="D2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D266" i="20"/>
  <c r="D267" i="20"/>
  <c r="D268" i="20"/>
  <c r="D269" i="20"/>
  <c r="D270" i="20"/>
  <c r="D271" i="20"/>
  <c r="D272" i="20"/>
  <c r="D273" i="20"/>
  <c r="D274" i="20"/>
  <c r="D275" i="20"/>
  <c r="D276" i="20"/>
  <c r="D277" i="20"/>
  <c r="D278" i="20"/>
  <c r="D279" i="20"/>
  <c r="D280" i="20"/>
  <c r="D281" i="20"/>
  <c r="D282" i="20"/>
  <c r="D283" i="20"/>
  <c r="D284" i="20"/>
  <c r="D285" i="20"/>
  <c r="D286" i="20"/>
  <c r="D287" i="20"/>
  <c r="D288" i="20"/>
  <c r="D289" i="20"/>
  <c r="D290" i="20"/>
  <c r="D291" i="20"/>
  <c r="D292" i="20"/>
  <c r="D293" i="20"/>
  <c r="D294" i="20"/>
  <c r="D295" i="20"/>
  <c r="D296" i="20"/>
  <c r="D297" i="20"/>
  <c r="D298" i="20"/>
  <c r="D299" i="20"/>
  <c r="D300" i="20"/>
  <c r="D301" i="20"/>
  <c r="D302" i="20"/>
  <c r="D303" i="20"/>
  <c r="D304" i="20"/>
  <c r="D305" i="20"/>
  <c r="D306" i="20"/>
  <c r="D307" i="20"/>
  <c r="D308" i="20"/>
  <c r="D309" i="20"/>
  <c r="D310" i="20"/>
  <c r="D311" i="20"/>
  <c r="D312" i="20"/>
  <c r="D313" i="20"/>
  <c r="D314" i="20"/>
  <c r="D315" i="20"/>
  <c r="D316" i="20"/>
  <c r="D317" i="20"/>
  <c r="D318" i="20"/>
  <c r="D319" i="20"/>
  <c r="D320" i="20"/>
  <c r="D321" i="20"/>
  <c r="D322" i="20"/>
  <c r="D323" i="20"/>
  <c r="D324" i="20"/>
  <c r="D325" i="20"/>
  <c r="D326" i="20"/>
  <c r="D327" i="20"/>
  <c r="D328" i="20"/>
  <c r="D329" i="20"/>
  <c r="D330" i="20"/>
  <c r="D331" i="20"/>
  <c r="D332" i="20"/>
  <c r="D333" i="20"/>
  <c r="D334" i="20"/>
  <c r="D335" i="20"/>
  <c r="D336"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421" i="20"/>
  <c r="D422" i="20"/>
  <c r="D423" i="20"/>
  <c r="D424" i="20"/>
  <c r="D425" i="20"/>
  <c r="D426" i="20"/>
  <c r="D427" i="20"/>
  <c r="D428" i="20"/>
  <c r="D429" i="20"/>
  <c r="D430" i="20"/>
  <c r="D431" i="20"/>
  <c r="D432" i="20"/>
  <c r="D433" i="20"/>
  <c r="D434" i="20"/>
  <c r="D435" i="20"/>
  <c r="D436" i="20"/>
  <c r="D437" i="20"/>
  <c r="D438" i="20"/>
  <c r="D439" i="20"/>
  <c r="D440" i="20"/>
  <c r="D441" i="20"/>
  <c r="D442" i="20"/>
  <c r="D443" i="20"/>
  <c r="D444" i="20"/>
  <c r="D445" i="20"/>
  <c r="D446" i="20"/>
  <c r="D447" i="20"/>
  <c r="D448" i="20"/>
  <c r="D449" i="20"/>
  <c r="D450" i="20"/>
  <c r="D451" i="20"/>
  <c r="D452" i="20"/>
  <c r="D453" i="20"/>
  <c r="D454" i="20"/>
  <c r="D455" i="20"/>
  <c r="D456" i="20"/>
  <c r="D457" i="20"/>
  <c r="D458" i="20"/>
  <c r="D459" i="20"/>
  <c r="D460" i="20"/>
  <c r="D461" i="20"/>
  <c r="D462" i="20"/>
  <c r="D463" i="20"/>
  <c r="D464" i="20"/>
  <c r="D465" i="20"/>
  <c r="D466" i="20"/>
  <c r="D467" i="20"/>
  <c r="D468" i="20"/>
  <c r="D469" i="20"/>
  <c r="D470" i="20"/>
  <c r="D471" i="20"/>
  <c r="D472" i="20"/>
  <c r="D473" i="20"/>
  <c r="D474" i="20"/>
  <c r="D475" i="20"/>
  <c r="D476" i="20"/>
  <c r="D477" i="20"/>
  <c r="D478" i="20"/>
  <c r="D479" i="20"/>
  <c r="D480" i="20"/>
  <c r="D481" i="20"/>
  <c r="D482" i="20"/>
  <c r="D483" i="20"/>
  <c r="D484" i="20"/>
  <c r="D485" i="20"/>
  <c r="D486" i="20"/>
  <c r="D487" i="20"/>
  <c r="D488" i="20"/>
  <c r="D489" i="20"/>
  <c r="D490" i="20"/>
  <c r="D491" i="20"/>
  <c r="D492" i="20"/>
  <c r="D493" i="20"/>
  <c r="D494" i="20"/>
  <c r="D495" i="20"/>
  <c r="D496" i="20"/>
  <c r="D497" i="20"/>
  <c r="D498" i="20"/>
  <c r="D499" i="20"/>
  <c r="D500" i="20"/>
  <c r="D501" i="20"/>
  <c r="D502" i="20"/>
  <c r="D503" i="20"/>
  <c r="D504" i="20"/>
  <c r="D505" i="20"/>
  <c r="D506" i="20"/>
  <c r="D507" i="20"/>
  <c r="D508" i="20"/>
  <c r="D509" i="20"/>
  <c r="D510" i="20"/>
  <c r="D511" i="20"/>
  <c r="D512" i="20"/>
  <c r="D513" i="20"/>
  <c r="D514" i="20"/>
  <c r="D515" i="20"/>
  <c r="D516" i="20"/>
  <c r="D517" i="20"/>
  <c r="D518" i="20"/>
  <c r="D519" i="20"/>
  <c r="D520" i="20"/>
  <c r="D521" i="20"/>
  <c r="D522" i="20"/>
  <c r="D523" i="20"/>
  <c r="D524" i="20"/>
  <c r="D525" i="20"/>
  <c r="D526" i="20"/>
  <c r="D527" i="20"/>
  <c r="D528" i="20"/>
  <c r="D529" i="20"/>
  <c r="D530" i="20"/>
  <c r="D531" i="20"/>
  <c r="D532" i="20"/>
  <c r="D533" i="20"/>
  <c r="D534" i="20"/>
  <c r="D535" i="20"/>
  <c r="D536" i="20"/>
  <c r="D537" i="20"/>
  <c r="D538" i="20"/>
  <c r="D539" i="20"/>
  <c r="D540" i="20"/>
  <c r="D541" i="20"/>
  <c r="D542" i="20"/>
  <c r="D543" i="20"/>
  <c r="D544" i="20"/>
  <c r="D545" i="20"/>
  <c r="D546" i="20"/>
  <c r="D547" i="20"/>
  <c r="D548" i="20"/>
  <c r="D549" i="20"/>
  <c r="D550" i="20"/>
  <c r="D551" i="20"/>
  <c r="D552" i="20"/>
  <c r="D553" i="20"/>
  <c r="D554" i="20"/>
  <c r="D555" i="20"/>
  <c r="D556" i="20"/>
  <c r="D557" i="20"/>
  <c r="D558" i="20"/>
  <c r="D559" i="20"/>
  <c r="D560" i="20"/>
  <c r="D561" i="20"/>
  <c r="D562" i="20"/>
  <c r="D563" i="20"/>
  <c r="D564" i="20"/>
  <c r="D565" i="20"/>
  <c r="D566" i="20"/>
  <c r="D567" i="20"/>
  <c r="D568" i="20"/>
  <c r="D569" i="20"/>
  <c r="D570" i="20"/>
  <c r="D571" i="20"/>
  <c r="D572" i="20"/>
  <c r="D573" i="20"/>
  <c r="D574" i="20"/>
  <c r="D575" i="20"/>
  <c r="D576" i="20"/>
  <c r="D577" i="20"/>
  <c r="D578" i="20"/>
  <c r="D579" i="20"/>
  <c r="D580" i="20"/>
  <c r="D581" i="20"/>
  <c r="D582" i="20"/>
  <c r="D583" i="20"/>
  <c r="D584" i="20"/>
  <c r="D585" i="20"/>
  <c r="D586" i="20"/>
  <c r="D587" i="20"/>
  <c r="D588" i="20"/>
  <c r="D589" i="20"/>
  <c r="D590" i="20"/>
  <c r="D591" i="20"/>
  <c r="D592" i="20"/>
  <c r="D593" i="20"/>
  <c r="D594" i="20"/>
  <c r="D595" i="20"/>
  <c r="D596" i="20"/>
  <c r="D597" i="20"/>
  <c r="D598" i="20"/>
  <c r="D599" i="20"/>
  <c r="D600" i="20"/>
  <c r="D601" i="20"/>
  <c r="D602" i="20"/>
  <c r="D603" i="20"/>
  <c r="D604" i="20"/>
  <c r="D605" i="20"/>
  <c r="D606" i="20"/>
  <c r="D607" i="20"/>
  <c r="D608" i="20"/>
  <c r="D609" i="20"/>
  <c r="D610" i="20"/>
  <c r="D611" i="20"/>
  <c r="D612" i="20"/>
  <c r="D613" i="20"/>
  <c r="D614" i="20"/>
  <c r="D615" i="20"/>
  <c r="D616" i="20"/>
  <c r="D617" i="20"/>
  <c r="D618" i="20"/>
  <c r="D619" i="20"/>
  <c r="D620" i="20"/>
  <c r="D621" i="20"/>
  <c r="D622" i="20"/>
  <c r="D623" i="20"/>
  <c r="D624" i="20"/>
  <c r="D625" i="20"/>
  <c r="D626" i="20"/>
  <c r="D627" i="20"/>
  <c r="D628" i="20"/>
  <c r="D629" i="20"/>
  <c r="D630" i="20"/>
  <c r="D631" i="20"/>
  <c r="D632" i="20"/>
  <c r="D633" i="20"/>
  <c r="D634" i="20"/>
  <c r="D635" i="20"/>
  <c r="D636" i="20"/>
  <c r="D637" i="20"/>
  <c r="D638" i="20"/>
  <c r="D639" i="20"/>
  <c r="D640" i="20"/>
  <c r="D641" i="20"/>
  <c r="D642" i="20"/>
  <c r="D643" i="20"/>
  <c r="D644" i="20"/>
  <c r="D645" i="20"/>
  <c r="D646" i="20"/>
  <c r="D647" i="20"/>
  <c r="D648" i="20"/>
  <c r="D649" i="20"/>
  <c r="D650" i="20"/>
  <c r="D651" i="20"/>
  <c r="D652" i="20"/>
  <c r="D653" i="20"/>
  <c r="D654" i="20"/>
  <c r="D655" i="20"/>
  <c r="D656" i="20"/>
  <c r="D657" i="20"/>
  <c r="D658" i="20"/>
  <c r="D659" i="20"/>
  <c r="D660" i="20"/>
  <c r="D661" i="20"/>
  <c r="D662" i="20"/>
  <c r="D663" i="20"/>
  <c r="D664" i="20"/>
  <c r="D665" i="20"/>
  <c r="D666" i="20"/>
  <c r="D667" i="20"/>
  <c r="D668" i="20"/>
  <c r="D669" i="20"/>
  <c r="D670" i="20"/>
  <c r="D671" i="20"/>
  <c r="D672" i="20"/>
  <c r="D673" i="20"/>
  <c r="D674" i="20"/>
  <c r="D675" i="20"/>
  <c r="D676" i="20"/>
  <c r="D677" i="20"/>
  <c r="D678" i="20"/>
  <c r="D679" i="20"/>
  <c r="D680" i="20"/>
  <c r="D681" i="20"/>
  <c r="D682" i="20"/>
  <c r="D683" i="20"/>
  <c r="D684" i="20"/>
  <c r="D685" i="20"/>
  <c r="D686" i="20"/>
  <c r="D687" i="20"/>
  <c r="D688" i="20"/>
  <c r="D689" i="20"/>
  <c r="D690" i="20"/>
  <c r="D691" i="20"/>
  <c r="D692" i="20"/>
  <c r="D693" i="20"/>
  <c r="D694" i="20"/>
  <c r="D695" i="20"/>
  <c r="D696" i="20"/>
  <c r="D697" i="20"/>
  <c r="D698" i="20"/>
  <c r="D699" i="20"/>
  <c r="D700" i="20"/>
  <c r="D701" i="20"/>
  <c r="D702" i="20"/>
  <c r="D703" i="20"/>
  <c r="D704" i="20"/>
  <c r="D705" i="20"/>
  <c r="D706" i="20"/>
  <c r="D707" i="20"/>
  <c r="D708" i="20"/>
  <c r="D709" i="20"/>
  <c r="D710" i="20"/>
  <c r="D711" i="20"/>
  <c r="D712" i="20"/>
  <c r="D713" i="20"/>
  <c r="D714" i="20"/>
  <c r="D715" i="20"/>
  <c r="D716" i="20"/>
  <c r="D717" i="20"/>
  <c r="D718" i="20"/>
  <c r="D719" i="20"/>
  <c r="D720" i="20"/>
  <c r="D721" i="20"/>
  <c r="D722" i="20"/>
  <c r="D723" i="20"/>
  <c r="D724" i="20"/>
  <c r="D725" i="20"/>
  <c r="D726" i="20"/>
  <c r="D727" i="20"/>
  <c r="D728" i="20"/>
  <c r="D729" i="20"/>
  <c r="D730" i="20"/>
  <c r="D731" i="20"/>
  <c r="D732" i="20"/>
  <c r="D733" i="20"/>
  <c r="D734" i="20"/>
  <c r="D735" i="20"/>
  <c r="D736" i="20"/>
  <c r="D737" i="20"/>
  <c r="D738" i="20"/>
  <c r="D739" i="20"/>
  <c r="D740" i="20"/>
  <c r="D741" i="20"/>
  <c r="D742" i="20"/>
  <c r="D743" i="20"/>
  <c r="D744" i="20"/>
  <c r="D745" i="20"/>
  <c r="D746" i="20"/>
  <c r="D747" i="20"/>
  <c r="D748" i="20"/>
  <c r="D749" i="20"/>
  <c r="D750" i="20"/>
  <c r="D751" i="20"/>
  <c r="D752" i="20"/>
  <c r="D753" i="20"/>
  <c r="D754" i="20"/>
  <c r="D755" i="20"/>
  <c r="D756" i="20"/>
  <c r="D757" i="20"/>
  <c r="D758" i="20"/>
  <c r="D759" i="20"/>
  <c r="D760" i="20"/>
  <c r="D761" i="20"/>
  <c r="D762" i="20"/>
  <c r="D763" i="20"/>
  <c r="D764" i="20"/>
  <c r="D765" i="20"/>
  <c r="D766" i="20"/>
  <c r="D767" i="20"/>
  <c r="D768" i="20"/>
  <c r="D769" i="20"/>
  <c r="D770" i="20"/>
  <c r="D771" i="20"/>
  <c r="D772" i="20"/>
  <c r="D773" i="20"/>
  <c r="D774" i="20"/>
  <c r="D775" i="20"/>
  <c r="D776" i="20"/>
  <c r="D777" i="20"/>
  <c r="D778" i="20"/>
  <c r="D779" i="20"/>
  <c r="D780" i="20"/>
  <c r="D781" i="20"/>
  <c r="D782" i="20"/>
  <c r="D783" i="20"/>
  <c r="D784" i="20"/>
  <c r="D785" i="20"/>
  <c r="D786" i="20"/>
  <c r="D787" i="20"/>
  <c r="D788" i="20"/>
  <c r="D789" i="20"/>
  <c r="D790" i="20"/>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D829" i="20"/>
  <c r="D830" i="20"/>
  <c r="D831" i="20"/>
  <c r="D832" i="20"/>
  <c r="D833" i="20"/>
  <c r="D834" i="20"/>
  <c r="D835" i="20"/>
  <c r="D836" i="20"/>
  <c r="D837" i="20"/>
  <c r="D838" i="20"/>
  <c r="D839" i="20"/>
  <c r="D840" i="20"/>
  <c r="D841" i="20"/>
  <c r="D842" i="20"/>
  <c r="D843" i="20"/>
  <c r="D844" i="20"/>
  <c r="D845" i="20"/>
  <c r="D846" i="20"/>
  <c r="D847" i="20"/>
  <c r="D848" i="20"/>
  <c r="D849" i="20"/>
  <c r="D850" i="20"/>
  <c r="D851" i="20"/>
  <c r="D852" i="20"/>
  <c r="D853" i="20"/>
  <c r="D854" i="20"/>
  <c r="D855" i="20"/>
  <c r="D856" i="20"/>
  <c r="D857" i="20"/>
  <c r="D858" i="20"/>
  <c r="D859" i="20"/>
  <c r="D860" i="20"/>
  <c r="D861" i="20"/>
  <c r="D862" i="20"/>
  <c r="D863" i="20"/>
  <c r="D864" i="20"/>
  <c r="D865" i="20"/>
  <c r="D866" i="20"/>
  <c r="D867" i="20"/>
  <c r="D868" i="20"/>
  <c r="D869" i="20"/>
  <c r="D870" i="20"/>
  <c r="D871" i="20"/>
  <c r="D872" i="20"/>
  <c r="D873" i="20"/>
  <c r="D874" i="20"/>
  <c r="D875" i="20"/>
  <c r="D876" i="20"/>
  <c r="D877" i="20"/>
  <c r="D878" i="20"/>
  <c r="D879" i="20"/>
  <c r="D880" i="20"/>
  <c r="D881" i="20"/>
  <c r="D882" i="20"/>
  <c r="D883" i="20"/>
  <c r="D884" i="20"/>
  <c r="D885" i="20"/>
  <c r="D886" i="20"/>
  <c r="D887" i="20"/>
  <c r="D888" i="20"/>
  <c r="D889" i="20"/>
  <c r="D890" i="20"/>
  <c r="D891" i="20"/>
  <c r="D892" i="20"/>
  <c r="D893" i="20"/>
  <c r="D894" i="20"/>
  <c r="D895" i="20"/>
  <c r="D896" i="20"/>
  <c r="D897" i="20"/>
  <c r="D898" i="20"/>
  <c r="D899" i="20"/>
  <c r="D900" i="20"/>
  <c r="D901" i="20"/>
  <c r="D902" i="20"/>
  <c r="D903" i="20"/>
  <c r="D904" i="20"/>
  <c r="D905" i="20"/>
  <c r="D906" i="20"/>
  <c r="D907" i="20"/>
  <c r="D908" i="20"/>
  <c r="D909" i="20"/>
  <c r="D910" i="20"/>
  <c r="D911" i="20"/>
  <c r="D912" i="20"/>
  <c r="D913" i="20"/>
  <c r="D914" i="20"/>
  <c r="D915" i="20"/>
  <c r="D916" i="20"/>
  <c r="D917" i="20"/>
  <c r="D918" i="20"/>
  <c r="D919" i="20"/>
  <c r="D920" i="20"/>
  <c r="D921" i="20"/>
  <c r="D922" i="20"/>
  <c r="D923" i="20"/>
  <c r="D924" i="20"/>
  <c r="D925" i="20"/>
  <c r="D926" i="20"/>
  <c r="D927" i="20"/>
  <c r="D928" i="20"/>
  <c r="D929" i="20"/>
  <c r="D930" i="20"/>
  <c r="D931" i="20"/>
  <c r="D932" i="20"/>
  <c r="D933" i="20"/>
  <c r="D934" i="20"/>
  <c r="D935" i="20"/>
  <c r="D936" i="20"/>
  <c r="D937" i="20"/>
  <c r="D938" i="20"/>
  <c r="D939" i="20"/>
  <c r="D940" i="20"/>
  <c r="D941" i="20"/>
  <c r="D942" i="20"/>
  <c r="D943" i="20"/>
  <c r="D944" i="20"/>
  <c r="D945" i="20"/>
  <c r="D946" i="20"/>
  <c r="D947" i="20"/>
  <c r="D948" i="20"/>
  <c r="D949" i="20"/>
  <c r="D950" i="20"/>
  <c r="D951" i="20"/>
  <c r="D952" i="20"/>
  <c r="D953" i="20"/>
  <c r="D954" i="20"/>
  <c r="D955" i="20"/>
  <c r="D956" i="20"/>
  <c r="D957" i="20"/>
  <c r="D958" i="20"/>
  <c r="D959" i="20"/>
  <c r="D960" i="20"/>
  <c r="D961" i="20"/>
  <c r="D962" i="20"/>
  <c r="D963" i="20"/>
  <c r="D964" i="20"/>
  <c r="D965" i="20"/>
  <c r="D966" i="20"/>
  <c r="D967" i="20"/>
  <c r="D968" i="20"/>
  <c r="D969" i="20"/>
  <c r="D970" i="20"/>
  <c r="D971" i="20"/>
  <c r="D972" i="20"/>
  <c r="D973" i="20"/>
  <c r="D974" i="20"/>
  <c r="D975" i="20"/>
  <c r="D976" i="20"/>
  <c r="D977" i="20"/>
  <c r="D978" i="20"/>
  <c r="D979" i="20"/>
  <c r="D980" i="20"/>
  <c r="D981" i="20"/>
  <c r="D982" i="20"/>
  <c r="D983" i="20"/>
  <c r="D984" i="20"/>
  <c r="D985" i="20"/>
  <c r="D986" i="20"/>
  <c r="D987" i="20"/>
  <c r="D988" i="20"/>
  <c r="D989" i="20"/>
  <c r="D990" i="20"/>
  <c r="D991" i="20"/>
  <c r="D992" i="20"/>
  <c r="D993" i="20"/>
  <c r="D994" i="20"/>
  <c r="D995" i="20"/>
  <c r="D996" i="20"/>
  <c r="D997" i="20"/>
  <c r="D998" i="20"/>
  <c r="D999" i="20"/>
  <c r="D1000" i="20"/>
  <c r="D1001" i="20"/>
  <c r="I32" i="9"/>
  <c r="H32" i="9"/>
  <c r="G32" i="9"/>
  <c r="F32" i="9"/>
  <c r="E32" i="9"/>
  <c r="I17" i="20" l="1"/>
  <c r="H18" i="20" s="1"/>
  <c r="F2" i="20"/>
  <c r="F3" i="20" s="1"/>
  <c r="F4" i="20" s="1"/>
  <c r="F5" i="20" s="1"/>
  <c r="F6" i="20" s="1"/>
  <c r="F7" i="20" s="1"/>
  <c r="F8" i="20" s="1"/>
  <c r="F9" i="20" s="1"/>
  <c r="F10" i="20" s="1"/>
  <c r="F11" i="20" s="1"/>
  <c r="F12" i="20" s="1"/>
  <c r="F13" i="20" s="1"/>
  <c r="F14" i="20" s="1"/>
  <c r="F15" i="20" s="1"/>
  <c r="F16" i="20" s="1"/>
  <c r="F17" i="20" s="1"/>
  <c r="F18" i="20" s="1"/>
  <c r="F19" i="20" s="1"/>
  <c r="F20" i="20" s="1"/>
  <c r="F21" i="20" s="1"/>
  <c r="F22" i="20" s="1"/>
  <c r="F23" i="20" s="1"/>
  <c r="F24" i="20" s="1"/>
  <c r="F25" i="20" s="1"/>
  <c r="F26" i="20" s="1"/>
  <c r="F27" i="20" s="1"/>
  <c r="F28" i="20" s="1"/>
  <c r="F29" i="20" s="1"/>
  <c r="F30" i="20" s="1"/>
  <c r="F31" i="20" s="1"/>
  <c r="F32" i="20" s="1"/>
  <c r="F33" i="20" s="1"/>
  <c r="F34" i="20" s="1"/>
  <c r="F35" i="20" s="1"/>
  <c r="F36" i="20" s="1"/>
  <c r="F37" i="20" s="1"/>
  <c r="F38" i="20" s="1"/>
  <c r="F39" i="20" s="1"/>
  <c r="F40" i="20" s="1"/>
  <c r="F41" i="20" s="1"/>
  <c r="F42" i="20" s="1"/>
  <c r="F43" i="20" s="1"/>
  <c r="F44" i="20" s="1"/>
  <c r="F45" i="20" s="1"/>
  <c r="F46" i="20" s="1"/>
  <c r="F47" i="20" s="1"/>
  <c r="F48" i="20" s="1"/>
  <c r="F49" i="20" s="1"/>
  <c r="F50" i="20" s="1"/>
  <c r="F51" i="20" s="1"/>
  <c r="F52" i="20" s="1"/>
  <c r="H25" i="20"/>
  <c r="I19" i="37"/>
  <c r="I21" i="45"/>
  <c r="I18" i="37"/>
  <c r="I19" i="45"/>
  <c r="C24" i="45"/>
  <c r="H12" i="20"/>
  <c r="I20" i="20"/>
  <c r="H21" i="20" s="1"/>
  <c r="F29" i="8"/>
  <c r="F12" i="8"/>
  <c r="D25" i="45"/>
  <c r="D22" i="37"/>
  <c r="F18" i="37"/>
  <c r="D26" i="45"/>
  <c r="C25" i="45"/>
  <c r="C26" i="45"/>
  <c r="L8" i="20"/>
  <c r="M8" i="20"/>
  <c r="N5" i="20"/>
  <c r="N8" i="20" s="1"/>
  <c r="P5" i="20" s="1"/>
  <c r="P8" i="20" s="1"/>
  <c r="E35" i="8"/>
  <c r="I131" i="14"/>
  <c r="J131" i="14"/>
  <c r="K131" i="14"/>
  <c r="L131" i="14"/>
  <c r="M131" i="14"/>
  <c r="D21" i="8"/>
  <c r="D5" i="8" s="1"/>
  <c r="E21" i="8"/>
  <c r="B74" i="14"/>
  <c r="L6" i="18" s="1"/>
  <c r="B5" i="18" s="1"/>
  <c r="H11" i="24"/>
  <c r="N35" i="24" s="1"/>
  <c r="N37" i="24" s="1"/>
  <c r="G27" i="24"/>
  <c r="H27" i="24"/>
  <c r="I27" i="24"/>
  <c r="J27" i="24"/>
  <c r="K27" i="24"/>
  <c r="L27" i="24"/>
  <c r="M27" i="24"/>
  <c r="N27" i="24"/>
  <c r="F27" i="24"/>
  <c r="C29" i="24"/>
  <c r="D29" i="24"/>
  <c r="E29" i="24"/>
  <c r="F29" i="24"/>
  <c r="G29" i="24"/>
  <c r="H29" i="24"/>
  <c r="I29" i="24"/>
  <c r="J29" i="24"/>
  <c r="K29" i="24"/>
  <c r="L29" i="24"/>
  <c r="M29" i="24"/>
  <c r="N29" i="24"/>
  <c r="B29" i="24"/>
  <c r="G25" i="24"/>
  <c r="H25" i="24"/>
  <c r="I25" i="24"/>
  <c r="J25" i="24"/>
  <c r="K25" i="24"/>
  <c r="L25" i="24"/>
  <c r="M25" i="24"/>
  <c r="N25" i="24"/>
  <c r="F25" i="24"/>
  <c r="G23" i="24"/>
  <c r="H23" i="24"/>
  <c r="I23" i="24"/>
  <c r="J23" i="24"/>
  <c r="K23" i="24"/>
  <c r="L23" i="24"/>
  <c r="M23" i="24"/>
  <c r="N23" i="24"/>
  <c r="F23" i="24"/>
  <c r="B19" i="6"/>
  <c r="C3" i="25" s="1"/>
  <c r="C23" i="37" l="1"/>
  <c r="F19" i="37"/>
  <c r="D23" i="37"/>
  <c r="Q8" i="20"/>
  <c r="F53" i="20"/>
  <c r="F54" i="20" s="1"/>
  <c r="F55" i="20" s="1"/>
  <c r="F56" i="20" s="1"/>
  <c r="F57" i="20" s="1"/>
  <c r="F58" i="20" s="1"/>
  <c r="F59" i="20" s="1"/>
  <c r="F60" i="20" s="1"/>
  <c r="F61" i="20" s="1"/>
  <c r="F62" i="20" s="1"/>
  <c r="F63" i="20" s="1"/>
  <c r="F64" i="20" s="1"/>
  <c r="F65" i="20" s="1"/>
  <c r="F66" i="20" s="1"/>
  <c r="F67" i="20" s="1"/>
  <c r="F68" i="20" s="1"/>
  <c r="F69" i="20" s="1"/>
  <c r="F70" i="20" s="1"/>
  <c r="F71" i="20" s="1"/>
  <c r="F72" i="20" s="1"/>
  <c r="F73" i="20" s="1"/>
  <c r="F74" i="20" s="1"/>
  <c r="F75" i="20" s="1"/>
  <c r="F76" i="20" s="1"/>
  <c r="F77" i="20" s="1"/>
  <c r="F78" i="20" s="1"/>
  <c r="F79" i="20" s="1"/>
  <c r="F80" i="20" s="1"/>
  <c r="F81" i="20" s="1"/>
  <c r="F82" i="20" s="1"/>
  <c r="F83" i="20" s="1"/>
  <c r="F84" i="20" s="1"/>
  <c r="F85" i="20" s="1"/>
  <c r="F86" i="20" s="1"/>
  <c r="F87" i="20" s="1"/>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s="1"/>
  <c r="F117" i="20" s="1"/>
  <c r="F118" i="20" s="1"/>
  <c r="F119" i="20" s="1"/>
  <c r="F120" i="20" s="1"/>
  <c r="F121" i="20" s="1"/>
  <c r="F122" i="20" s="1"/>
  <c r="F123" i="20" s="1"/>
  <c r="F124" i="20" s="1"/>
  <c r="F125" i="20" s="1"/>
  <c r="F126" i="20" s="1"/>
  <c r="F127" i="20" s="1"/>
  <c r="F128" i="20" s="1"/>
  <c r="F129" i="20" s="1"/>
  <c r="F130" i="20" s="1"/>
  <c r="F131" i="20" s="1"/>
  <c r="F132" i="20" s="1"/>
  <c r="F133" i="20" s="1"/>
  <c r="F134" i="20" s="1"/>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F179" i="20" s="1"/>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F205" i="20" s="1"/>
  <c r="F206" i="20" s="1"/>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F266" i="20" s="1"/>
  <c r="F267" i="20" s="1"/>
  <c r="F268" i="20" s="1"/>
  <c r="F269" i="20" s="1"/>
  <c r="F270" i="20" s="1"/>
  <c r="F271" i="20" s="1"/>
  <c r="F272" i="20" s="1"/>
  <c r="F273" i="20" s="1"/>
  <c r="F274" i="20" s="1"/>
  <c r="F275" i="20" s="1"/>
  <c r="F276" i="20" s="1"/>
  <c r="F277" i="20" s="1"/>
  <c r="F278" i="20" s="1"/>
  <c r="F279" i="20" s="1"/>
  <c r="F280" i="20" s="1"/>
  <c r="F281" i="20" s="1"/>
  <c r="F282" i="20" s="1"/>
  <c r="F283" i="20" s="1"/>
  <c r="F284" i="20" s="1"/>
  <c r="F285" i="20" s="1"/>
  <c r="F286" i="20" s="1"/>
  <c r="F287" i="20" s="1"/>
  <c r="F288" i="20" s="1"/>
  <c r="F289" i="20" s="1"/>
  <c r="F290" i="20" s="1"/>
  <c r="F291" i="20" s="1"/>
  <c r="F292" i="20" s="1"/>
  <c r="F293" i="20" s="1"/>
  <c r="F294" i="20" s="1"/>
  <c r="F295" i="20" s="1"/>
  <c r="F296" i="20" s="1"/>
  <c r="F297" i="20" s="1"/>
  <c r="F298" i="20" s="1"/>
  <c r="F299" i="20" s="1"/>
  <c r="F300" i="20" s="1"/>
  <c r="F301" i="20" s="1"/>
  <c r="F302" i="20" s="1"/>
  <c r="F303" i="20" s="1"/>
  <c r="F304" i="20" s="1"/>
  <c r="F305" i="20" s="1"/>
  <c r="F306" i="20" s="1"/>
  <c r="F307" i="20" s="1"/>
  <c r="F308" i="20" s="1"/>
  <c r="F309" i="20" s="1"/>
  <c r="F310" i="20" s="1"/>
  <c r="F311" i="20" s="1"/>
  <c r="F312" i="20" s="1"/>
  <c r="F313" i="20" s="1"/>
  <c r="F314" i="20" s="1"/>
  <c r="F315" i="20" s="1"/>
  <c r="F316" i="20" s="1"/>
  <c r="F317" i="20" s="1"/>
  <c r="F318" i="20" s="1"/>
  <c r="F319" i="20" s="1"/>
  <c r="F320" i="20" s="1"/>
  <c r="F321" i="20" s="1"/>
  <c r="F322" i="20" s="1"/>
  <c r="F323" i="20" s="1"/>
  <c r="F324" i="20" s="1"/>
  <c r="F325" i="20" s="1"/>
  <c r="F326" i="20" s="1"/>
  <c r="F327" i="20" s="1"/>
  <c r="F328" i="20" s="1"/>
  <c r="F329" i="20" s="1"/>
  <c r="F330" i="20" s="1"/>
  <c r="F331" i="20" s="1"/>
  <c r="F332" i="20" s="1"/>
  <c r="F333" i="20" s="1"/>
  <c r="F334" i="20" s="1"/>
  <c r="F335" i="20" s="1"/>
  <c r="F336" i="20" s="1"/>
  <c r="F337" i="20" s="1"/>
  <c r="F338" i="20" s="1"/>
  <c r="F339" i="20" s="1"/>
  <c r="F340" i="20" s="1"/>
  <c r="F341" i="20" s="1"/>
  <c r="F342" i="20" s="1"/>
  <c r="F343" i="20" s="1"/>
  <c r="F344" i="20" s="1"/>
  <c r="F345" i="20" s="1"/>
  <c r="F346" i="20" s="1"/>
  <c r="F347" i="20" s="1"/>
  <c r="F348" i="20" s="1"/>
  <c r="F349" i="20" s="1"/>
  <c r="F350" i="20" s="1"/>
  <c r="F351" i="20" s="1"/>
  <c r="F352" i="20" s="1"/>
  <c r="F353" i="20" s="1"/>
  <c r="F354" i="20" s="1"/>
  <c r="F355" i="20" s="1"/>
  <c r="F356" i="20" s="1"/>
  <c r="F357" i="20" s="1"/>
  <c r="F358" i="20" s="1"/>
  <c r="F359" i="20" s="1"/>
  <c r="F360" i="20" s="1"/>
  <c r="F361" i="20" s="1"/>
  <c r="F362" i="20" s="1"/>
  <c r="F363" i="20" s="1"/>
  <c r="F364" i="20" s="1"/>
  <c r="F365" i="20" s="1"/>
  <c r="F366" i="20" s="1"/>
  <c r="F367" i="20" s="1"/>
  <c r="F368" i="20" s="1"/>
  <c r="F369" i="20" s="1"/>
  <c r="F370" i="20" s="1"/>
  <c r="F371" i="20" s="1"/>
  <c r="F372" i="20" s="1"/>
  <c r="F373" i="20" s="1"/>
  <c r="F374" i="20" s="1"/>
  <c r="F375" i="20" s="1"/>
  <c r="F376" i="20" s="1"/>
  <c r="F377" i="20" s="1"/>
  <c r="F378" i="20" s="1"/>
  <c r="F379" i="20" s="1"/>
  <c r="F380" i="20" s="1"/>
  <c r="F381" i="20" s="1"/>
  <c r="F382" i="20" s="1"/>
  <c r="F383" i="20" s="1"/>
  <c r="F384" i="20" s="1"/>
  <c r="F385" i="20" s="1"/>
  <c r="F386" i="20" s="1"/>
  <c r="F387" i="20" s="1"/>
  <c r="F388" i="20" s="1"/>
  <c r="F389" i="20" s="1"/>
  <c r="F390" i="20" s="1"/>
  <c r="F391" i="20" s="1"/>
  <c r="F392" i="20" s="1"/>
  <c r="F393" i="20" s="1"/>
  <c r="F394" i="20" s="1"/>
  <c r="F395" i="20" s="1"/>
  <c r="F396" i="20" s="1"/>
  <c r="F397" i="20" s="1"/>
  <c r="F398" i="20" s="1"/>
  <c r="F399" i="20" s="1"/>
  <c r="F400" i="20" s="1"/>
  <c r="F401" i="20" s="1"/>
  <c r="F402" i="20" s="1"/>
  <c r="F403" i="20" s="1"/>
  <c r="F404" i="20" s="1"/>
  <c r="F405" i="20" s="1"/>
  <c r="F406" i="20" s="1"/>
  <c r="F407" i="20" s="1"/>
  <c r="F408" i="20" s="1"/>
  <c r="F409" i="20" s="1"/>
  <c r="F410" i="20" s="1"/>
  <c r="F411" i="20" s="1"/>
  <c r="F412" i="20" s="1"/>
  <c r="F413" i="20" s="1"/>
  <c r="F414" i="20" s="1"/>
  <c r="F415" i="20" s="1"/>
  <c r="F416" i="20" s="1"/>
  <c r="F417" i="20" s="1"/>
  <c r="F418" i="20" s="1"/>
  <c r="F419" i="20" s="1"/>
  <c r="F420" i="20" s="1"/>
  <c r="F421" i="20" s="1"/>
  <c r="F422" i="20" s="1"/>
  <c r="F423" i="20" s="1"/>
  <c r="F424" i="20" s="1"/>
  <c r="F425" i="20" s="1"/>
  <c r="F426" i="20" s="1"/>
  <c r="F427" i="20" s="1"/>
  <c r="F428" i="20" s="1"/>
  <c r="F429" i="20" s="1"/>
  <c r="F430" i="20" s="1"/>
  <c r="F431" i="20" s="1"/>
  <c r="F432" i="20" s="1"/>
  <c r="F433" i="20" s="1"/>
  <c r="F434" i="20" s="1"/>
  <c r="F435" i="20" s="1"/>
  <c r="F436" i="20" s="1"/>
  <c r="F437" i="20" s="1"/>
  <c r="F438" i="20" s="1"/>
  <c r="F439" i="20" s="1"/>
  <c r="F440" i="20" s="1"/>
  <c r="F441" i="20" s="1"/>
  <c r="F442" i="20" s="1"/>
  <c r="F443" i="20" s="1"/>
  <c r="F444" i="20" s="1"/>
  <c r="F445" i="20" s="1"/>
  <c r="F446" i="20" s="1"/>
  <c r="F447" i="20" s="1"/>
  <c r="F448" i="20" s="1"/>
  <c r="F449" i="20" s="1"/>
  <c r="F450" i="20" s="1"/>
  <c r="F451" i="20" s="1"/>
  <c r="F452" i="20" s="1"/>
  <c r="F453" i="20" s="1"/>
  <c r="F454" i="20" s="1"/>
  <c r="F455" i="20" s="1"/>
  <c r="F456" i="20" s="1"/>
  <c r="F457" i="20" s="1"/>
  <c r="F458" i="20" s="1"/>
  <c r="F459" i="20" s="1"/>
  <c r="F460" i="20" s="1"/>
  <c r="F461" i="20" s="1"/>
  <c r="F462" i="20" s="1"/>
  <c r="F463" i="20" s="1"/>
  <c r="F464" i="20" s="1"/>
  <c r="F465" i="20" s="1"/>
  <c r="F466" i="20" s="1"/>
  <c r="F467" i="20" s="1"/>
  <c r="F468" i="20" s="1"/>
  <c r="F469" i="20" s="1"/>
  <c r="F470" i="20" s="1"/>
  <c r="F471" i="20" s="1"/>
  <c r="F472" i="20" s="1"/>
  <c r="F473" i="20" s="1"/>
  <c r="F474" i="20" s="1"/>
  <c r="F475" i="20" s="1"/>
  <c r="F476" i="20" s="1"/>
  <c r="F477" i="20" s="1"/>
  <c r="F478" i="20" s="1"/>
  <c r="F479" i="20" s="1"/>
  <c r="F480" i="20" s="1"/>
  <c r="F481" i="20" s="1"/>
  <c r="F482" i="20" s="1"/>
  <c r="F483" i="20" s="1"/>
  <c r="F484" i="20" s="1"/>
  <c r="F485" i="20" s="1"/>
  <c r="F486" i="20" s="1"/>
  <c r="F487" i="20" s="1"/>
  <c r="F488" i="20" s="1"/>
  <c r="F489" i="20" s="1"/>
  <c r="F490" i="20" s="1"/>
  <c r="F491" i="20" s="1"/>
  <c r="F492" i="20" s="1"/>
  <c r="F493" i="20" s="1"/>
  <c r="F494" i="20" s="1"/>
  <c r="F495" i="20" s="1"/>
  <c r="F496" i="20" s="1"/>
  <c r="F497" i="20" s="1"/>
  <c r="F498" i="20" s="1"/>
  <c r="F499" i="20" s="1"/>
  <c r="F500" i="20" s="1"/>
  <c r="F501" i="20" s="1"/>
  <c r="F502" i="20" s="1"/>
  <c r="F503" i="20" s="1"/>
  <c r="F504" i="20" s="1"/>
  <c r="F505" i="20" s="1"/>
  <c r="F506" i="20" s="1"/>
  <c r="F507" i="20" s="1"/>
  <c r="F508" i="20" s="1"/>
  <c r="F509" i="20" s="1"/>
  <c r="F510" i="20" s="1"/>
  <c r="F511" i="20" s="1"/>
  <c r="F512" i="20" s="1"/>
  <c r="F513" i="20" s="1"/>
  <c r="F514" i="20" s="1"/>
  <c r="F515" i="20" s="1"/>
  <c r="F516" i="20" s="1"/>
  <c r="F517" i="20" s="1"/>
  <c r="F518" i="20" s="1"/>
  <c r="F519" i="20" s="1"/>
  <c r="F520" i="20" s="1"/>
  <c r="F521" i="20" s="1"/>
  <c r="F522" i="20" s="1"/>
  <c r="F523" i="20" s="1"/>
  <c r="F524" i="20" s="1"/>
  <c r="F525" i="20" s="1"/>
  <c r="F526" i="20" s="1"/>
  <c r="F527" i="20" s="1"/>
  <c r="F528" i="20" s="1"/>
  <c r="F529" i="20" s="1"/>
  <c r="F530" i="20" s="1"/>
  <c r="F531" i="20" s="1"/>
  <c r="F532" i="20" s="1"/>
  <c r="F533" i="20" s="1"/>
  <c r="F534" i="20" s="1"/>
  <c r="F535" i="20" s="1"/>
  <c r="F536" i="20" s="1"/>
  <c r="F537" i="20" s="1"/>
  <c r="F538" i="20" s="1"/>
  <c r="F539" i="20" s="1"/>
  <c r="F540" i="20" s="1"/>
  <c r="F541" i="20" s="1"/>
  <c r="F542" i="20" s="1"/>
  <c r="F543" i="20" s="1"/>
  <c r="F544" i="20" s="1"/>
  <c r="F545" i="20" s="1"/>
  <c r="F546" i="20" s="1"/>
  <c r="F547" i="20" s="1"/>
  <c r="F548" i="20" s="1"/>
  <c r="F549" i="20" s="1"/>
  <c r="F550" i="20" s="1"/>
  <c r="F551" i="20" s="1"/>
  <c r="F552" i="20" s="1"/>
  <c r="F553" i="20" s="1"/>
  <c r="F554" i="20" s="1"/>
  <c r="F555" i="20" s="1"/>
  <c r="F556" i="20" s="1"/>
  <c r="F557" i="20" s="1"/>
  <c r="F558" i="20" s="1"/>
  <c r="F559" i="20" s="1"/>
  <c r="F560" i="20" s="1"/>
  <c r="F561" i="20" s="1"/>
  <c r="F562" i="20" s="1"/>
  <c r="F563" i="20" s="1"/>
  <c r="F564" i="20" s="1"/>
  <c r="F565" i="20" s="1"/>
  <c r="F566" i="20" s="1"/>
  <c r="F567" i="20" s="1"/>
  <c r="F568" i="20" s="1"/>
  <c r="F569" i="20" s="1"/>
  <c r="F570" i="20" s="1"/>
  <c r="F571" i="20" s="1"/>
  <c r="F572" i="20" s="1"/>
  <c r="F573" i="20" s="1"/>
  <c r="F574" i="20" s="1"/>
  <c r="F575" i="20" s="1"/>
  <c r="F576" i="20" s="1"/>
  <c r="F577" i="20" s="1"/>
  <c r="F578" i="20" s="1"/>
  <c r="F579" i="20" s="1"/>
  <c r="F580" i="20" s="1"/>
  <c r="F581" i="20" s="1"/>
  <c r="F582" i="20" s="1"/>
  <c r="F583" i="20" s="1"/>
  <c r="F584" i="20" s="1"/>
  <c r="F585" i="20" s="1"/>
  <c r="F586" i="20" s="1"/>
  <c r="F587" i="20" s="1"/>
  <c r="F588" i="20" s="1"/>
  <c r="F589" i="20" s="1"/>
  <c r="F590" i="20" s="1"/>
  <c r="F591" i="20" s="1"/>
  <c r="F592" i="20" s="1"/>
  <c r="F593" i="20" s="1"/>
  <c r="F594" i="20" s="1"/>
  <c r="F595" i="20" s="1"/>
  <c r="F596" i="20" s="1"/>
  <c r="F597" i="20" s="1"/>
  <c r="F598" i="20" s="1"/>
  <c r="F599" i="20" s="1"/>
  <c r="F600" i="20" s="1"/>
  <c r="F601" i="20" s="1"/>
  <c r="F602" i="20" s="1"/>
  <c r="F603" i="20" s="1"/>
  <c r="F604" i="20" s="1"/>
  <c r="F605" i="20" s="1"/>
  <c r="F606" i="20" s="1"/>
  <c r="F607" i="20" s="1"/>
  <c r="F608" i="20" s="1"/>
  <c r="F609" i="20" s="1"/>
  <c r="F610" i="20" s="1"/>
  <c r="F611" i="20" s="1"/>
  <c r="F612" i="20" s="1"/>
  <c r="F613" i="20" s="1"/>
  <c r="F614" i="20" s="1"/>
  <c r="F615" i="20" s="1"/>
  <c r="F616" i="20" s="1"/>
  <c r="F617" i="20" s="1"/>
  <c r="F618" i="20" s="1"/>
  <c r="F619" i="20" s="1"/>
  <c r="F620" i="20" s="1"/>
  <c r="F621" i="20" s="1"/>
  <c r="F622" i="20" s="1"/>
  <c r="F623" i="20" s="1"/>
  <c r="F624" i="20" s="1"/>
  <c r="F625" i="20" s="1"/>
  <c r="F626" i="20" s="1"/>
  <c r="F627" i="20" s="1"/>
  <c r="F628" i="20" s="1"/>
  <c r="F629" i="20" s="1"/>
  <c r="F630" i="20" s="1"/>
  <c r="F631" i="20" s="1"/>
  <c r="F632" i="20" s="1"/>
  <c r="F633" i="20" s="1"/>
  <c r="F634" i="20" s="1"/>
  <c r="F635" i="20" s="1"/>
  <c r="F636" i="20" s="1"/>
  <c r="F637" i="20" s="1"/>
  <c r="F638" i="20" s="1"/>
  <c r="F639" i="20" s="1"/>
  <c r="F640" i="20" s="1"/>
  <c r="F641" i="20" s="1"/>
  <c r="F642" i="20" s="1"/>
  <c r="F643" i="20" s="1"/>
  <c r="F644" i="20" s="1"/>
  <c r="F645" i="20" s="1"/>
  <c r="F646" i="20" s="1"/>
  <c r="F647" i="20" s="1"/>
  <c r="F648" i="20" s="1"/>
  <c r="F649" i="20" s="1"/>
  <c r="F650" i="20" s="1"/>
  <c r="F651" i="20" s="1"/>
  <c r="F652" i="20" s="1"/>
  <c r="F653" i="20" s="1"/>
  <c r="F654" i="20" s="1"/>
  <c r="F655" i="20" s="1"/>
  <c r="F656" i="20" s="1"/>
  <c r="F657" i="20" s="1"/>
  <c r="F658" i="20" s="1"/>
  <c r="F659" i="20" s="1"/>
  <c r="F660" i="20" s="1"/>
  <c r="F661" i="20" s="1"/>
  <c r="F662" i="20" s="1"/>
  <c r="F663" i="20" s="1"/>
  <c r="F664" i="20" s="1"/>
  <c r="F665" i="20" s="1"/>
  <c r="F666" i="20" s="1"/>
  <c r="F667" i="20" s="1"/>
  <c r="F668" i="20" s="1"/>
  <c r="F669" i="20" s="1"/>
  <c r="F670" i="20" s="1"/>
  <c r="F671" i="20" s="1"/>
  <c r="F672" i="20" s="1"/>
  <c r="F673" i="20" s="1"/>
  <c r="F674" i="20" s="1"/>
  <c r="F675" i="20" s="1"/>
  <c r="F676" i="20" s="1"/>
  <c r="F677" i="20" s="1"/>
  <c r="F678" i="20" s="1"/>
  <c r="F679" i="20" s="1"/>
  <c r="F680" i="20" s="1"/>
  <c r="F681" i="20" s="1"/>
  <c r="F682" i="20" s="1"/>
  <c r="F683" i="20" s="1"/>
  <c r="F684" i="20" s="1"/>
  <c r="F685" i="20" s="1"/>
  <c r="F686" i="20" s="1"/>
  <c r="F687" i="20" s="1"/>
  <c r="F688" i="20" s="1"/>
  <c r="F689" i="20" s="1"/>
  <c r="F690" i="20" s="1"/>
  <c r="F691" i="20" s="1"/>
  <c r="F692" i="20" s="1"/>
  <c r="F693" i="20" s="1"/>
  <c r="F694" i="20" s="1"/>
  <c r="F695" i="20" s="1"/>
  <c r="F696" i="20" s="1"/>
  <c r="F697" i="20" s="1"/>
  <c r="F698" i="20" s="1"/>
  <c r="F699" i="20" s="1"/>
  <c r="F700" i="20" s="1"/>
  <c r="F701" i="20" s="1"/>
  <c r="F702" i="20" s="1"/>
  <c r="F703" i="20" s="1"/>
  <c r="F704" i="20" s="1"/>
  <c r="F705" i="20" s="1"/>
  <c r="F706" i="20" s="1"/>
  <c r="F707" i="20" s="1"/>
  <c r="F708" i="20" s="1"/>
  <c r="F709" i="20" s="1"/>
  <c r="F710" i="20" s="1"/>
  <c r="F711" i="20" s="1"/>
  <c r="F712" i="20" s="1"/>
  <c r="F713" i="20" s="1"/>
  <c r="F714" i="20" s="1"/>
  <c r="F715" i="20" s="1"/>
  <c r="F716" i="20" s="1"/>
  <c r="F717" i="20" s="1"/>
  <c r="F718" i="20" s="1"/>
  <c r="F719" i="20" s="1"/>
  <c r="F720" i="20" s="1"/>
  <c r="F721" i="20" s="1"/>
  <c r="F722" i="20" s="1"/>
  <c r="F723" i="20" s="1"/>
  <c r="F724" i="20" s="1"/>
  <c r="F725" i="20" s="1"/>
  <c r="F726" i="20" s="1"/>
  <c r="F727" i="20" s="1"/>
  <c r="F728" i="20" s="1"/>
  <c r="F729" i="20" s="1"/>
  <c r="F730" i="20" s="1"/>
  <c r="F731" i="20" s="1"/>
  <c r="F732" i="20" s="1"/>
  <c r="F733" i="20" s="1"/>
  <c r="F734" i="20" s="1"/>
  <c r="F735" i="20" s="1"/>
  <c r="F736" i="20" s="1"/>
  <c r="F737" i="20" s="1"/>
  <c r="F738" i="20" s="1"/>
  <c r="F739" i="20" s="1"/>
  <c r="F740" i="20" s="1"/>
  <c r="F741" i="20" s="1"/>
  <c r="F742" i="20" s="1"/>
  <c r="F743" i="20" s="1"/>
  <c r="F744" i="20" s="1"/>
  <c r="F745" i="20" s="1"/>
  <c r="F746" i="20" s="1"/>
  <c r="F747" i="20" s="1"/>
  <c r="F748" i="20" s="1"/>
  <c r="F749" i="20" s="1"/>
  <c r="F750" i="20" s="1"/>
  <c r="F751" i="20" s="1"/>
  <c r="F752" i="20" s="1"/>
  <c r="F753" i="20" s="1"/>
  <c r="F754" i="20" s="1"/>
  <c r="F755" i="20" s="1"/>
  <c r="F756" i="20" s="1"/>
  <c r="F757" i="20" s="1"/>
  <c r="F758" i="20" s="1"/>
  <c r="F759" i="20" s="1"/>
  <c r="F760" i="20" s="1"/>
  <c r="F761" i="20" s="1"/>
  <c r="F762" i="20" s="1"/>
  <c r="F763" i="20" s="1"/>
  <c r="F764" i="20" s="1"/>
  <c r="F765" i="20" s="1"/>
  <c r="F766" i="20" s="1"/>
  <c r="F767" i="20" s="1"/>
  <c r="F768" i="20" s="1"/>
  <c r="F769" i="20" s="1"/>
  <c r="F770" i="20" s="1"/>
  <c r="F771" i="20" s="1"/>
  <c r="F772" i="20" s="1"/>
  <c r="F773" i="20" s="1"/>
  <c r="F774" i="20" s="1"/>
  <c r="F775" i="20" s="1"/>
  <c r="F776" i="20" s="1"/>
  <c r="F777" i="20" s="1"/>
  <c r="F778" i="20" s="1"/>
  <c r="F779" i="20" s="1"/>
  <c r="F780" i="20" s="1"/>
  <c r="F781" i="20" s="1"/>
  <c r="F782" i="20" s="1"/>
  <c r="F783" i="20" s="1"/>
  <c r="F784" i="20" s="1"/>
  <c r="F785" i="20" s="1"/>
  <c r="F786" i="20" s="1"/>
  <c r="F787" i="20" s="1"/>
  <c r="F788" i="20" s="1"/>
  <c r="F789" i="20" s="1"/>
  <c r="F790" i="20" s="1"/>
  <c r="F791" i="20" s="1"/>
  <c r="F792" i="20" s="1"/>
  <c r="F793" i="20" s="1"/>
  <c r="F794" i="20" s="1"/>
  <c r="F795" i="20" s="1"/>
  <c r="F796" i="20" s="1"/>
  <c r="F797" i="20" s="1"/>
  <c r="F798" i="20" s="1"/>
  <c r="F799" i="20" s="1"/>
  <c r="F800" i="20" s="1"/>
  <c r="F801" i="20" s="1"/>
  <c r="F802" i="20" s="1"/>
  <c r="F803" i="20" s="1"/>
  <c r="F804" i="20" s="1"/>
  <c r="F805" i="20" s="1"/>
  <c r="F806" i="20" s="1"/>
  <c r="F807" i="20" s="1"/>
  <c r="F808" i="20" s="1"/>
  <c r="F809" i="20" s="1"/>
  <c r="F810" i="20" s="1"/>
  <c r="F811" i="20" s="1"/>
  <c r="F812" i="20" s="1"/>
  <c r="F813" i="20" s="1"/>
  <c r="F814" i="20" s="1"/>
  <c r="F815" i="20" s="1"/>
  <c r="F816" i="20" s="1"/>
  <c r="F817" i="20" s="1"/>
  <c r="F818" i="20" s="1"/>
  <c r="F819" i="20" s="1"/>
  <c r="F820" i="20" s="1"/>
  <c r="F821" i="20" s="1"/>
  <c r="F822" i="20" s="1"/>
  <c r="F823" i="20" s="1"/>
  <c r="F824" i="20" s="1"/>
  <c r="F825" i="20" s="1"/>
  <c r="F826" i="20" s="1"/>
  <c r="F827" i="20" s="1"/>
  <c r="F828" i="20" s="1"/>
  <c r="F829" i="20" s="1"/>
  <c r="F830" i="20" s="1"/>
  <c r="F831" i="20" s="1"/>
  <c r="F832" i="20" s="1"/>
  <c r="F833" i="20" s="1"/>
  <c r="F834" i="20" s="1"/>
  <c r="F835" i="20" s="1"/>
  <c r="F836" i="20" s="1"/>
  <c r="F837" i="20" s="1"/>
  <c r="F838" i="20" s="1"/>
  <c r="F839" i="20" s="1"/>
  <c r="F840" i="20" s="1"/>
  <c r="F841" i="20" s="1"/>
  <c r="F842" i="20" s="1"/>
  <c r="F843" i="20" s="1"/>
  <c r="F844" i="20" s="1"/>
  <c r="F845" i="20" s="1"/>
  <c r="F846" i="20" s="1"/>
  <c r="F847" i="20" s="1"/>
  <c r="F848" i="20" s="1"/>
  <c r="F849" i="20" s="1"/>
  <c r="F850" i="20" s="1"/>
  <c r="F851" i="20" s="1"/>
  <c r="F852" i="20" s="1"/>
  <c r="F853" i="20" s="1"/>
  <c r="F854" i="20" s="1"/>
  <c r="F855" i="20" s="1"/>
  <c r="F856" i="20" s="1"/>
  <c r="F857" i="20" s="1"/>
  <c r="F858" i="20" s="1"/>
  <c r="F859" i="20" s="1"/>
  <c r="F860" i="20" s="1"/>
  <c r="F861" i="20" s="1"/>
  <c r="F862" i="20" s="1"/>
  <c r="F863" i="20" s="1"/>
  <c r="F864" i="20" s="1"/>
  <c r="F865" i="20" s="1"/>
  <c r="F866" i="20" s="1"/>
  <c r="F867" i="20" s="1"/>
  <c r="F868" i="20" s="1"/>
  <c r="F869" i="20" s="1"/>
  <c r="F870" i="20" s="1"/>
  <c r="F871" i="20" s="1"/>
  <c r="F872" i="20" s="1"/>
  <c r="F873" i="20" s="1"/>
  <c r="F874" i="20" s="1"/>
  <c r="F875" i="20" s="1"/>
  <c r="F876" i="20" s="1"/>
  <c r="F877" i="20" s="1"/>
  <c r="F878" i="20" s="1"/>
  <c r="F879" i="20" s="1"/>
  <c r="F880" i="20" s="1"/>
  <c r="F881" i="20" s="1"/>
  <c r="F882" i="20" s="1"/>
  <c r="F883" i="20" s="1"/>
  <c r="F884" i="20" s="1"/>
  <c r="F885" i="20" s="1"/>
  <c r="F886" i="20" s="1"/>
  <c r="F887" i="20" s="1"/>
  <c r="F888" i="20" s="1"/>
  <c r="F889" i="20" s="1"/>
  <c r="F890" i="20" s="1"/>
  <c r="F891" i="20" s="1"/>
  <c r="F892" i="20" s="1"/>
  <c r="F893" i="20" s="1"/>
  <c r="F894" i="20" s="1"/>
  <c r="F895" i="20" s="1"/>
  <c r="F896" i="20" s="1"/>
  <c r="F897" i="20" s="1"/>
  <c r="F898" i="20" s="1"/>
  <c r="F899" i="20" s="1"/>
  <c r="F900" i="20" s="1"/>
  <c r="F901" i="20" s="1"/>
  <c r="F902" i="20" s="1"/>
  <c r="F903" i="20" s="1"/>
  <c r="F904" i="20" s="1"/>
  <c r="F905" i="20" s="1"/>
  <c r="F906" i="20" s="1"/>
  <c r="F907" i="20" s="1"/>
  <c r="F908" i="20" s="1"/>
  <c r="F909" i="20" s="1"/>
  <c r="F910" i="20" s="1"/>
  <c r="F911" i="20" s="1"/>
  <c r="F912" i="20" s="1"/>
  <c r="F913" i="20" s="1"/>
  <c r="F914" i="20" s="1"/>
  <c r="F915" i="20" s="1"/>
  <c r="F916" i="20" s="1"/>
  <c r="F917" i="20" s="1"/>
  <c r="F918" i="20" s="1"/>
  <c r="F919" i="20" s="1"/>
  <c r="F920" i="20" s="1"/>
  <c r="F921" i="20" s="1"/>
  <c r="F922" i="20" s="1"/>
  <c r="F923" i="20" s="1"/>
  <c r="F924" i="20" s="1"/>
  <c r="F925" i="20" s="1"/>
  <c r="F926" i="20" s="1"/>
  <c r="F927" i="20" s="1"/>
  <c r="F928" i="20" s="1"/>
  <c r="F929" i="20" s="1"/>
  <c r="F930" i="20" s="1"/>
  <c r="F931" i="20" s="1"/>
  <c r="F932" i="20" s="1"/>
  <c r="F933" i="20" s="1"/>
  <c r="F934" i="20" s="1"/>
  <c r="F935" i="20" s="1"/>
  <c r="F936" i="20" s="1"/>
  <c r="F937" i="20" s="1"/>
  <c r="F938" i="20" s="1"/>
  <c r="F939" i="20" s="1"/>
  <c r="F940" i="20" s="1"/>
  <c r="F941" i="20" s="1"/>
  <c r="F942" i="20" s="1"/>
  <c r="F943" i="20" s="1"/>
  <c r="F944" i="20" s="1"/>
  <c r="F945" i="20" s="1"/>
  <c r="F946" i="20" s="1"/>
  <c r="F947" i="20" s="1"/>
  <c r="F948" i="20" s="1"/>
  <c r="F949" i="20" s="1"/>
  <c r="F950" i="20" s="1"/>
  <c r="F951" i="20" s="1"/>
  <c r="F952" i="20" s="1"/>
  <c r="F953" i="20" s="1"/>
  <c r="F954" i="20" s="1"/>
  <c r="F955" i="20" s="1"/>
  <c r="F956" i="20" s="1"/>
  <c r="F957" i="20" s="1"/>
  <c r="F958" i="20" s="1"/>
  <c r="F959" i="20" s="1"/>
  <c r="F960" i="20" s="1"/>
  <c r="F961" i="20" s="1"/>
  <c r="F962" i="20" s="1"/>
  <c r="F963" i="20" s="1"/>
  <c r="F964" i="20" s="1"/>
  <c r="F965" i="20" s="1"/>
  <c r="F966" i="20" s="1"/>
  <c r="F967" i="20" s="1"/>
  <c r="F968" i="20" s="1"/>
  <c r="F969" i="20" s="1"/>
  <c r="F970" i="20" s="1"/>
  <c r="F971" i="20" s="1"/>
  <c r="F972" i="20" s="1"/>
  <c r="F973" i="20" s="1"/>
  <c r="F974" i="20" s="1"/>
  <c r="F975" i="20" s="1"/>
  <c r="F976" i="20" s="1"/>
  <c r="F977" i="20" s="1"/>
  <c r="F978" i="20" s="1"/>
  <c r="F979" i="20" s="1"/>
  <c r="F980" i="20" s="1"/>
  <c r="F981" i="20" s="1"/>
  <c r="F982" i="20" s="1"/>
  <c r="F983" i="20" s="1"/>
  <c r="F984" i="20" s="1"/>
  <c r="F985" i="20" s="1"/>
  <c r="F986" i="20" s="1"/>
  <c r="F987" i="20" s="1"/>
  <c r="F988" i="20" s="1"/>
  <c r="F989" i="20" s="1"/>
  <c r="F990" i="20" s="1"/>
  <c r="F991" i="20" s="1"/>
  <c r="F992" i="20" s="1"/>
  <c r="F993" i="20" s="1"/>
  <c r="F994" i="20" s="1"/>
  <c r="F995" i="20" s="1"/>
  <c r="F996" i="20" s="1"/>
  <c r="F997" i="20" s="1"/>
  <c r="F998" i="20" s="1"/>
  <c r="F999" i="20" s="1"/>
  <c r="F1000" i="20" s="1"/>
  <c r="F1001" i="20" s="1"/>
  <c r="E6" i="14"/>
  <c r="C24" i="37" l="1"/>
  <c r="D24" i="37"/>
  <c r="C46" i="14"/>
  <c r="H65" i="14"/>
  <c r="B93" i="14"/>
  <c r="B92" i="14"/>
  <c r="B91" i="14"/>
  <c r="H83" i="14"/>
  <c r="B83" i="14"/>
  <c r="C83" i="14"/>
  <c r="D83" i="14"/>
  <c r="E83" i="14"/>
  <c r="F83" i="14"/>
  <c r="G83" i="14"/>
  <c r="B122" i="14"/>
  <c r="C8" i="26"/>
  <c r="D19" i="8"/>
  <c r="E19" i="8"/>
  <c r="E72" i="14"/>
  <c r="F37" i="14"/>
  <c r="G37" i="14"/>
  <c r="H37" i="14"/>
  <c r="E38" i="14"/>
  <c r="E39" i="14"/>
  <c r="E40" i="14"/>
  <c r="E41" i="14"/>
  <c r="E42" i="14"/>
  <c r="E43" i="14"/>
  <c r="E44" i="14"/>
  <c r="E45" i="14"/>
  <c r="E46" i="14"/>
  <c r="E36" i="5" s="1"/>
  <c r="E47" i="14"/>
  <c r="E48" i="14"/>
  <c r="E49" i="14"/>
  <c r="E50" i="14"/>
  <c r="E51" i="14"/>
  <c r="E52" i="14"/>
  <c r="E53" i="14"/>
  <c r="E54" i="14"/>
  <c r="E56" i="14"/>
  <c r="E57" i="14"/>
  <c r="E58" i="14"/>
  <c r="E59" i="14"/>
  <c r="E60" i="14"/>
  <c r="E61" i="14"/>
  <c r="E62" i="14"/>
  <c r="E63" i="14"/>
  <c r="E64" i="14"/>
  <c r="E65" i="14"/>
  <c r="E66" i="14"/>
  <c r="E67" i="14"/>
  <c r="E68" i="14"/>
  <c r="E69" i="14"/>
  <c r="E70" i="14"/>
  <c r="E71" i="14"/>
  <c r="E37" i="14"/>
  <c r="H117" i="14"/>
  <c r="H97" i="14"/>
  <c r="R4" i="18" s="1"/>
  <c r="C19" i="6"/>
  <c r="D3" i="25" s="1"/>
  <c r="E19" i="6"/>
  <c r="F3" i="25" s="1"/>
  <c r="F19" i="6"/>
  <c r="G3" i="25" s="1"/>
  <c r="F4" i="10"/>
  <c r="C4" i="10"/>
  <c r="C3" i="10"/>
  <c r="E20" i="8"/>
  <c r="E5" i="8"/>
  <c r="D13" i="8" s="1"/>
  <c r="D2" i="25" s="1"/>
  <c r="E22" i="8"/>
  <c r="E6" i="8" s="1"/>
  <c r="E23" i="8"/>
  <c r="E7" i="8" s="1"/>
  <c r="D20" i="8"/>
  <c r="D4" i="8" s="1"/>
  <c r="D22" i="8"/>
  <c r="D6" i="8" s="1"/>
  <c r="D23" i="8"/>
  <c r="H128" i="14"/>
  <c r="H120" i="14"/>
  <c r="C27" i="14"/>
  <c r="D27" i="14"/>
  <c r="E27" i="14"/>
  <c r="F27" i="14"/>
  <c r="F29" i="14" s="1"/>
  <c r="G27" i="14"/>
  <c r="G29" i="14" s="1"/>
  <c r="H27" i="14"/>
  <c r="H29" i="14" s="1"/>
  <c r="B27" i="14"/>
  <c r="H111" i="14"/>
  <c r="I28" i="14"/>
  <c r="J99" i="14"/>
  <c r="K99" i="14" s="1"/>
  <c r="L99" i="14" s="1"/>
  <c r="M99" i="14" s="1"/>
  <c r="D4" i="25" l="1"/>
  <c r="E51" i="5"/>
  <c r="O8" i="18"/>
  <c r="E4" i="8"/>
  <c r="B17" i="24"/>
  <c r="C15" i="25"/>
  <c r="F15" i="25" s="1"/>
  <c r="E13" i="8"/>
  <c r="G13" i="8" s="1"/>
  <c r="D7" i="8"/>
  <c r="D3" i="8"/>
  <c r="E3" i="8"/>
  <c r="D11" i="8" s="1"/>
  <c r="E55" i="14"/>
  <c r="C2" i="25" l="1"/>
  <c r="C4" i="25" s="1"/>
  <c r="B16" i="6"/>
  <c r="B20" i="6" s="1"/>
  <c r="D12" i="8"/>
  <c r="C15" i="15"/>
  <c r="C10" i="26"/>
  <c r="E11" i="8"/>
  <c r="G11" i="8" s="1"/>
  <c r="B2" i="14"/>
  <c r="B3" i="14"/>
  <c r="B4" i="14" s="1"/>
  <c r="B6" i="14"/>
  <c r="B7" i="14"/>
  <c r="B8" i="14"/>
  <c r="B9" i="14"/>
  <c r="B10" i="14"/>
  <c r="B12" i="14"/>
  <c r="B13" i="14"/>
  <c r="B14" i="14"/>
  <c r="B16" i="14"/>
  <c r="B18" i="14"/>
  <c r="B20" i="14"/>
  <c r="B21" i="14"/>
  <c r="B24" i="14"/>
  <c r="B25" i="14"/>
  <c r="B26" i="14"/>
  <c r="B32" i="14"/>
  <c r="B33" i="14"/>
  <c r="B34" i="14"/>
  <c r="B35" i="14"/>
  <c r="B36" i="14"/>
  <c r="B37" i="14"/>
  <c r="B38" i="14"/>
  <c r="B39" i="14"/>
  <c r="B40" i="14"/>
  <c r="B41" i="14"/>
  <c r="B42" i="14"/>
  <c r="B43" i="14"/>
  <c r="B44" i="14"/>
  <c r="B45" i="14"/>
  <c r="B46" i="14"/>
  <c r="B47" i="14"/>
  <c r="B48" i="14"/>
  <c r="B49" i="14"/>
  <c r="B50" i="14"/>
  <c r="B51" i="14"/>
  <c r="B52" i="14"/>
  <c r="B53" i="14"/>
  <c r="B54" i="14"/>
  <c r="B56" i="14"/>
  <c r="B57" i="14"/>
  <c r="B58" i="14"/>
  <c r="B59" i="14"/>
  <c r="B60" i="14"/>
  <c r="B61" i="14"/>
  <c r="B62" i="14"/>
  <c r="B63" i="14"/>
  <c r="B64" i="14"/>
  <c r="B65" i="14"/>
  <c r="B66" i="14"/>
  <c r="B67" i="14"/>
  <c r="B68" i="14"/>
  <c r="B69" i="14"/>
  <c r="B70" i="14"/>
  <c r="B71" i="14"/>
  <c r="B72" i="14"/>
  <c r="B75" i="14"/>
  <c r="B76" i="14"/>
  <c r="B77" i="14"/>
  <c r="B78" i="14"/>
  <c r="B79" i="14"/>
  <c r="B80" i="14"/>
  <c r="B81" i="14"/>
  <c r="B82" i="14"/>
  <c r="B85" i="14"/>
  <c r="B86" i="14"/>
  <c r="B87" i="14"/>
  <c r="B88" i="14"/>
  <c r="B89" i="14"/>
  <c r="B90" i="14"/>
  <c r="B94" i="14"/>
  <c r="B95" i="14"/>
  <c r="B96" i="14"/>
  <c r="L3" i="18" s="1"/>
  <c r="B97" i="14"/>
  <c r="L4" i="18" s="1"/>
  <c r="B98" i="14"/>
  <c r="B99" i="14"/>
  <c r="B100" i="14"/>
  <c r="B104" i="14"/>
  <c r="B106" i="14"/>
  <c r="B107" i="14"/>
  <c r="B108" i="14"/>
  <c r="B109" i="14"/>
  <c r="B110" i="14"/>
  <c r="B111" i="14"/>
  <c r="B112" i="14"/>
  <c r="B113" i="14"/>
  <c r="B114" i="14"/>
  <c r="B115" i="14"/>
  <c r="B116" i="14"/>
  <c r="B117" i="14"/>
  <c r="B118" i="14"/>
  <c r="B119" i="14"/>
  <c r="B120" i="14"/>
  <c r="B124" i="14"/>
  <c r="B125" i="14"/>
  <c r="B126" i="14"/>
  <c r="B127" i="14"/>
  <c r="B128" i="14"/>
  <c r="B130" i="14"/>
  <c r="B131" i="14"/>
  <c r="B132" i="14"/>
  <c r="B133" i="14"/>
  <c r="B134" i="14"/>
  <c r="B135" i="14"/>
  <c r="B136" i="14"/>
  <c r="B137" i="14"/>
  <c r="B138" i="14"/>
  <c r="B139" i="14"/>
  <c r="B22" i="14" l="1"/>
  <c r="L8" i="18"/>
  <c r="B4" i="18" s="1"/>
  <c r="L7" i="18"/>
  <c r="B5" i="14"/>
  <c r="B55" i="14"/>
  <c r="B84" i="14"/>
  <c r="E2" i="25"/>
  <c r="D16" i="6"/>
  <c r="E12" i="8"/>
  <c r="B11" i="14"/>
  <c r="C32" i="14"/>
  <c r="D32" i="14"/>
  <c r="E32" i="14"/>
  <c r="F32" i="14"/>
  <c r="G32" i="14"/>
  <c r="H32" i="14"/>
  <c r="C33" i="14"/>
  <c r="D33" i="14"/>
  <c r="E33" i="14"/>
  <c r="F33" i="14"/>
  <c r="G33" i="14"/>
  <c r="H33" i="14"/>
  <c r="C34" i="14"/>
  <c r="D34" i="14"/>
  <c r="E34" i="14"/>
  <c r="F34" i="14"/>
  <c r="G34" i="14"/>
  <c r="H34" i="14"/>
  <c r="C35" i="14"/>
  <c r="D35" i="14"/>
  <c r="E35" i="14"/>
  <c r="F35" i="14"/>
  <c r="G35" i="14"/>
  <c r="H35" i="14"/>
  <c r="C36" i="14"/>
  <c r="D36" i="14"/>
  <c r="E36" i="14"/>
  <c r="F36" i="14"/>
  <c r="G36" i="14"/>
  <c r="H36" i="14"/>
  <c r="C37" i="14"/>
  <c r="D37" i="14"/>
  <c r="C38" i="14"/>
  <c r="D38" i="14"/>
  <c r="F38" i="14"/>
  <c r="G38" i="14"/>
  <c r="H38" i="14"/>
  <c r="C39" i="14"/>
  <c r="D39" i="14"/>
  <c r="F39" i="14"/>
  <c r="G39" i="14"/>
  <c r="H39" i="14"/>
  <c r="C40" i="14"/>
  <c r="D40" i="14"/>
  <c r="F40" i="14"/>
  <c r="G40" i="14"/>
  <c r="H40" i="14"/>
  <c r="C41" i="14"/>
  <c r="D41" i="14"/>
  <c r="F41" i="14"/>
  <c r="G41" i="14"/>
  <c r="H41" i="14"/>
  <c r="C42" i="14"/>
  <c r="D42" i="14"/>
  <c r="F42" i="14"/>
  <c r="G42" i="14"/>
  <c r="H42" i="14"/>
  <c r="C43" i="14"/>
  <c r="D43" i="14"/>
  <c r="F43" i="14"/>
  <c r="G43" i="14"/>
  <c r="H43" i="14"/>
  <c r="C44" i="14"/>
  <c r="D44" i="14"/>
  <c r="F44" i="14"/>
  <c r="G44" i="14"/>
  <c r="H44" i="14"/>
  <c r="C45" i="14"/>
  <c r="D45" i="14"/>
  <c r="F45" i="14"/>
  <c r="G45" i="14"/>
  <c r="H45" i="14"/>
  <c r="D46" i="14"/>
  <c r="F46" i="14"/>
  <c r="G46" i="14"/>
  <c r="H46" i="14"/>
  <c r="H36" i="5" s="1"/>
  <c r="C47" i="14"/>
  <c r="D47" i="14"/>
  <c r="F47" i="14"/>
  <c r="G47" i="14"/>
  <c r="H47" i="14"/>
  <c r="C48" i="14"/>
  <c r="D48" i="14"/>
  <c r="F48" i="14"/>
  <c r="G48" i="14"/>
  <c r="H48" i="14"/>
  <c r="C49" i="14"/>
  <c r="D49" i="14"/>
  <c r="F49" i="14"/>
  <c r="G49" i="14"/>
  <c r="H49" i="14"/>
  <c r="C50" i="14"/>
  <c r="D50" i="14"/>
  <c r="F50" i="14"/>
  <c r="G50" i="14"/>
  <c r="H50" i="14"/>
  <c r="C51" i="14"/>
  <c r="D51" i="14"/>
  <c r="F51" i="14"/>
  <c r="G51" i="14"/>
  <c r="H51" i="14"/>
  <c r="C52" i="14"/>
  <c r="D52" i="14"/>
  <c r="F52" i="14"/>
  <c r="G52" i="14"/>
  <c r="H52" i="14"/>
  <c r="C53" i="14"/>
  <c r="D53" i="14"/>
  <c r="F53" i="14"/>
  <c r="G53" i="14"/>
  <c r="H53" i="14"/>
  <c r="C54" i="14"/>
  <c r="D54" i="14"/>
  <c r="F54" i="14"/>
  <c r="G54" i="14"/>
  <c r="H54" i="14"/>
  <c r="C56" i="14"/>
  <c r="D56" i="14"/>
  <c r="F56" i="14"/>
  <c r="G56" i="14"/>
  <c r="H56" i="14"/>
  <c r="C57" i="14"/>
  <c r="D57" i="14"/>
  <c r="F57" i="14"/>
  <c r="G57" i="14"/>
  <c r="H57" i="14"/>
  <c r="C58" i="14"/>
  <c r="D58" i="14"/>
  <c r="F58" i="14"/>
  <c r="G58" i="14"/>
  <c r="H58" i="14"/>
  <c r="C59" i="14"/>
  <c r="D59" i="14"/>
  <c r="F59" i="14"/>
  <c r="G59" i="14"/>
  <c r="H59" i="14"/>
  <c r="C60" i="14"/>
  <c r="D60" i="14"/>
  <c r="F60" i="14"/>
  <c r="G60" i="14"/>
  <c r="H60" i="14"/>
  <c r="C61" i="14"/>
  <c r="D61" i="14"/>
  <c r="F61" i="14"/>
  <c r="G61" i="14"/>
  <c r="H61" i="14"/>
  <c r="C62" i="14"/>
  <c r="D62" i="14"/>
  <c r="F62" i="14"/>
  <c r="G62" i="14"/>
  <c r="H62" i="14"/>
  <c r="C63" i="14"/>
  <c r="D63" i="14"/>
  <c r="F63" i="14"/>
  <c r="G63" i="14"/>
  <c r="H63" i="14"/>
  <c r="C64" i="14"/>
  <c r="D64" i="14"/>
  <c r="F64" i="14"/>
  <c r="G64" i="14"/>
  <c r="H64" i="14"/>
  <c r="C65" i="14"/>
  <c r="D65" i="14"/>
  <c r="F65" i="14"/>
  <c r="G65" i="14"/>
  <c r="C66" i="14"/>
  <c r="D66" i="14"/>
  <c r="F66" i="14"/>
  <c r="G66" i="14"/>
  <c r="H66" i="14"/>
  <c r="C67" i="14"/>
  <c r="D67" i="14"/>
  <c r="F67" i="14"/>
  <c r="G67" i="14"/>
  <c r="H67" i="14"/>
  <c r="C68" i="14"/>
  <c r="D68" i="14"/>
  <c r="F68" i="14"/>
  <c r="G68" i="14"/>
  <c r="H68" i="14"/>
  <c r="C69" i="14"/>
  <c r="D69" i="14"/>
  <c r="F69" i="14"/>
  <c r="G69" i="14"/>
  <c r="H69" i="14"/>
  <c r="C70" i="14"/>
  <c r="D70" i="14"/>
  <c r="F70" i="14"/>
  <c r="G70" i="14"/>
  <c r="H70" i="14"/>
  <c r="C71" i="14"/>
  <c r="D71" i="14"/>
  <c r="F71" i="14"/>
  <c r="G71" i="14"/>
  <c r="H71" i="14"/>
  <c r="C72" i="14"/>
  <c r="D7" i="9" s="1"/>
  <c r="D72" i="14"/>
  <c r="F72" i="14"/>
  <c r="G72" i="14"/>
  <c r="H72" i="14"/>
  <c r="R8" i="18" s="1"/>
  <c r="H4" i="18" s="1"/>
  <c r="B2" i="4"/>
  <c r="C2" i="14"/>
  <c r="C3" i="14"/>
  <c r="C6" i="14"/>
  <c r="C7" i="14"/>
  <c r="C8" i="14"/>
  <c r="C9" i="14"/>
  <c r="C10" i="14"/>
  <c r="C12" i="14"/>
  <c r="C13" i="14"/>
  <c r="C14" i="14"/>
  <c r="C16" i="14"/>
  <c r="C18" i="14"/>
  <c r="C19" i="5" s="1"/>
  <c r="C20" i="14"/>
  <c r="C21" i="14"/>
  <c r="C24" i="14"/>
  <c r="C25" i="14"/>
  <c r="C26" i="14"/>
  <c r="N8" i="8"/>
  <c r="L986" i="8"/>
  <c r="N4" i="8"/>
  <c r="N5" i="8"/>
  <c r="N6" i="8"/>
  <c r="N7" i="8"/>
  <c r="N9" i="8"/>
  <c r="N10" i="8"/>
  <c r="N11" i="8"/>
  <c r="N12" i="8"/>
  <c r="N13" i="8"/>
  <c r="N14" i="8"/>
  <c r="N15" i="8"/>
  <c r="N16" i="8"/>
  <c r="N17" i="8"/>
  <c r="N18" i="8"/>
  <c r="N19" i="8"/>
  <c r="N20" i="8"/>
  <c r="N21" i="8"/>
  <c r="N22" i="8"/>
  <c r="N23" i="8"/>
  <c r="N24" i="8"/>
  <c r="N25" i="8"/>
  <c r="N26" i="8"/>
  <c r="N27" i="8"/>
  <c r="N28"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N184" i="8"/>
  <c r="N185" i="8"/>
  <c r="N186" i="8"/>
  <c r="N187" i="8"/>
  <c r="N188"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N216" i="8"/>
  <c r="N217" i="8"/>
  <c r="N218" i="8"/>
  <c r="N219" i="8"/>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N259" i="8"/>
  <c r="N260" i="8"/>
  <c r="N261" i="8"/>
  <c r="N262" i="8"/>
  <c r="N263" i="8"/>
  <c r="N264" i="8"/>
  <c r="N265" i="8"/>
  <c r="N266" i="8"/>
  <c r="N267" i="8"/>
  <c r="N268" i="8"/>
  <c r="N269" i="8"/>
  <c r="N270" i="8"/>
  <c r="N271" i="8"/>
  <c r="N272"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N312" i="8"/>
  <c r="N313" i="8"/>
  <c r="N314" i="8"/>
  <c r="N315" i="8"/>
  <c r="N316" i="8"/>
  <c r="N317" i="8"/>
  <c r="N318" i="8"/>
  <c r="N319" i="8"/>
  <c r="N320" i="8"/>
  <c r="N321" i="8"/>
  <c r="N322" i="8"/>
  <c r="N323" i="8"/>
  <c r="N324" i="8"/>
  <c r="N325" i="8"/>
  <c r="N326" i="8"/>
  <c r="N327" i="8"/>
  <c r="N328" i="8"/>
  <c r="N329" i="8"/>
  <c r="N330" i="8"/>
  <c r="N331" i="8"/>
  <c r="N332" i="8"/>
  <c r="N333" i="8"/>
  <c r="N334" i="8"/>
  <c r="N335" i="8"/>
  <c r="N336" i="8"/>
  <c r="N337" i="8"/>
  <c r="N338" i="8"/>
  <c r="N339" i="8"/>
  <c r="N340" i="8"/>
  <c r="N341" i="8"/>
  <c r="N342" i="8"/>
  <c r="N343" i="8"/>
  <c r="N344" i="8"/>
  <c r="N345" i="8"/>
  <c r="N346" i="8"/>
  <c r="N347" i="8"/>
  <c r="N348" i="8"/>
  <c r="N349" i="8"/>
  <c r="N350" i="8"/>
  <c r="N351" i="8"/>
  <c r="N352" i="8"/>
  <c r="N353" i="8"/>
  <c r="N354" i="8"/>
  <c r="N355" i="8"/>
  <c r="N356" i="8"/>
  <c r="N357" i="8"/>
  <c r="N358" i="8"/>
  <c r="N359" i="8"/>
  <c r="N360" i="8"/>
  <c r="N361" i="8"/>
  <c r="N362" i="8"/>
  <c r="N363" i="8"/>
  <c r="N364" i="8"/>
  <c r="N365" i="8"/>
  <c r="N366" i="8"/>
  <c r="N367" i="8"/>
  <c r="N368" i="8"/>
  <c r="N369" i="8"/>
  <c r="N370" i="8"/>
  <c r="N371" i="8"/>
  <c r="N372" i="8"/>
  <c r="N373" i="8"/>
  <c r="N374" i="8"/>
  <c r="N375" i="8"/>
  <c r="N376" i="8"/>
  <c r="N377" i="8"/>
  <c r="N378" i="8"/>
  <c r="N379" i="8"/>
  <c r="N380" i="8"/>
  <c r="N381" i="8"/>
  <c r="N382" i="8"/>
  <c r="N383" i="8"/>
  <c r="N384" i="8"/>
  <c r="N385" i="8"/>
  <c r="N386" i="8"/>
  <c r="N387" i="8"/>
  <c r="N388" i="8"/>
  <c r="N389" i="8"/>
  <c r="N390" i="8"/>
  <c r="N391" i="8"/>
  <c r="N392" i="8"/>
  <c r="N393" i="8"/>
  <c r="N394" i="8"/>
  <c r="N395" i="8"/>
  <c r="N396" i="8"/>
  <c r="N397" i="8"/>
  <c r="N398" i="8"/>
  <c r="N399" i="8"/>
  <c r="N400" i="8"/>
  <c r="N401" i="8"/>
  <c r="N402" i="8"/>
  <c r="N403" i="8"/>
  <c r="N404" i="8"/>
  <c r="N405" i="8"/>
  <c r="N406" i="8"/>
  <c r="N407" i="8"/>
  <c r="N408" i="8"/>
  <c r="N409" i="8"/>
  <c r="N410" i="8"/>
  <c r="N411" i="8"/>
  <c r="N412" i="8"/>
  <c r="N413" i="8"/>
  <c r="N414" i="8"/>
  <c r="N415" i="8"/>
  <c r="N416" i="8"/>
  <c r="N417" i="8"/>
  <c r="N418" i="8"/>
  <c r="N419" i="8"/>
  <c r="N420" i="8"/>
  <c r="N421" i="8"/>
  <c r="N422" i="8"/>
  <c r="N423" i="8"/>
  <c r="N424" i="8"/>
  <c r="N425" i="8"/>
  <c r="N426" i="8"/>
  <c r="N427" i="8"/>
  <c r="N428" i="8"/>
  <c r="N429" i="8"/>
  <c r="N430" i="8"/>
  <c r="N431" i="8"/>
  <c r="N432" i="8"/>
  <c r="N433" i="8"/>
  <c r="N434" i="8"/>
  <c r="N435" i="8"/>
  <c r="N436" i="8"/>
  <c r="N437" i="8"/>
  <c r="N438" i="8"/>
  <c r="N439" i="8"/>
  <c r="N440" i="8"/>
  <c r="N441" i="8"/>
  <c r="N442" i="8"/>
  <c r="N443" i="8"/>
  <c r="N444" i="8"/>
  <c r="N445" i="8"/>
  <c r="N446" i="8"/>
  <c r="N447" i="8"/>
  <c r="N448" i="8"/>
  <c r="N449" i="8"/>
  <c r="N450" i="8"/>
  <c r="N451" i="8"/>
  <c r="N452" i="8"/>
  <c r="N453" i="8"/>
  <c r="N454" i="8"/>
  <c r="N455" i="8"/>
  <c r="N456" i="8"/>
  <c r="N457" i="8"/>
  <c r="N458" i="8"/>
  <c r="N459" i="8"/>
  <c r="N460" i="8"/>
  <c r="N461" i="8"/>
  <c r="N462" i="8"/>
  <c r="N463" i="8"/>
  <c r="N464" i="8"/>
  <c r="N465" i="8"/>
  <c r="N466" i="8"/>
  <c r="N467" i="8"/>
  <c r="N468" i="8"/>
  <c r="N469" i="8"/>
  <c r="N470" i="8"/>
  <c r="N471" i="8"/>
  <c r="N472" i="8"/>
  <c r="N473" i="8"/>
  <c r="N474" i="8"/>
  <c r="N475" i="8"/>
  <c r="N476" i="8"/>
  <c r="N477" i="8"/>
  <c r="N478" i="8"/>
  <c r="N479" i="8"/>
  <c r="N480" i="8"/>
  <c r="N481" i="8"/>
  <c r="N482" i="8"/>
  <c r="N483" i="8"/>
  <c r="N484" i="8"/>
  <c r="N485" i="8"/>
  <c r="N486" i="8"/>
  <c r="N487" i="8"/>
  <c r="N488" i="8"/>
  <c r="N489" i="8"/>
  <c r="N490" i="8"/>
  <c r="N491" i="8"/>
  <c r="N492" i="8"/>
  <c r="N493" i="8"/>
  <c r="N494" i="8"/>
  <c r="N495" i="8"/>
  <c r="N496" i="8"/>
  <c r="N497" i="8"/>
  <c r="N498" i="8"/>
  <c r="N499" i="8"/>
  <c r="N500" i="8"/>
  <c r="N501" i="8"/>
  <c r="N502" i="8"/>
  <c r="N503" i="8"/>
  <c r="N504" i="8"/>
  <c r="N505" i="8"/>
  <c r="N506" i="8"/>
  <c r="N507" i="8"/>
  <c r="N508" i="8"/>
  <c r="N509" i="8"/>
  <c r="N510" i="8"/>
  <c r="N511" i="8"/>
  <c r="N512" i="8"/>
  <c r="N513" i="8"/>
  <c r="N514" i="8"/>
  <c r="N515" i="8"/>
  <c r="N516" i="8"/>
  <c r="N517" i="8"/>
  <c r="N518" i="8"/>
  <c r="N519" i="8"/>
  <c r="N520" i="8"/>
  <c r="N521" i="8"/>
  <c r="N522" i="8"/>
  <c r="N523" i="8"/>
  <c r="N524" i="8"/>
  <c r="N525" i="8"/>
  <c r="N526" i="8"/>
  <c r="N527" i="8"/>
  <c r="N528" i="8"/>
  <c r="N529" i="8"/>
  <c r="N530" i="8"/>
  <c r="N531" i="8"/>
  <c r="N532" i="8"/>
  <c r="N533" i="8"/>
  <c r="N534" i="8"/>
  <c r="N535" i="8"/>
  <c r="N536" i="8"/>
  <c r="N537" i="8"/>
  <c r="N538" i="8"/>
  <c r="N539" i="8"/>
  <c r="N540" i="8"/>
  <c r="N541" i="8"/>
  <c r="N542" i="8"/>
  <c r="N543" i="8"/>
  <c r="N544" i="8"/>
  <c r="N545" i="8"/>
  <c r="N546" i="8"/>
  <c r="N547" i="8"/>
  <c r="N548" i="8"/>
  <c r="N549" i="8"/>
  <c r="N550" i="8"/>
  <c r="N551" i="8"/>
  <c r="N552" i="8"/>
  <c r="N553" i="8"/>
  <c r="N554" i="8"/>
  <c r="N555" i="8"/>
  <c r="N556" i="8"/>
  <c r="N557" i="8"/>
  <c r="N558" i="8"/>
  <c r="N559" i="8"/>
  <c r="N560" i="8"/>
  <c r="N561" i="8"/>
  <c r="N562" i="8"/>
  <c r="N563" i="8"/>
  <c r="N564" i="8"/>
  <c r="N565" i="8"/>
  <c r="N566" i="8"/>
  <c r="N567" i="8"/>
  <c r="N568" i="8"/>
  <c r="N569" i="8"/>
  <c r="N570" i="8"/>
  <c r="N571" i="8"/>
  <c r="N572" i="8"/>
  <c r="N573" i="8"/>
  <c r="N574" i="8"/>
  <c r="N575" i="8"/>
  <c r="N576" i="8"/>
  <c r="N577" i="8"/>
  <c r="N578" i="8"/>
  <c r="N579" i="8"/>
  <c r="N580" i="8"/>
  <c r="N581" i="8"/>
  <c r="N582" i="8"/>
  <c r="N583" i="8"/>
  <c r="N584" i="8"/>
  <c r="N585" i="8"/>
  <c r="N586" i="8"/>
  <c r="N587" i="8"/>
  <c r="N588" i="8"/>
  <c r="N589" i="8"/>
  <c r="N590" i="8"/>
  <c r="N591" i="8"/>
  <c r="N592" i="8"/>
  <c r="N593" i="8"/>
  <c r="N594" i="8"/>
  <c r="N595" i="8"/>
  <c r="N596" i="8"/>
  <c r="N597" i="8"/>
  <c r="N598" i="8"/>
  <c r="N599" i="8"/>
  <c r="N600" i="8"/>
  <c r="N601" i="8"/>
  <c r="N602" i="8"/>
  <c r="N603" i="8"/>
  <c r="N604" i="8"/>
  <c r="N605" i="8"/>
  <c r="N606" i="8"/>
  <c r="N607" i="8"/>
  <c r="N608" i="8"/>
  <c r="N609" i="8"/>
  <c r="N610" i="8"/>
  <c r="N611" i="8"/>
  <c r="N612" i="8"/>
  <c r="N613" i="8"/>
  <c r="N614" i="8"/>
  <c r="N615" i="8"/>
  <c r="N616" i="8"/>
  <c r="N617" i="8"/>
  <c r="N618" i="8"/>
  <c r="N619" i="8"/>
  <c r="N620" i="8"/>
  <c r="N621" i="8"/>
  <c r="N622" i="8"/>
  <c r="N623" i="8"/>
  <c r="N624" i="8"/>
  <c r="N625" i="8"/>
  <c r="N626" i="8"/>
  <c r="N627" i="8"/>
  <c r="N628" i="8"/>
  <c r="N629" i="8"/>
  <c r="N630" i="8"/>
  <c r="N631" i="8"/>
  <c r="N632" i="8"/>
  <c r="N633" i="8"/>
  <c r="N634" i="8"/>
  <c r="N635" i="8"/>
  <c r="N636" i="8"/>
  <c r="N637" i="8"/>
  <c r="N638" i="8"/>
  <c r="N639" i="8"/>
  <c r="N640" i="8"/>
  <c r="N641" i="8"/>
  <c r="N642" i="8"/>
  <c r="N643" i="8"/>
  <c r="N644" i="8"/>
  <c r="N645" i="8"/>
  <c r="N646" i="8"/>
  <c r="N647" i="8"/>
  <c r="N648" i="8"/>
  <c r="N649" i="8"/>
  <c r="N650" i="8"/>
  <c r="N651" i="8"/>
  <c r="N652" i="8"/>
  <c r="N653" i="8"/>
  <c r="N654" i="8"/>
  <c r="N655" i="8"/>
  <c r="N656" i="8"/>
  <c r="N657" i="8"/>
  <c r="N658" i="8"/>
  <c r="N659" i="8"/>
  <c r="N660" i="8"/>
  <c r="N661" i="8"/>
  <c r="N662" i="8"/>
  <c r="N663" i="8"/>
  <c r="N664" i="8"/>
  <c r="N665" i="8"/>
  <c r="N666" i="8"/>
  <c r="N667" i="8"/>
  <c r="N668" i="8"/>
  <c r="N669" i="8"/>
  <c r="N670" i="8"/>
  <c r="N671" i="8"/>
  <c r="N672" i="8"/>
  <c r="N673" i="8"/>
  <c r="N674" i="8"/>
  <c r="N675" i="8"/>
  <c r="N676" i="8"/>
  <c r="N677" i="8"/>
  <c r="N678" i="8"/>
  <c r="N679" i="8"/>
  <c r="N680" i="8"/>
  <c r="N681" i="8"/>
  <c r="N682" i="8"/>
  <c r="N683" i="8"/>
  <c r="N684" i="8"/>
  <c r="N685" i="8"/>
  <c r="N686" i="8"/>
  <c r="N687" i="8"/>
  <c r="N688" i="8"/>
  <c r="N689" i="8"/>
  <c r="N690" i="8"/>
  <c r="N691" i="8"/>
  <c r="N692" i="8"/>
  <c r="N693" i="8"/>
  <c r="N694" i="8"/>
  <c r="N695" i="8"/>
  <c r="N696" i="8"/>
  <c r="N697" i="8"/>
  <c r="N698" i="8"/>
  <c r="N699" i="8"/>
  <c r="N700" i="8"/>
  <c r="N701" i="8"/>
  <c r="N702" i="8"/>
  <c r="N703" i="8"/>
  <c r="N704" i="8"/>
  <c r="N705" i="8"/>
  <c r="N706" i="8"/>
  <c r="N707" i="8"/>
  <c r="N708" i="8"/>
  <c r="N709" i="8"/>
  <c r="N710" i="8"/>
  <c r="N711" i="8"/>
  <c r="N712" i="8"/>
  <c r="N713" i="8"/>
  <c r="N714" i="8"/>
  <c r="N715" i="8"/>
  <c r="N716" i="8"/>
  <c r="N717" i="8"/>
  <c r="N718" i="8"/>
  <c r="N719" i="8"/>
  <c r="N720" i="8"/>
  <c r="N721" i="8"/>
  <c r="N722" i="8"/>
  <c r="N723" i="8"/>
  <c r="N724" i="8"/>
  <c r="N725" i="8"/>
  <c r="N726" i="8"/>
  <c r="N727" i="8"/>
  <c r="N728" i="8"/>
  <c r="N729" i="8"/>
  <c r="N730" i="8"/>
  <c r="N731" i="8"/>
  <c r="N732" i="8"/>
  <c r="N733" i="8"/>
  <c r="N734" i="8"/>
  <c r="N735" i="8"/>
  <c r="N736" i="8"/>
  <c r="N737" i="8"/>
  <c r="N738" i="8"/>
  <c r="N739" i="8"/>
  <c r="N740" i="8"/>
  <c r="N741" i="8"/>
  <c r="N742" i="8"/>
  <c r="N743" i="8"/>
  <c r="N744" i="8"/>
  <c r="N745" i="8"/>
  <c r="N746" i="8"/>
  <c r="N747" i="8"/>
  <c r="N748" i="8"/>
  <c r="N749" i="8"/>
  <c r="N750" i="8"/>
  <c r="N751" i="8"/>
  <c r="N752" i="8"/>
  <c r="N753" i="8"/>
  <c r="N754" i="8"/>
  <c r="N755" i="8"/>
  <c r="N756" i="8"/>
  <c r="N757" i="8"/>
  <c r="N758" i="8"/>
  <c r="N759" i="8"/>
  <c r="N760" i="8"/>
  <c r="N761" i="8"/>
  <c r="N762" i="8"/>
  <c r="N763" i="8"/>
  <c r="N764" i="8"/>
  <c r="N765" i="8"/>
  <c r="N766" i="8"/>
  <c r="N767" i="8"/>
  <c r="N768" i="8"/>
  <c r="N769" i="8"/>
  <c r="N770" i="8"/>
  <c r="N771" i="8"/>
  <c r="N772" i="8"/>
  <c r="N773" i="8"/>
  <c r="N774" i="8"/>
  <c r="N775" i="8"/>
  <c r="N776" i="8"/>
  <c r="N777" i="8"/>
  <c r="N778" i="8"/>
  <c r="N779" i="8"/>
  <c r="N780" i="8"/>
  <c r="N781" i="8"/>
  <c r="N782" i="8"/>
  <c r="N783" i="8"/>
  <c r="N784" i="8"/>
  <c r="N785" i="8"/>
  <c r="N786" i="8"/>
  <c r="N787" i="8"/>
  <c r="N788" i="8"/>
  <c r="N789" i="8"/>
  <c r="N790" i="8"/>
  <c r="N791" i="8"/>
  <c r="N792" i="8"/>
  <c r="N793" i="8"/>
  <c r="N794" i="8"/>
  <c r="N795" i="8"/>
  <c r="N796" i="8"/>
  <c r="N797" i="8"/>
  <c r="N798" i="8"/>
  <c r="N799" i="8"/>
  <c r="N800" i="8"/>
  <c r="N801" i="8"/>
  <c r="N802" i="8"/>
  <c r="N803" i="8"/>
  <c r="N804" i="8"/>
  <c r="N805" i="8"/>
  <c r="N806" i="8"/>
  <c r="N807" i="8"/>
  <c r="N808" i="8"/>
  <c r="N809" i="8"/>
  <c r="N810" i="8"/>
  <c r="N811" i="8"/>
  <c r="N812" i="8"/>
  <c r="N813" i="8"/>
  <c r="N814" i="8"/>
  <c r="N815" i="8"/>
  <c r="N816" i="8"/>
  <c r="N817" i="8"/>
  <c r="N818" i="8"/>
  <c r="N819" i="8"/>
  <c r="N820" i="8"/>
  <c r="N821" i="8"/>
  <c r="N822" i="8"/>
  <c r="N823" i="8"/>
  <c r="N824" i="8"/>
  <c r="N825" i="8"/>
  <c r="N826" i="8"/>
  <c r="N827" i="8"/>
  <c r="N828" i="8"/>
  <c r="N829" i="8"/>
  <c r="N830" i="8"/>
  <c r="N831" i="8"/>
  <c r="N832" i="8"/>
  <c r="N833" i="8"/>
  <c r="N834" i="8"/>
  <c r="N835" i="8"/>
  <c r="N836" i="8"/>
  <c r="N837" i="8"/>
  <c r="N838" i="8"/>
  <c r="N839" i="8"/>
  <c r="N840" i="8"/>
  <c r="N841" i="8"/>
  <c r="N842" i="8"/>
  <c r="N843" i="8"/>
  <c r="N844" i="8"/>
  <c r="N845" i="8"/>
  <c r="N846" i="8"/>
  <c r="N847" i="8"/>
  <c r="N848" i="8"/>
  <c r="N849" i="8"/>
  <c r="N850" i="8"/>
  <c r="N851" i="8"/>
  <c r="N852" i="8"/>
  <c r="N853" i="8"/>
  <c r="N854" i="8"/>
  <c r="N855" i="8"/>
  <c r="N856" i="8"/>
  <c r="N857" i="8"/>
  <c r="N858" i="8"/>
  <c r="N859" i="8"/>
  <c r="N860" i="8"/>
  <c r="N861" i="8"/>
  <c r="N862" i="8"/>
  <c r="N863" i="8"/>
  <c r="N864" i="8"/>
  <c r="N865" i="8"/>
  <c r="N866" i="8"/>
  <c r="N867" i="8"/>
  <c r="N868" i="8"/>
  <c r="N869" i="8"/>
  <c r="N870" i="8"/>
  <c r="N871" i="8"/>
  <c r="N872" i="8"/>
  <c r="N873" i="8"/>
  <c r="N874" i="8"/>
  <c r="N875" i="8"/>
  <c r="N876" i="8"/>
  <c r="N877" i="8"/>
  <c r="N878" i="8"/>
  <c r="N879" i="8"/>
  <c r="N880" i="8"/>
  <c r="N881" i="8"/>
  <c r="N882" i="8"/>
  <c r="N883" i="8"/>
  <c r="N884" i="8"/>
  <c r="N885" i="8"/>
  <c r="N886" i="8"/>
  <c r="N887" i="8"/>
  <c r="N888" i="8"/>
  <c r="N889" i="8"/>
  <c r="N890" i="8"/>
  <c r="N891" i="8"/>
  <c r="N892" i="8"/>
  <c r="N893" i="8"/>
  <c r="N894" i="8"/>
  <c r="N895" i="8"/>
  <c r="N896" i="8"/>
  <c r="N897" i="8"/>
  <c r="N898" i="8"/>
  <c r="N899" i="8"/>
  <c r="N900" i="8"/>
  <c r="N901" i="8"/>
  <c r="N902" i="8"/>
  <c r="N903" i="8"/>
  <c r="N904" i="8"/>
  <c r="N905" i="8"/>
  <c r="N906" i="8"/>
  <c r="N907" i="8"/>
  <c r="N908" i="8"/>
  <c r="N909" i="8"/>
  <c r="N910" i="8"/>
  <c r="N911" i="8"/>
  <c r="N912" i="8"/>
  <c r="N913" i="8"/>
  <c r="N914" i="8"/>
  <c r="N915" i="8"/>
  <c r="N916" i="8"/>
  <c r="N917" i="8"/>
  <c r="N918" i="8"/>
  <c r="N919" i="8"/>
  <c r="N920" i="8"/>
  <c r="N921" i="8"/>
  <c r="N922" i="8"/>
  <c r="N923" i="8"/>
  <c r="N924" i="8"/>
  <c r="N925" i="8"/>
  <c r="N926" i="8"/>
  <c r="N927" i="8"/>
  <c r="N928" i="8"/>
  <c r="N929" i="8"/>
  <c r="N930" i="8"/>
  <c r="N931" i="8"/>
  <c r="N932" i="8"/>
  <c r="N933" i="8"/>
  <c r="N934" i="8"/>
  <c r="N935" i="8"/>
  <c r="N936" i="8"/>
  <c r="N937" i="8"/>
  <c r="N938" i="8"/>
  <c r="N939" i="8"/>
  <c r="N940" i="8"/>
  <c r="N941" i="8"/>
  <c r="N942" i="8"/>
  <c r="N943" i="8"/>
  <c r="N944" i="8"/>
  <c r="N945" i="8"/>
  <c r="N946" i="8"/>
  <c r="N947" i="8"/>
  <c r="N948" i="8"/>
  <c r="N949" i="8"/>
  <c r="N950" i="8"/>
  <c r="N951" i="8"/>
  <c r="N952" i="8"/>
  <c r="N953" i="8"/>
  <c r="N954" i="8"/>
  <c r="N955" i="8"/>
  <c r="N956" i="8"/>
  <c r="N957" i="8"/>
  <c r="N958" i="8"/>
  <c r="N959" i="8"/>
  <c r="N960" i="8"/>
  <c r="N961" i="8"/>
  <c r="N962" i="8"/>
  <c r="N963" i="8"/>
  <c r="N964" i="8"/>
  <c r="N965" i="8"/>
  <c r="N966" i="8"/>
  <c r="N967" i="8"/>
  <c r="N968" i="8"/>
  <c r="N969" i="8"/>
  <c r="N970" i="8"/>
  <c r="N971" i="8"/>
  <c r="N972" i="8"/>
  <c r="N973" i="8"/>
  <c r="N974" i="8"/>
  <c r="N975" i="8"/>
  <c r="N976" i="8"/>
  <c r="N977" i="8"/>
  <c r="N978" i="8"/>
  <c r="N979" i="8"/>
  <c r="N980" i="8"/>
  <c r="N981" i="8"/>
  <c r="N982" i="8"/>
  <c r="N983" i="8"/>
  <c r="N984" i="8"/>
  <c r="N985" i="8"/>
  <c r="N986" i="8"/>
  <c r="N987" i="8"/>
  <c r="N988" i="8"/>
  <c r="N989" i="8"/>
  <c r="N990" i="8"/>
  <c r="N991" i="8"/>
  <c r="N992" i="8"/>
  <c r="N993" i="8"/>
  <c r="N994" i="8"/>
  <c r="N995" i="8"/>
  <c r="N996" i="8"/>
  <c r="N997" i="8"/>
  <c r="N998" i="8"/>
  <c r="N999" i="8"/>
  <c r="N1000" i="8"/>
  <c r="N1001" i="8"/>
  <c r="N1002" i="8"/>
  <c r="N1003" i="8"/>
  <c r="N1004" i="8"/>
  <c r="N1005" i="8"/>
  <c r="N1006" i="8"/>
  <c r="N1007" i="8"/>
  <c r="N1008" i="8"/>
  <c r="N1009" i="8"/>
  <c r="N1010" i="8"/>
  <c r="N1011" i="8"/>
  <c r="N1012" i="8"/>
  <c r="N1013" i="8"/>
  <c r="N1014" i="8"/>
  <c r="N1015" i="8"/>
  <c r="N1016" i="8"/>
  <c r="N1017" i="8"/>
  <c r="N1018" i="8"/>
  <c r="N1019" i="8"/>
  <c r="N1020" i="8"/>
  <c r="N1021" i="8"/>
  <c r="N1022" i="8"/>
  <c r="N1023" i="8"/>
  <c r="N1024" i="8"/>
  <c r="N1025" i="8"/>
  <c r="N1026" i="8"/>
  <c r="N1027" i="8"/>
  <c r="N1028" i="8"/>
  <c r="N1029" i="8"/>
  <c r="N1030" i="8"/>
  <c r="N1031" i="8"/>
  <c r="N1032" i="8"/>
  <c r="N1033" i="8"/>
  <c r="N1034" i="8"/>
  <c r="N1035" i="8"/>
  <c r="N1036" i="8"/>
  <c r="N1037" i="8"/>
  <c r="N1038" i="8"/>
  <c r="N1039" i="8"/>
  <c r="N1040" i="8"/>
  <c r="N1041" i="8"/>
  <c r="N1042" i="8"/>
  <c r="N1043" i="8"/>
  <c r="N1044" i="8"/>
  <c r="N1045" i="8"/>
  <c r="N1046" i="8"/>
  <c r="N1047" i="8"/>
  <c r="N1048" i="8"/>
  <c r="N1049" i="8"/>
  <c r="N1050" i="8"/>
  <c r="N1051" i="8"/>
  <c r="N1052" i="8"/>
  <c r="N1053" i="8"/>
  <c r="N1054" i="8"/>
  <c r="N1055" i="8"/>
  <c r="N1056" i="8"/>
  <c r="N1057" i="8"/>
  <c r="N1058" i="8"/>
  <c r="N1059" i="8"/>
  <c r="N1060" i="8"/>
  <c r="N1061" i="8"/>
  <c r="N1062" i="8"/>
  <c r="N1063" i="8"/>
  <c r="N1064" i="8"/>
  <c r="N1065" i="8"/>
  <c r="N1066" i="8"/>
  <c r="N1067" i="8"/>
  <c r="N1068" i="8"/>
  <c r="N1069" i="8"/>
  <c r="N1070" i="8"/>
  <c r="N1071" i="8"/>
  <c r="N1072" i="8"/>
  <c r="N1073" i="8"/>
  <c r="N1074" i="8"/>
  <c r="N1075" i="8"/>
  <c r="N1076" i="8"/>
  <c r="N1077" i="8"/>
  <c r="N1078" i="8"/>
  <c r="N1079" i="8"/>
  <c r="N1080" i="8"/>
  <c r="N1081" i="8"/>
  <c r="N1082" i="8"/>
  <c r="N1083" i="8"/>
  <c r="N1084" i="8"/>
  <c r="N1085" i="8"/>
  <c r="N1086" i="8"/>
  <c r="N1087" i="8"/>
  <c r="N1088" i="8"/>
  <c r="N1089" i="8"/>
  <c r="N1090" i="8"/>
  <c r="N1091" i="8"/>
  <c r="N1092" i="8"/>
  <c r="N1093" i="8"/>
  <c r="N1094" i="8"/>
  <c r="N1095" i="8"/>
  <c r="N1096" i="8"/>
  <c r="N1097" i="8"/>
  <c r="N1098" i="8"/>
  <c r="N1099" i="8"/>
  <c r="N1100" i="8"/>
  <c r="N1101" i="8"/>
  <c r="N1102" i="8"/>
  <c r="N1103" i="8"/>
  <c r="N1104" i="8"/>
  <c r="N1105" i="8"/>
  <c r="N1106" i="8"/>
  <c r="N1107" i="8"/>
  <c r="N1108" i="8"/>
  <c r="N1109" i="8"/>
  <c r="N1110" i="8"/>
  <c r="N1111" i="8"/>
  <c r="N1112" i="8"/>
  <c r="N1113" i="8"/>
  <c r="N1114" i="8"/>
  <c r="N1115" i="8"/>
  <c r="N1116" i="8"/>
  <c r="N1117" i="8"/>
  <c r="N1118" i="8"/>
  <c r="N1119" i="8"/>
  <c r="N1120" i="8"/>
  <c r="N1121" i="8"/>
  <c r="N1122" i="8"/>
  <c r="N1123" i="8"/>
  <c r="N1124" i="8"/>
  <c r="N1125" i="8"/>
  <c r="N1126" i="8"/>
  <c r="N1127" i="8"/>
  <c r="N1128" i="8"/>
  <c r="N1129" i="8"/>
  <c r="N1130" i="8"/>
  <c r="N1131" i="8"/>
  <c r="N1132" i="8"/>
  <c r="N1133" i="8"/>
  <c r="N1134" i="8"/>
  <c r="N1135" i="8"/>
  <c r="N1136" i="8"/>
  <c r="N1137" i="8"/>
  <c r="N1138" i="8"/>
  <c r="N1139" i="8"/>
  <c r="N1140" i="8"/>
  <c r="N1141" i="8"/>
  <c r="N1142" i="8"/>
  <c r="N1143" i="8"/>
  <c r="N1144" i="8"/>
  <c r="N1145" i="8"/>
  <c r="N1146" i="8"/>
  <c r="N1147" i="8"/>
  <c r="N1148" i="8"/>
  <c r="N1149" i="8"/>
  <c r="N1150" i="8"/>
  <c r="N1151" i="8"/>
  <c r="N1152" i="8"/>
  <c r="N1153" i="8"/>
  <c r="N1154" i="8"/>
  <c r="N1155" i="8"/>
  <c r="N1156" i="8"/>
  <c r="N1157" i="8"/>
  <c r="N1158" i="8"/>
  <c r="N1159" i="8"/>
  <c r="N1160" i="8"/>
  <c r="N1161" i="8"/>
  <c r="N1162" i="8"/>
  <c r="N1163" i="8"/>
  <c r="N1164" i="8"/>
  <c r="N1165" i="8"/>
  <c r="N1166" i="8"/>
  <c r="N1167" i="8"/>
  <c r="N1168" i="8"/>
  <c r="N1169" i="8"/>
  <c r="N1170" i="8"/>
  <c r="N1171" i="8"/>
  <c r="N1172" i="8"/>
  <c r="N1173" i="8"/>
  <c r="N1174" i="8"/>
  <c r="N1175" i="8"/>
  <c r="N1176" i="8"/>
  <c r="N1177" i="8"/>
  <c r="N1178" i="8"/>
  <c r="N1179" i="8"/>
  <c r="N1180" i="8"/>
  <c r="N1181" i="8"/>
  <c r="N1182" i="8"/>
  <c r="N1183" i="8"/>
  <c r="N1184" i="8"/>
  <c r="N1185" i="8"/>
  <c r="N1186" i="8"/>
  <c r="N1187" i="8"/>
  <c r="N1188" i="8"/>
  <c r="N1189" i="8"/>
  <c r="N1190" i="8"/>
  <c r="N1191" i="8"/>
  <c r="N1192" i="8"/>
  <c r="N1193" i="8"/>
  <c r="N1194" i="8"/>
  <c r="N1195" i="8"/>
  <c r="N1196" i="8"/>
  <c r="N1197" i="8"/>
  <c r="N1198" i="8"/>
  <c r="N1199" i="8"/>
  <c r="N1200" i="8"/>
  <c r="N1201" i="8"/>
  <c r="N1202" i="8"/>
  <c r="N1203" i="8"/>
  <c r="N1204" i="8"/>
  <c r="N1205" i="8"/>
  <c r="N1206" i="8"/>
  <c r="N1207" i="8"/>
  <c r="N1208" i="8"/>
  <c r="N1209" i="8"/>
  <c r="N1210" i="8"/>
  <c r="N1211" i="8"/>
  <c r="N1212" i="8"/>
  <c r="N1213" i="8"/>
  <c r="N1214" i="8"/>
  <c r="N1215" i="8"/>
  <c r="N1216" i="8"/>
  <c r="N1217" i="8"/>
  <c r="N1218" i="8"/>
  <c r="N1219" i="8"/>
  <c r="N1220" i="8"/>
  <c r="N1221" i="8"/>
  <c r="N1222" i="8"/>
  <c r="N1223" i="8"/>
  <c r="N1224" i="8"/>
  <c r="N1225" i="8"/>
  <c r="N1226" i="8"/>
  <c r="N1227" i="8"/>
  <c r="N1228" i="8"/>
  <c r="N1229" i="8"/>
  <c r="N1230" i="8"/>
  <c r="N1231" i="8"/>
  <c r="N1232" i="8"/>
  <c r="N1233" i="8"/>
  <c r="N1234" i="8"/>
  <c r="N1235" i="8"/>
  <c r="N1236" i="8"/>
  <c r="N1237" i="8"/>
  <c r="N1238" i="8"/>
  <c r="N1239" i="8"/>
  <c r="N1240" i="8"/>
  <c r="N1241" i="8"/>
  <c r="N1242" i="8"/>
  <c r="N1243" i="8"/>
  <c r="N1244" i="8"/>
  <c r="N1245" i="8"/>
  <c r="N1246" i="8"/>
  <c r="N1247" i="8"/>
  <c r="N1248" i="8"/>
  <c r="N1249" i="8"/>
  <c r="N1250" i="8"/>
  <c r="N1251"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3"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442" i="8"/>
  <c r="M443" i="8"/>
  <c r="M444" i="8"/>
  <c r="M445" i="8"/>
  <c r="M446" i="8"/>
  <c r="M447" i="8"/>
  <c r="M448" i="8"/>
  <c r="M449" i="8"/>
  <c r="M450" i="8"/>
  <c r="M451" i="8"/>
  <c r="M452" i="8"/>
  <c r="M453" i="8"/>
  <c r="M454" i="8"/>
  <c r="M455" i="8"/>
  <c r="M456" i="8"/>
  <c r="M457" i="8"/>
  <c r="M458" i="8"/>
  <c r="M459" i="8"/>
  <c r="M460" i="8"/>
  <c r="M461" i="8"/>
  <c r="M462" i="8"/>
  <c r="M463" i="8"/>
  <c r="M464" i="8"/>
  <c r="M465" i="8"/>
  <c r="M466" i="8"/>
  <c r="M467" i="8"/>
  <c r="M468" i="8"/>
  <c r="M469" i="8"/>
  <c r="M470" i="8"/>
  <c r="M471" i="8"/>
  <c r="M472" i="8"/>
  <c r="M473" i="8"/>
  <c r="M474" i="8"/>
  <c r="M475" i="8"/>
  <c r="M476" i="8"/>
  <c r="M477" i="8"/>
  <c r="M478" i="8"/>
  <c r="M479" i="8"/>
  <c r="M480" i="8"/>
  <c r="M481" i="8"/>
  <c r="M482" i="8"/>
  <c r="M483" i="8"/>
  <c r="M484" i="8"/>
  <c r="M485" i="8"/>
  <c r="M486" i="8"/>
  <c r="M487" i="8"/>
  <c r="M488" i="8"/>
  <c r="M489" i="8"/>
  <c r="M490" i="8"/>
  <c r="M491" i="8"/>
  <c r="M492" i="8"/>
  <c r="M493" i="8"/>
  <c r="M494" i="8"/>
  <c r="M495" i="8"/>
  <c r="M49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552" i="8"/>
  <c r="M553" i="8"/>
  <c r="M554" i="8"/>
  <c r="M555" i="8"/>
  <c r="M556" i="8"/>
  <c r="M557" i="8"/>
  <c r="M558" i="8"/>
  <c r="M559" i="8"/>
  <c r="M560" i="8"/>
  <c r="M561" i="8"/>
  <c r="M562" i="8"/>
  <c r="M563" i="8"/>
  <c r="M564" i="8"/>
  <c r="M565" i="8"/>
  <c r="M566" i="8"/>
  <c r="M567" i="8"/>
  <c r="M568" i="8"/>
  <c r="M569" i="8"/>
  <c r="M570" i="8"/>
  <c r="M571" i="8"/>
  <c r="M572" i="8"/>
  <c r="M573" i="8"/>
  <c r="M574" i="8"/>
  <c r="M575" i="8"/>
  <c r="M576" i="8"/>
  <c r="M577" i="8"/>
  <c r="M578" i="8"/>
  <c r="M579" i="8"/>
  <c r="M580" i="8"/>
  <c r="M581" i="8"/>
  <c r="M582" i="8"/>
  <c r="M583" i="8"/>
  <c r="M584" i="8"/>
  <c r="M585" i="8"/>
  <c r="M586" i="8"/>
  <c r="M587" i="8"/>
  <c r="M588" i="8"/>
  <c r="M589" i="8"/>
  <c r="M590" i="8"/>
  <c r="M591" i="8"/>
  <c r="M592" i="8"/>
  <c r="M593" i="8"/>
  <c r="M594" i="8"/>
  <c r="M595" i="8"/>
  <c r="M596" i="8"/>
  <c r="M597" i="8"/>
  <c r="M598" i="8"/>
  <c r="M599" i="8"/>
  <c r="M600" i="8"/>
  <c r="M601" i="8"/>
  <c r="M602" i="8"/>
  <c r="M603" i="8"/>
  <c r="M604" i="8"/>
  <c r="M605" i="8"/>
  <c r="M606" i="8"/>
  <c r="M607" i="8"/>
  <c r="M608" i="8"/>
  <c r="M609" i="8"/>
  <c r="M610" i="8"/>
  <c r="M611" i="8"/>
  <c r="M612" i="8"/>
  <c r="M613" i="8"/>
  <c r="M614" i="8"/>
  <c r="M615" i="8"/>
  <c r="M616" i="8"/>
  <c r="M617" i="8"/>
  <c r="M618" i="8"/>
  <c r="M619" i="8"/>
  <c r="M620" i="8"/>
  <c r="M621" i="8"/>
  <c r="M622" i="8"/>
  <c r="M623" i="8"/>
  <c r="M624" i="8"/>
  <c r="M625" i="8"/>
  <c r="M626" i="8"/>
  <c r="M627" i="8"/>
  <c r="M628" i="8"/>
  <c r="M629" i="8"/>
  <c r="M630" i="8"/>
  <c r="M631" i="8"/>
  <c r="M632" i="8"/>
  <c r="M633" i="8"/>
  <c r="M634" i="8"/>
  <c r="M635" i="8"/>
  <c r="M636" i="8"/>
  <c r="M637" i="8"/>
  <c r="M638" i="8"/>
  <c r="M639" i="8"/>
  <c r="M640" i="8"/>
  <c r="M641" i="8"/>
  <c r="M642" i="8"/>
  <c r="M643" i="8"/>
  <c r="M644" i="8"/>
  <c r="M645" i="8"/>
  <c r="M646" i="8"/>
  <c r="M647" i="8"/>
  <c r="M648" i="8"/>
  <c r="M649" i="8"/>
  <c r="M650" i="8"/>
  <c r="M651" i="8"/>
  <c r="M652" i="8"/>
  <c r="M653" i="8"/>
  <c r="M654" i="8"/>
  <c r="M655" i="8"/>
  <c r="M656" i="8"/>
  <c r="M657" i="8"/>
  <c r="M658" i="8"/>
  <c r="M659" i="8"/>
  <c r="M660" i="8"/>
  <c r="M661" i="8"/>
  <c r="M662" i="8"/>
  <c r="M663" i="8"/>
  <c r="M664" i="8"/>
  <c r="M665" i="8"/>
  <c r="M666" i="8"/>
  <c r="M667" i="8"/>
  <c r="M668" i="8"/>
  <c r="M669" i="8"/>
  <c r="M670" i="8"/>
  <c r="M671" i="8"/>
  <c r="M672" i="8"/>
  <c r="M673" i="8"/>
  <c r="M674" i="8"/>
  <c r="M675" i="8"/>
  <c r="M676" i="8"/>
  <c r="M677" i="8"/>
  <c r="M678" i="8"/>
  <c r="M679" i="8"/>
  <c r="M680" i="8"/>
  <c r="M681" i="8"/>
  <c r="M682" i="8"/>
  <c r="M683" i="8"/>
  <c r="M684" i="8"/>
  <c r="M685" i="8"/>
  <c r="M686" i="8"/>
  <c r="M687" i="8"/>
  <c r="M688" i="8"/>
  <c r="M689" i="8"/>
  <c r="M690" i="8"/>
  <c r="M691" i="8"/>
  <c r="M692" i="8"/>
  <c r="M693" i="8"/>
  <c r="M694" i="8"/>
  <c r="M695" i="8"/>
  <c r="M696" i="8"/>
  <c r="M697" i="8"/>
  <c r="M698" i="8"/>
  <c r="M699" i="8"/>
  <c r="M700" i="8"/>
  <c r="M701" i="8"/>
  <c r="M702" i="8"/>
  <c r="M703" i="8"/>
  <c r="M704" i="8"/>
  <c r="M705" i="8"/>
  <c r="M706" i="8"/>
  <c r="M707" i="8"/>
  <c r="M708" i="8"/>
  <c r="M709" i="8"/>
  <c r="M710" i="8"/>
  <c r="M711" i="8"/>
  <c r="M712" i="8"/>
  <c r="M713" i="8"/>
  <c r="M714" i="8"/>
  <c r="M715" i="8"/>
  <c r="M716" i="8"/>
  <c r="M717" i="8"/>
  <c r="M718" i="8"/>
  <c r="M719" i="8"/>
  <c r="M720" i="8"/>
  <c r="M721" i="8"/>
  <c r="M722" i="8"/>
  <c r="M723" i="8"/>
  <c r="M724" i="8"/>
  <c r="M725" i="8"/>
  <c r="M726" i="8"/>
  <c r="M727" i="8"/>
  <c r="M728" i="8"/>
  <c r="M729" i="8"/>
  <c r="M730" i="8"/>
  <c r="M731" i="8"/>
  <c r="M732" i="8"/>
  <c r="M733" i="8"/>
  <c r="M734" i="8"/>
  <c r="M735" i="8"/>
  <c r="M736" i="8"/>
  <c r="M737" i="8"/>
  <c r="M738" i="8"/>
  <c r="M739" i="8"/>
  <c r="M740" i="8"/>
  <c r="M741" i="8"/>
  <c r="M742" i="8"/>
  <c r="M743" i="8"/>
  <c r="M744" i="8"/>
  <c r="M745" i="8"/>
  <c r="M746" i="8"/>
  <c r="M747" i="8"/>
  <c r="M748" i="8"/>
  <c r="M749" i="8"/>
  <c r="M750" i="8"/>
  <c r="M751" i="8"/>
  <c r="M752" i="8"/>
  <c r="M753" i="8"/>
  <c r="M754" i="8"/>
  <c r="M755" i="8"/>
  <c r="M756" i="8"/>
  <c r="M757" i="8"/>
  <c r="M758" i="8"/>
  <c r="M759" i="8"/>
  <c r="M760" i="8"/>
  <c r="M761" i="8"/>
  <c r="M762" i="8"/>
  <c r="M763" i="8"/>
  <c r="M764" i="8"/>
  <c r="M765" i="8"/>
  <c r="M766" i="8"/>
  <c r="M767" i="8"/>
  <c r="M768" i="8"/>
  <c r="M769" i="8"/>
  <c r="M770" i="8"/>
  <c r="M771" i="8"/>
  <c r="M772" i="8"/>
  <c r="M773" i="8"/>
  <c r="M774" i="8"/>
  <c r="M775" i="8"/>
  <c r="M776" i="8"/>
  <c r="M777" i="8"/>
  <c r="M778" i="8"/>
  <c r="M779" i="8"/>
  <c r="M780" i="8"/>
  <c r="M781" i="8"/>
  <c r="M782" i="8"/>
  <c r="M783" i="8"/>
  <c r="M784" i="8"/>
  <c r="M785" i="8"/>
  <c r="M786" i="8"/>
  <c r="M787" i="8"/>
  <c r="M788" i="8"/>
  <c r="M789" i="8"/>
  <c r="M790" i="8"/>
  <c r="M791" i="8"/>
  <c r="M792" i="8"/>
  <c r="M793" i="8"/>
  <c r="M794" i="8"/>
  <c r="M795" i="8"/>
  <c r="M796" i="8"/>
  <c r="M797" i="8"/>
  <c r="M798" i="8"/>
  <c r="M799" i="8"/>
  <c r="M800" i="8"/>
  <c r="M801" i="8"/>
  <c r="M802" i="8"/>
  <c r="M803" i="8"/>
  <c r="M804" i="8"/>
  <c r="M805" i="8"/>
  <c r="M806" i="8"/>
  <c r="M807" i="8"/>
  <c r="M808" i="8"/>
  <c r="M809" i="8"/>
  <c r="M810" i="8"/>
  <c r="M811" i="8"/>
  <c r="M812" i="8"/>
  <c r="M813" i="8"/>
  <c r="M814" i="8"/>
  <c r="M815" i="8"/>
  <c r="M816" i="8"/>
  <c r="M817" i="8"/>
  <c r="M818" i="8"/>
  <c r="M819" i="8"/>
  <c r="M820" i="8"/>
  <c r="M821" i="8"/>
  <c r="M822" i="8"/>
  <c r="M823" i="8"/>
  <c r="M824" i="8"/>
  <c r="M825" i="8"/>
  <c r="M826" i="8"/>
  <c r="M827" i="8"/>
  <c r="M828" i="8"/>
  <c r="M829" i="8"/>
  <c r="M830" i="8"/>
  <c r="M831" i="8"/>
  <c r="M832" i="8"/>
  <c r="M833" i="8"/>
  <c r="M834" i="8"/>
  <c r="M835" i="8"/>
  <c r="M836" i="8"/>
  <c r="M837" i="8"/>
  <c r="M838" i="8"/>
  <c r="M839" i="8"/>
  <c r="M840" i="8"/>
  <c r="M841" i="8"/>
  <c r="M842" i="8"/>
  <c r="M843" i="8"/>
  <c r="M844" i="8"/>
  <c r="M845" i="8"/>
  <c r="M846" i="8"/>
  <c r="M847" i="8"/>
  <c r="M848" i="8"/>
  <c r="M849" i="8"/>
  <c r="M850" i="8"/>
  <c r="M851" i="8"/>
  <c r="M852" i="8"/>
  <c r="M853" i="8"/>
  <c r="M854" i="8"/>
  <c r="M855" i="8"/>
  <c r="M856" i="8"/>
  <c r="M857" i="8"/>
  <c r="M858" i="8"/>
  <c r="M859" i="8"/>
  <c r="M860" i="8"/>
  <c r="M861" i="8"/>
  <c r="M862" i="8"/>
  <c r="M863" i="8"/>
  <c r="M864" i="8"/>
  <c r="M865" i="8"/>
  <c r="M866" i="8"/>
  <c r="M867" i="8"/>
  <c r="M868" i="8"/>
  <c r="M869" i="8"/>
  <c r="M870" i="8"/>
  <c r="M871" i="8"/>
  <c r="M872" i="8"/>
  <c r="M873" i="8"/>
  <c r="M874" i="8"/>
  <c r="M875" i="8"/>
  <c r="M876" i="8"/>
  <c r="M877" i="8"/>
  <c r="M878" i="8"/>
  <c r="M879" i="8"/>
  <c r="M880" i="8"/>
  <c r="M881" i="8"/>
  <c r="M882" i="8"/>
  <c r="M883" i="8"/>
  <c r="M884" i="8"/>
  <c r="M885" i="8"/>
  <c r="M886" i="8"/>
  <c r="M887" i="8"/>
  <c r="M888" i="8"/>
  <c r="M889" i="8"/>
  <c r="M890" i="8"/>
  <c r="M891" i="8"/>
  <c r="M892" i="8"/>
  <c r="M893" i="8"/>
  <c r="M894" i="8"/>
  <c r="M895" i="8"/>
  <c r="M896" i="8"/>
  <c r="M897" i="8"/>
  <c r="M898" i="8"/>
  <c r="M899" i="8"/>
  <c r="M900" i="8"/>
  <c r="M901" i="8"/>
  <c r="M902" i="8"/>
  <c r="M903" i="8"/>
  <c r="M904" i="8"/>
  <c r="M905" i="8"/>
  <c r="M906" i="8"/>
  <c r="M907" i="8"/>
  <c r="M908" i="8"/>
  <c r="M909" i="8"/>
  <c r="M910" i="8"/>
  <c r="M911" i="8"/>
  <c r="M912" i="8"/>
  <c r="M913" i="8"/>
  <c r="M914" i="8"/>
  <c r="M915" i="8"/>
  <c r="M916" i="8"/>
  <c r="M917" i="8"/>
  <c r="M918" i="8"/>
  <c r="M919" i="8"/>
  <c r="M920" i="8"/>
  <c r="M921" i="8"/>
  <c r="M922" i="8"/>
  <c r="M923" i="8"/>
  <c r="M924" i="8"/>
  <c r="M925" i="8"/>
  <c r="M926" i="8"/>
  <c r="M927" i="8"/>
  <c r="M928" i="8"/>
  <c r="M929" i="8"/>
  <c r="M930" i="8"/>
  <c r="M931" i="8"/>
  <c r="M932" i="8"/>
  <c r="M933" i="8"/>
  <c r="M934" i="8"/>
  <c r="M935" i="8"/>
  <c r="M93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992" i="8"/>
  <c r="M993" i="8"/>
  <c r="M994" i="8"/>
  <c r="M995" i="8"/>
  <c r="M996" i="8"/>
  <c r="M997" i="8"/>
  <c r="M998"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M1155" i="8"/>
  <c r="M1156" i="8"/>
  <c r="M1157" i="8"/>
  <c r="M1158" i="8"/>
  <c r="M1159" i="8"/>
  <c r="M1160" i="8"/>
  <c r="M1161" i="8"/>
  <c r="M1162" i="8"/>
  <c r="M1163" i="8"/>
  <c r="M1164" i="8"/>
  <c r="M1165" i="8"/>
  <c r="M1166" i="8"/>
  <c r="M1167" i="8"/>
  <c r="M1168" i="8"/>
  <c r="M1169" i="8"/>
  <c r="M1170" i="8"/>
  <c r="M1171" i="8"/>
  <c r="M1172" i="8"/>
  <c r="M1173" i="8"/>
  <c r="M1174" i="8"/>
  <c r="M1175" i="8"/>
  <c r="M1176" i="8"/>
  <c r="M1177" i="8"/>
  <c r="M1178" i="8"/>
  <c r="M1179" i="8"/>
  <c r="M1180" i="8"/>
  <c r="M1181" i="8"/>
  <c r="M1182" i="8"/>
  <c r="M1183" i="8"/>
  <c r="M1184" i="8"/>
  <c r="M1185" i="8"/>
  <c r="M1186" i="8"/>
  <c r="M1187" i="8"/>
  <c r="M1188" i="8"/>
  <c r="M1189" i="8"/>
  <c r="M1190" i="8"/>
  <c r="M1191" i="8"/>
  <c r="M1192" i="8"/>
  <c r="M1193" i="8"/>
  <c r="M1194" i="8"/>
  <c r="M1195" i="8"/>
  <c r="M1196" i="8"/>
  <c r="M1197" i="8"/>
  <c r="M1198" i="8"/>
  <c r="M1199" i="8"/>
  <c r="M1200" i="8"/>
  <c r="M1201" i="8"/>
  <c r="M1202" i="8"/>
  <c r="M1203" i="8"/>
  <c r="M1204" i="8"/>
  <c r="M1205" i="8"/>
  <c r="M1206" i="8"/>
  <c r="M1207" i="8"/>
  <c r="M1208" i="8"/>
  <c r="M1209" i="8"/>
  <c r="M1210" i="8"/>
  <c r="M121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3"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607" i="8"/>
  <c r="L608" i="8"/>
  <c r="L609" i="8"/>
  <c r="L610" i="8"/>
  <c r="L611" i="8"/>
  <c r="L612" i="8"/>
  <c r="L613" i="8"/>
  <c r="L614" i="8"/>
  <c r="L615" i="8"/>
  <c r="L616" i="8"/>
  <c r="L617" i="8"/>
  <c r="L618" i="8"/>
  <c r="L619" i="8"/>
  <c r="L620" i="8"/>
  <c r="L621" i="8"/>
  <c r="L622" i="8"/>
  <c r="L623" i="8"/>
  <c r="L624" i="8"/>
  <c r="L625" i="8"/>
  <c r="L626" i="8"/>
  <c r="L627" i="8"/>
  <c r="L628" i="8"/>
  <c r="L629" i="8"/>
  <c r="L630" i="8"/>
  <c r="L631" i="8"/>
  <c r="L632" i="8"/>
  <c r="L633" i="8"/>
  <c r="L634" i="8"/>
  <c r="L635" i="8"/>
  <c r="L636" i="8"/>
  <c r="L637" i="8"/>
  <c r="L638" i="8"/>
  <c r="L639" i="8"/>
  <c r="L640" i="8"/>
  <c r="L641" i="8"/>
  <c r="L642" i="8"/>
  <c r="L643" i="8"/>
  <c r="L644" i="8"/>
  <c r="L645" i="8"/>
  <c r="L646" i="8"/>
  <c r="L647" i="8"/>
  <c r="L648" i="8"/>
  <c r="L649" i="8"/>
  <c r="L650" i="8"/>
  <c r="L651" i="8"/>
  <c r="L652" i="8"/>
  <c r="L653" i="8"/>
  <c r="L654" i="8"/>
  <c r="L655" i="8"/>
  <c r="L656" i="8"/>
  <c r="L657" i="8"/>
  <c r="L658" i="8"/>
  <c r="L659" i="8"/>
  <c r="L660" i="8"/>
  <c r="L661" i="8"/>
  <c r="L662" i="8"/>
  <c r="L663" i="8"/>
  <c r="L664" i="8"/>
  <c r="L665" i="8"/>
  <c r="L666" i="8"/>
  <c r="L667" i="8"/>
  <c r="L668" i="8"/>
  <c r="L669" i="8"/>
  <c r="L670" i="8"/>
  <c r="L671" i="8"/>
  <c r="L672" i="8"/>
  <c r="L673" i="8"/>
  <c r="L674" i="8"/>
  <c r="L675" i="8"/>
  <c r="L676" i="8"/>
  <c r="L677" i="8"/>
  <c r="L678" i="8"/>
  <c r="L679" i="8"/>
  <c r="L680" i="8"/>
  <c r="L681" i="8"/>
  <c r="L682" i="8"/>
  <c r="L683" i="8"/>
  <c r="L684" i="8"/>
  <c r="L685" i="8"/>
  <c r="L686" i="8"/>
  <c r="L687" i="8"/>
  <c r="L688" i="8"/>
  <c r="L689" i="8"/>
  <c r="L690" i="8"/>
  <c r="L691" i="8"/>
  <c r="L692" i="8"/>
  <c r="L693" i="8"/>
  <c r="L694" i="8"/>
  <c r="L695" i="8"/>
  <c r="L696" i="8"/>
  <c r="L697" i="8"/>
  <c r="L698" i="8"/>
  <c r="L699" i="8"/>
  <c r="L700" i="8"/>
  <c r="L701" i="8"/>
  <c r="L702" i="8"/>
  <c r="L703" i="8"/>
  <c r="L704" i="8"/>
  <c r="L705" i="8"/>
  <c r="L706" i="8"/>
  <c r="L707" i="8"/>
  <c r="L708" i="8"/>
  <c r="L709" i="8"/>
  <c r="L710" i="8"/>
  <c r="L711" i="8"/>
  <c r="L712" i="8"/>
  <c r="L713" i="8"/>
  <c r="L714" i="8"/>
  <c r="L715" i="8"/>
  <c r="L716" i="8"/>
  <c r="L717" i="8"/>
  <c r="L718" i="8"/>
  <c r="L719" i="8"/>
  <c r="L720" i="8"/>
  <c r="L721" i="8"/>
  <c r="L722" i="8"/>
  <c r="L723" i="8"/>
  <c r="L724" i="8"/>
  <c r="L725" i="8"/>
  <c r="L726" i="8"/>
  <c r="L727" i="8"/>
  <c r="L728" i="8"/>
  <c r="L729" i="8"/>
  <c r="L730" i="8"/>
  <c r="L731" i="8"/>
  <c r="L732" i="8"/>
  <c r="L733" i="8"/>
  <c r="L734" i="8"/>
  <c r="L735" i="8"/>
  <c r="L736" i="8"/>
  <c r="L737" i="8"/>
  <c r="L738" i="8"/>
  <c r="L739" i="8"/>
  <c r="L740" i="8"/>
  <c r="L741" i="8"/>
  <c r="L742" i="8"/>
  <c r="L743" i="8"/>
  <c r="L744" i="8"/>
  <c r="L745" i="8"/>
  <c r="L746" i="8"/>
  <c r="L747" i="8"/>
  <c r="L748" i="8"/>
  <c r="L749" i="8"/>
  <c r="L750" i="8"/>
  <c r="L751" i="8"/>
  <c r="L752" i="8"/>
  <c r="L753" i="8"/>
  <c r="L754" i="8"/>
  <c r="L755" i="8"/>
  <c r="L756" i="8"/>
  <c r="L757" i="8"/>
  <c r="L758" i="8"/>
  <c r="L759" i="8"/>
  <c r="L760" i="8"/>
  <c r="L761" i="8"/>
  <c r="L762" i="8"/>
  <c r="L763" i="8"/>
  <c r="L764" i="8"/>
  <c r="L765" i="8"/>
  <c r="L766" i="8"/>
  <c r="L767" i="8"/>
  <c r="L768" i="8"/>
  <c r="L769" i="8"/>
  <c r="L770" i="8"/>
  <c r="L771" i="8"/>
  <c r="L772" i="8"/>
  <c r="L773" i="8"/>
  <c r="L774" i="8"/>
  <c r="L775" i="8"/>
  <c r="L776" i="8"/>
  <c r="L777" i="8"/>
  <c r="L778" i="8"/>
  <c r="L779" i="8"/>
  <c r="L780" i="8"/>
  <c r="L781" i="8"/>
  <c r="L782" i="8"/>
  <c r="L783" i="8"/>
  <c r="L784" i="8"/>
  <c r="L785" i="8"/>
  <c r="L786" i="8"/>
  <c r="L787" i="8"/>
  <c r="L788" i="8"/>
  <c r="L789" i="8"/>
  <c r="L790" i="8"/>
  <c r="L791" i="8"/>
  <c r="L792" i="8"/>
  <c r="L793" i="8"/>
  <c r="L794" i="8"/>
  <c r="L795" i="8"/>
  <c r="L796" i="8"/>
  <c r="L797" i="8"/>
  <c r="L798" i="8"/>
  <c r="L799" i="8"/>
  <c r="L800" i="8"/>
  <c r="L801" i="8"/>
  <c r="L802" i="8"/>
  <c r="L803" i="8"/>
  <c r="L804" i="8"/>
  <c r="L805" i="8"/>
  <c r="L806" i="8"/>
  <c r="L807" i="8"/>
  <c r="L808" i="8"/>
  <c r="L809" i="8"/>
  <c r="L810" i="8"/>
  <c r="L811" i="8"/>
  <c r="L812" i="8"/>
  <c r="L813" i="8"/>
  <c r="L814" i="8"/>
  <c r="L815" i="8"/>
  <c r="L816" i="8"/>
  <c r="L817" i="8"/>
  <c r="L818" i="8"/>
  <c r="L819" i="8"/>
  <c r="L820" i="8"/>
  <c r="L821" i="8"/>
  <c r="L822" i="8"/>
  <c r="L823" i="8"/>
  <c r="L824" i="8"/>
  <c r="L825" i="8"/>
  <c r="L826" i="8"/>
  <c r="L827" i="8"/>
  <c r="L828" i="8"/>
  <c r="L829" i="8"/>
  <c r="L830" i="8"/>
  <c r="L831" i="8"/>
  <c r="L832" i="8"/>
  <c r="L833" i="8"/>
  <c r="L834" i="8"/>
  <c r="L835" i="8"/>
  <c r="L836" i="8"/>
  <c r="L837" i="8"/>
  <c r="L838" i="8"/>
  <c r="L839" i="8"/>
  <c r="L840" i="8"/>
  <c r="L841" i="8"/>
  <c r="L842" i="8"/>
  <c r="L843" i="8"/>
  <c r="L844" i="8"/>
  <c r="L845" i="8"/>
  <c r="L846" i="8"/>
  <c r="L847" i="8"/>
  <c r="L848" i="8"/>
  <c r="L849" i="8"/>
  <c r="L850" i="8"/>
  <c r="L851" i="8"/>
  <c r="L852" i="8"/>
  <c r="L853" i="8"/>
  <c r="L854" i="8"/>
  <c r="L855" i="8"/>
  <c r="L856" i="8"/>
  <c r="L857" i="8"/>
  <c r="L858" i="8"/>
  <c r="L859" i="8"/>
  <c r="L860" i="8"/>
  <c r="L861" i="8"/>
  <c r="L862" i="8"/>
  <c r="L863" i="8"/>
  <c r="L864" i="8"/>
  <c r="L865" i="8"/>
  <c r="L866" i="8"/>
  <c r="L867" i="8"/>
  <c r="L868" i="8"/>
  <c r="L869" i="8"/>
  <c r="L870" i="8"/>
  <c r="L871" i="8"/>
  <c r="L872" i="8"/>
  <c r="L873" i="8"/>
  <c r="L874" i="8"/>
  <c r="L875" i="8"/>
  <c r="L876" i="8"/>
  <c r="L877" i="8"/>
  <c r="L878" i="8"/>
  <c r="L879" i="8"/>
  <c r="L880" i="8"/>
  <c r="L881" i="8"/>
  <c r="L882" i="8"/>
  <c r="L883" i="8"/>
  <c r="L884" i="8"/>
  <c r="L885" i="8"/>
  <c r="L886" i="8"/>
  <c r="L887" i="8"/>
  <c r="L88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1" i="8"/>
  <c r="L982" i="8"/>
  <c r="L983" i="8"/>
  <c r="L984" i="8"/>
  <c r="L985" i="8"/>
  <c r="L987" i="8"/>
  <c r="L988" i="8"/>
  <c r="L989" i="8"/>
  <c r="L990" i="8"/>
  <c r="L991" i="8"/>
  <c r="L992" i="8"/>
  <c r="L993" i="8"/>
  <c r="L994" i="8"/>
  <c r="L995" i="8"/>
  <c r="L996" i="8"/>
  <c r="L997" i="8"/>
  <c r="L998" i="8"/>
  <c r="L999" i="8"/>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45" i="8"/>
  <c r="L1046" i="8"/>
  <c r="L1047" i="8"/>
  <c r="L1048" i="8"/>
  <c r="L1049" i="8"/>
  <c r="L1050" i="8"/>
  <c r="L1051" i="8"/>
  <c r="L1052" i="8"/>
  <c r="L1053" i="8"/>
  <c r="L1054" i="8"/>
  <c r="L1055" i="8"/>
  <c r="L1056" i="8"/>
  <c r="L1057" i="8"/>
  <c r="L1058" i="8"/>
  <c r="L1059" i="8"/>
  <c r="L1060" i="8"/>
  <c r="L1061" i="8"/>
  <c r="L1062" i="8"/>
  <c r="L1063" i="8"/>
  <c r="L1064" i="8"/>
  <c r="L1065" i="8"/>
  <c r="L1066" i="8"/>
  <c r="L1067" i="8"/>
  <c r="L1068" i="8"/>
  <c r="L1069" i="8"/>
  <c r="L1070" i="8"/>
  <c r="L1071" i="8"/>
  <c r="L1072" i="8"/>
  <c r="L1073" i="8"/>
  <c r="L1074" i="8"/>
  <c r="L1075" i="8"/>
  <c r="L1076" i="8"/>
  <c r="L1077" i="8"/>
  <c r="L1078" i="8"/>
  <c r="L1079" i="8"/>
  <c r="L1080" i="8"/>
  <c r="L1081" i="8"/>
  <c r="L1082" i="8"/>
  <c r="L1083" i="8"/>
  <c r="L108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L1155" i="8"/>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C49" i="5" l="1"/>
  <c r="H7" i="9"/>
  <c r="P8" i="18"/>
  <c r="G7" i="9"/>
  <c r="F7" i="9"/>
  <c r="N8" i="18"/>
  <c r="E7" i="9"/>
  <c r="M8" i="18"/>
  <c r="H51" i="5"/>
  <c r="C36" i="5"/>
  <c r="C35" i="5"/>
  <c r="D20" i="9"/>
  <c r="D21" i="9" s="1"/>
  <c r="D26" i="9"/>
  <c r="G51" i="5"/>
  <c r="G36" i="5"/>
  <c r="B3" i="18"/>
  <c r="M7" i="18"/>
  <c r="D4" i="9"/>
  <c r="D27" i="9"/>
  <c r="D22" i="9"/>
  <c r="D23" i="9" s="1"/>
  <c r="B2" i="24"/>
  <c r="F51" i="5"/>
  <c r="F36" i="5"/>
  <c r="D30" i="9"/>
  <c r="B10" i="24"/>
  <c r="D51" i="5"/>
  <c r="D36" i="5"/>
  <c r="D12" i="9"/>
  <c r="D13" i="9"/>
  <c r="B15" i="14"/>
  <c r="B17" i="14" s="1"/>
  <c r="B19" i="14" s="1"/>
  <c r="B23" i="14" s="1"/>
  <c r="C51" i="5"/>
  <c r="B6" i="18"/>
  <c r="I7" i="9"/>
  <c r="Q8" i="18"/>
  <c r="C27" i="5"/>
  <c r="C4" i="14"/>
  <c r="C5" i="14" s="1"/>
  <c r="C13" i="5"/>
  <c r="C22" i="14"/>
  <c r="C55" i="14"/>
  <c r="H55" i="14"/>
  <c r="G55" i="14"/>
  <c r="C11" i="14"/>
  <c r="D55" i="14"/>
  <c r="F55" i="14"/>
  <c r="C122" i="14"/>
  <c r="C74" i="14"/>
  <c r="M6" i="18" s="1"/>
  <c r="C5" i="18" s="1"/>
  <c r="C75" i="14"/>
  <c r="M2" i="18" s="1"/>
  <c r="C2" i="18" s="1"/>
  <c r="C76" i="14"/>
  <c r="C58" i="5" s="1"/>
  <c r="C77" i="14"/>
  <c r="C78" i="14"/>
  <c r="C79" i="14"/>
  <c r="C80" i="14"/>
  <c r="C81" i="14"/>
  <c r="C82" i="14"/>
  <c r="C85" i="14"/>
  <c r="C86" i="14"/>
  <c r="C87" i="14"/>
  <c r="D15" i="9" s="1"/>
  <c r="C88" i="14"/>
  <c r="C89" i="14"/>
  <c r="B8" i="24" s="1"/>
  <c r="C90" i="14"/>
  <c r="D9" i="9" s="1"/>
  <c r="C91" i="14"/>
  <c r="C92" i="14"/>
  <c r="C93" i="14"/>
  <c r="C94" i="14"/>
  <c r="C95" i="14"/>
  <c r="C70" i="5" s="1"/>
  <c r="C96" i="14"/>
  <c r="M3" i="18" s="1"/>
  <c r="C3" i="18" s="1"/>
  <c r="C97" i="14"/>
  <c r="M4" i="18" s="1"/>
  <c r="C98" i="14"/>
  <c r="C99" i="14"/>
  <c r="C100" i="14"/>
  <c r="D24" i="9" l="1"/>
  <c r="E9" i="9"/>
  <c r="D28" i="9"/>
  <c r="D25" i="9" s="1"/>
  <c r="B36" i="5"/>
  <c r="D17" i="9"/>
  <c r="D16" i="9"/>
  <c r="C59" i="5"/>
  <c r="C2" i="7"/>
  <c r="C6" i="18"/>
  <c r="C7" i="9"/>
  <c r="C15" i="14"/>
  <c r="D5" i="9" s="1"/>
  <c r="B4" i="24"/>
  <c r="B5" i="24" s="1"/>
  <c r="B7" i="18"/>
  <c r="C4" i="18"/>
  <c r="C7" i="18" s="1"/>
  <c r="C84" i="14"/>
  <c r="C130" i="14"/>
  <c r="D130" i="14"/>
  <c r="E130" i="14"/>
  <c r="F130" i="14"/>
  <c r="G130" i="14"/>
  <c r="H130" i="14"/>
  <c r="C131" i="14"/>
  <c r="D131" i="14"/>
  <c r="E131" i="14"/>
  <c r="F131" i="14"/>
  <c r="G131" i="14"/>
  <c r="H131" i="14"/>
  <c r="C132" i="14"/>
  <c r="D132" i="14"/>
  <c r="E132" i="14"/>
  <c r="F132" i="14"/>
  <c r="G132" i="14"/>
  <c r="H132" i="14"/>
  <c r="C133" i="14"/>
  <c r="D133" i="14"/>
  <c r="E133" i="14"/>
  <c r="F133" i="14"/>
  <c r="G133" i="14"/>
  <c r="H133" i="14"/>
  <c r="C134" i="14"/>
  <c r="D134" i="14"/>
  <c r="E134" i="14"/>
  <c r="F134" i="14"/>
  <c r="G134" i="14"/>
  <c r="H134" i="14"/>
  <c r="C135" i="14"/>
  <c r="D135" i="14"/>
  <c r="E135" i="14"/>
  <c r="F135" i="14"/>
  <c r="G135" i="14"/>
  <c r="H135" i="14"/>
  <c r="C136" i="14"/>
  <c r="D136" i="14"/>
  <c r="E136" i="14"/>
  <c r="F136" i="14"/>
  <c r="G136" i="14"/>
  <c r="H136" i="14"/>
  <c r="C137" i="14"/>
  <c r="D137" i="14"/>
  <c r="E137" i="14"/>
  <c r="F137" i="14"/>
  <c r="G137" i="14"/>
  <c r="H137" i="14"/>
  <c r="I137" i="14" s="1"/>
  <c r="C138" i="14"/>
  <c r="D138" i="14"/>
  <c r="E138" i="14"/>
  <c r="F138" i="14"/>
  <c r="G138" i="14"/>
  <c r="H138" i="14"/>
  <c r="C139" i="14"/>
  <c r="D139" i="14"/>
  <c r="E139" i="14"/>
  <c r="F139" i="14"/>
  <c r="G139" i="14"/>
  <c r="H139" i="14"/>
  <c r="D122" i="14"/>
  <c r="E122" i="14"/>
  <c r="F122" i="14"/>
  <c r="G122" i="14"/>
  <c r="H122" i="14"/>
  <c r="C123" i="14"/>
  <c r="D123" i="14"/>
  <c r="E123" i="14"/>
  <c r="F123" i="14"/>
  <c r="G123" i="14"/>
  <c r="H123" i="14"/>
  <c r="C124" i="14"/>
  <c r="D124" i="14"/>
  <c r="E124" i="14"/>
  <c r="F124" i="14"/>
  <c r="G124" i="14"/>
  <c r="H124" i="14"/>
  <c r="C125" i="14"/>
  <c r="D125" i="14"/>
  <c r="E125" i="14"/>
  <c r="F125" i="14"/>
  <c r="G125" i="14"/>
  <c r="H125" i="14"/>
  <c r="C126" i="14"/>
  <c r="D126" i="14"/>
  <c r="E126" i="14"/>
  <c r="F126" i="14"/>
  <c r="G126" i="14"/>
  <c r="H126" i="14"/>
  <c r="C127" i="14"/>
  <c r="D127" i="14"/>
  <c r="E127" i="14"/>
  <c r="F127" i="14"/>
  <c r="G127" i="14"/>
  <c r="H127" i="14"/>
  <c r="C128" i="14"/>
  <c r="D128" i="14"/>
  <c r="E128" i="14"/>
  <c r="F128" i="14"/>
  <c r="G128" i="14"/>
  <c r="G104" i="14"/>
  <c r="H104" i="14"/>
  <c r="G106" i="14"/>
  <c r="G3" i="7" s="1"/>
  <c r="H106" i="14"/>
  <c r="H3" i="7" s="1"/>
  <c r="G107" i="14"/>
  <c r="H107" i="14"/>
  <c r="G108" i="14"/>
  <c r="H108" i="14"/>
  <c r="G109" i="14"/>
  <c r="H109" i="14"/>
  <c r="G110" i="14"/>
  <c r="H110" i="14"/>
  <c r="G111" i="14"/>
  <c r="G112" i="14"/>
  <c r="H112" i="14"/>
  <c r="G113" i="14"/>
  <c r="H113" i="14"/>
  <c r="G114" i="14"/>
  <c r="H114" i="14"/>
  <c r="G115" i="14"/>
  <c r="H115" i="14"/>
  <c r="G116" i="14"/>
  <c r="H116" i="14"/>
  <c r="G117" i="14"/>
  <c r="G118" i="14"/>
  <c r="H118" i="14"/>
  <c r="G119" i="14"/>
  <c r="H119" i="14"/>
  <c r="G120" i="14"/>
  <c r="D104" i="14"/>
  <c r="E104" i="14"/>
  <c r="F104" i="14"/>
  <c r="D106" i="14"/>
  <c r="D3" i="7" s="1"/>
  <c r="E106" i="14"/>
  <c r="E3" i="7" s="1"/>
  <c r="F106" i="14"/>
  <c r="F3" i="7" s="1"/>
  <c r="D107" i="14"/>
  <c r="E107" i="14"/>
  <c r="F107" i="14"/>
  <c r="D108" i="14"/>
  <c r="E108" i="14"/>
  <c r="F108" i="14"/>
  <c r="D109" i="14"/>
  <c r="E109" i="14"/>
  <c r="F109" i="14"/>
  <c r="D110" i="14"/>
  <c r="E110" i="14"/>
  <c r="F110" i="14"/>
  <c r="D111" i="14"/>
  <c r="E111" i="14"/>
  <c r="F111" i="14"/>
  <c r="D112" i="14"/>
  <c r="E112" i="14"/>
  <c r="F112" i="14"/>
  <c r="D113" i="14"/>
  <c r="E113" i="14"/>
  <c r="F113" i="14"/>
  <c r="D114" i="14"/>
  <c r="E114" i="14"/>
  <c r="F114" i="14"/>
  <c r="D115" i="14"/>
  <c r="E115" i="14"/>
  <c r="F115" i="14"/>
  <c r="D116" i="14"/>
  <c r="E116" i="14"/>
  <c r="F116" i="14"/>
  <c r="D117" i="14"/>
  <c r="E117" i="14"/>
  <c r="F117" i="14"/>
  <c r="D118" i="14"/>
  <c r="E118" i="14"/>
  <c r="F118" i="14"/>
  <c r="D119" i="14"/>
  <c r="E119" i="14"/>
  <c r="F119" i="14"/>
  <c r="D120" i="14"/>
  <c r="E120" i="14"/>
  <c r="F120" i="14"/>
  <c r="C106" i="14"/>
  <c r="C3" i="7" s="1"/>
  <c r="C107" i="14"/>
  <c r="C108" i="14"/>
  <c r="C109" i="14"/>
  <c r="C110" i="14"/>
  <c r="C111" i="14"/>
  <c r="C112" i="14"/>
  <c r="C113" i="14"/>
  <c r="C114" i="14"/>
  <c r="C115" i="14"/>
  <c r="C116" i="14"/>
  <c r="C117" i="14"/>
  <c r="C118" i="14"/>
  <c r="C119" i="14"/>
  <c r="C120" i="14"/>
  <c r="C104" i="14"/>
  <c r="G100" i="14"/>
  <c r="H100" i="14"/>
  <c r="D100" i="14"/>
  <c r="E100" i="14"/>
  <c r="F100" i="14"/>
  <c r="D99" i="14"/>
  <c r="E99" i="14"/>
  <c r="F99" i="14"/>
  <c r="G99" i="14"/>
  <c r="H99" i="14"/>
  <c r="G96" i="14"/>
  <c r="Q3" i="18" s="1"/>
  <c r="G3" i="18" s="1"/>
  <c r="H96" i="14"/>
  <c r="R3" i="18" s="1"/>
  <c r="H3" i="18" s="1"/>
  <c r="G97" i="14"/>
  <c r="Q4" i="18" s="1"/>
  <c r="G4" i="18" s="1"/>
  <c r="G98" i="14"/>
  <c r="H98" i="14"/>
  <c r="D96" i="14"/>
  <c r="N3" i="18" s="1"/>
  <c r="D3" i="18" s="1"/>
  <c r="E96" i="14"/>
  <c r="O3" i="18" s="1"/>
  <c r="E3" i="18" s="1"/>
  <c r="F96" i="14"/>
  <c r="P3" i="18" s="1"/>
  <c r="F3" i="18" s="1"/>
  <c r="D97" i="14"/>
  <c r="E97" i="14"/>
  <c r="O4" i="18" s="1"/>
  <c r="E4" i="18" s="1"/>
  <c r="F97" i="14"/>
  <c r="P4" i="18" s="1"/>
  <c r="F4" i="18" s="1"/>
  <c r="D98" i="14"/>
  <c r="E98" i="14"/>
  <c r="F98" i="14"/>
  <c r="E94" i="14"/>
  <c r="F94" i="14"/>
  <c r="G94" i="14"/>
  <c r="H94" i="14"/>
  <c r="E95" i="14"/>
  <c r="F95" i="14"/>
  <c r="G95" i="14"/>
  <c r="H95" i="14"/>
  <c r="D94" i="14"/>
  <c r="D95" i="14"/>
  <c r="H93" i="14"/>
  <c r="I93" i="14" s="1"/>
  <c r="J93" i="14" s="1"/>
  <c r="K93" i="14" s="1"/>
  <c r="L93" i="14" s="1"/>
  <c r="M93" i="14" s="1"/>
  <c r="D93" i="14"/>
  <c r="E93" i="14"/>
  <c r="F93" i="14"/>
  <c r="G93" i="14"/>
  <c r="D90" i="14"/>
  <c r="E90" i="14"/>
  <c r="F90" i="14"/>
  <c r="G90" i="14"/>
  <c r="I9" i="9" s="1"/>
  <c r="H90" i="14"/>
  <c r="D91" i="14"/>
  <c r="E91" i="14"/>
  <c r="F91" i="14"/>
  <c r="G91" i="14"/>
  <c r="H91" i="14"/>
  <c r="I91" i="14" s="1"/>
  <c r="J91" i="14" s="1"/>
  <c r="K91" i="14" s="1"/>
  <c r="L91" i="14" s="1"/>
  <c r="M91" i="14" s="1"/>
  <c r="D92" i="14"/>
  <c r="E92" i="14"/>
  <c r="F92" i="14"/>
  <c r="G92" i="14"/>
  <c r="H92" i="14"/>
  <c r="F89" i="14"/>
  <c r="E8" i="24" s="1"/>
  <c r="G89" i="14"/>
  <c r="F8" i="24" s="1"/>
  <c r="H89" i="14"/>
  <c r="G8" i="24" s="1"/>
  <c r="D89" i="14"/>
  <c r="C8" i="24" s="1"/>
  <c r="E89" i="14"/>
  <c r="D8" i="24" s="1"/>
  <c r="H88" i="14"/>
  <c r="D88" i="14"/>
  <c r="E88" i="14"/>
  <c r="F88" i="14"/>
  <c r="G88" i="14"/>
  <c r="H87" i="14"/>
  <c r="D87" i="14"/>
  <c r="E87" i="14"/>
  <c r="F87" i="14"/>
  <c r="G87" i="14"/>
  <c r="D86" i="14"/>
  <c r="E86" i="14"/>
  <c r="F86" i="14"/>
  <c r="G86" i="14"/>
  <c r="H86" i="14"/>
  <c r="G85" i="14"/>
  <c r="H85" i="14"/>
  <c r="D85" i="14"/>
  <c r="E85" i="14"/>
  <c r="F85" i="14"/>
  <c r="D82" i="14"/>
  <c r="E82" i="14"/>
  <c r="F82" i="14"/>
  <c r="G82" i="14"/>
  <c r="H82" i="14"/>
  <c r="H81" i="14"/>
  <c r="D81" i="14"/>
  <c r="E81" i="14"/>
  <c r="F81" i="14"/>
  <c r="G81" i="14"/>
  <c r="D80" i="14"/>
  <c r="E80" i="14"/>
  <c r="F80" i="14"/>
  <c r="G80" i="14"/>
  <c r="H80" i="14"/>
  <c r="D76" i="14"/>
  <c r="E76" i="14"/>
  <c r="F76" i="14"/>
  <c r="G76" i="14"/>
  <c r="H76" i="14"/>
  <c r="D77" i="14"/>
  <c r="E77" i="14"/>
  <c r="F77" i="14"/>
  <c r="G77" i="14"/>
  <c r="H77" i="14"/>
  <c r="D78" i="14"/>
  <c r="E78" i="14"/>
  <c r="F78" i="14"/>
  <c r="G78" i="14"/>
  <c r="H78" i="14"/>
  <c r="D79" i="14"/>
  <c r="E79" i="14"/>
  <c r="F79" i="14"/>
  <c r="G79" i="14"/>
  <c r="H79" i="14"/>
  <c r="H75" i="14"/>
  <c r="R2" i="18" s="1"/>
  <c r="H2" i="18" s="1"/>
  <c r="D75" i="14"/>
  <c r="N2" i="18" s="1"/>
  <c r="D2" i="18" s="1"/>
  <c r="E75" i="14"/>
  <c r="O2" i="18" s="1"/>
  <c r="E2" i="18" s="1"/>
  <c r="F75" i="14"/>
  <c r="P2" i="18" s="1"/>
  <c r="F2" i="18" s="1"/>
  <c r="G75" i="14"/>
  <c r="Q2" i="18" s="1"/>
  <c r="G2" i="18" s="1"/>
  <c r="F74" i="14"/>
  <c r="P6" i="18" s="1"/>
  <c r="F5" i="18" s="1"/>
  <c r="G74" i="14"/>
  <c r="Q6" i="18" s="1"/>
  <c r="G5" i="18" s="1"/>
  <c r="H74" i="14"/>
  <c r="D74" i="14"/>
  <c r="N6" i="18" s="1"/>
  <c r="D5" i="18" s="1"/>
  <c r="E74" i="14"/>
  <c r="O6" i="18" s="1"/>
  <c r="E5" i="18" s="1"/>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O329" i="8"/>
  <c r="O330" i="8"/>
  <c r="O331" i="8"/>
  <c r="O332" i="8"/>
  <c r="O333" i="8"/>
  <c r="O334" i="8"/>
  <c r="O335" i="8"/>
  <c r="O336" i="8"/>
  <c r="O337" i="8"/>
  <c r="O338" i="8"/>
  <c r="O339" i="8"/>
  <c r="O340" i="8"/>
  <c r="O341" i="8"/>
  <c r="O342" i="8"/>
  <c r="O343" i="8"/>
  <c r="O344" i="8"/>
  <c r="O345" i="8"/>
  <c r="O346" i="8"/>
  <c r="O347" i="8"/>
  <c r="O348" i="8"/>
  <c r="O349" i="8"/>
  <c r="O350" i="8"/>
  <c r="O351" i="8"/>
  <c r="O352" i="8"/>
  <c r="O353" i="8"/>
  <c r="O354" i="8"/>
  <c r="O355" i="8"/>
  <c r="O356" i="8"/>
  <c r="O357" i="8"/>
  <c r="O358" i="8"/>
  <c r="O359" i="8"/>
  <c r="O360" i="8"/>
  <c r="O361" i="8"/>
  <c r="O362" i="8"/>
  <c r="O363" i="8"/>
  <c r="O364" i="8"/>
  <c r="O365" i="8"/>
  <c r="O366" i="8"/>
  <c r="O367" i="8"/>
  <c r="O368" i="8"/>
  <c r="O369" i="8"/>
  <c r="O370" i="8"/>
  <c r="O371" i="8"/>
  <c r="O372" i="8"/>
  <c r="O373" i="8"/>
  <c r="O374" i="8"/>
  <c r="O375" i="8"/>
  <c r="O376" i="8"/>
  <c r="O377" i="8"/>
  <c r="O378" i="8"/>
  <c r="O379" i="8"/>
  <c r="O380" i="8"/>
  <c r="O381" i="8"/>
  <c r="O382" i="8"/>
  <c r="O383" i="8"/>
  <c r="O384" i="8"/>
  <c r="O385" i="8"/>
  <c r="O386" i="8"/>
  <c r="O387" i="8"/>
  <c r="O388" i="8"/>
  <c r="O389" i="8"/>
  <c r="O390" i="8"/>
  <c r="O391" i="8"/>
  <c r="O392" i="8"/>
  <c r="O393" i="8"/>
  <c r="O394" i="8"/>
  <c r="O395" i="8"/>
  <c r="O396" i="8"/>
  <c r="O397" i="8"/>
  <c r="O398" i="8"/>
  <c r="O399" i="8"/>
  <c r="O400" i="8"/>
  <c r="O401" i="8"/>
  <c r="O402" i="8"/>
  <c r="O403" i="8"/>
  <c r="O404" i="8"/>
  <c r="O405" i="8"/>
  <c r="O406" i="8"/>
  <c r="O407" i="8"/>
  <c r="O408" i="8"/>
  <c r="O409" i="8"/>
  <c r="O410" i="8"/>
  <c r="O411" i="8"/>
  <c r="O412" i="8"/>
  <c r="O413" i="8"/>
  <c r="O414" i="8"/>
  <c r="O415" i="8"/>
  <c r="O416" i="8"/>
  <c r="O417" i="8"/>
  <c r="O418" i="8"/>
  <c r="O419" i="8"/>
  <c r="O420" i="8"/>
  <c r="O421" i="8"/>
  <c r="O422" i="8"/>
  <c r="O423" i="8"/>
  <c r="O424" i="8"/>
  <c r="O425" i="8"/>
  <c r="O426" i="8"/>
  <c r="O427" i="8"/>
  <c r="O428" i="8"/>
  <c r="O429" i="8"/>
  <c r="O430" i="8"/>
  <c r="O431" i="8"/>
  <c r="O432" i="8"/>
  <c r="O433" i="8"/>
  <c r="O434" i="8"/>
  <c r="O435" i="8"/>
  <c r="O436" i="8"/>
  <c r="O437" i="8"/>
  <c r="O438" i="8"/>
  <c r="O439" i="8"/>
  <c r="O440" i="8"/>
  <c r="O441" i="8"/>
  <c r="O442" i="8"/>
  <c r="O443" i="8"/>
  <c r="O444" i="8"/>
  <c r="O445" i="8"/>
  <c r="O446" i="8"/>
  <c r="O447" i="8"/>
  <c r="O448" i="8"/>
  <c r="O449" i="8"/>
  <c r="O450" i="8"/>
  <c r="O451" i="8"/>
  <c r="O452" i="8"/>
  <c r="O453" i="8"/>
  <c r="O454" i="8"/>
  <c r="O455" i="8"/>
  <c r="O456" i="8"/>
  <c r="O457" i="8"/>
  <c r="O458" i="8"/>
  <c r="O459" i="8"/>
  <c r="O460" i="8"/>
  <c r="O461" i="8"/>
  <c r="O462" i="8"/>
  <c r="O463" i="8"/>
  <c r="O464" i="8"/>
  <c r="O465" i="8"/>
  <c r="O466" i="8"/>
  <c r="O467" i="8"/>
  <c r="O468" i="8"/>
  <c r="O469" i="8"/>
  <c r="O470" i="8"/>
  <c r="O471" i="8"/>
  <c r="O472" i="8"/>
  <c r="O473" i="8"/>
  <c r="O474" i="8"/>
  <c r="O475" i="8"/>
  <c r="O476" i="8"/>
  <c r="O477" i="8"/>
  <c r="O478" i="8"/>
  <c r="O479" i="8"/>
  <c r="O480" i="8"/>
  <c r="O481" i="8"/>
  <c r="O482" i="8"/>
  <c r="O483" i="8"/>
  <c r="O484" i="8"/>
  <c r="O485" i="8"/>
  <c r="O486" i="8"/>
  <c r="O487" i="8"/>
  <c r="O488" i="8"/>
  <c r="O489" i="8"/>
  <c r="O490" i="8"/>
  <c r="O491" i="8"/>
  <c r="O492" i="8"/>
  <c r="O493" i="8"/>
  <c r="O494" i="8"/>
  <c r="O495" i="8"/>
  <c r="O496" i="8"/>
  <c r="O497" i="8"/>
  <c r="O498" i="8"/>
  <c r="O499" i="8"/>
  <c r="O500" i="8"/>
  <c r="O501" i="8"/>
  <c r="O502" i="8"/>
  <c r="O503" i="8"/>
  <c r="O504" i="8"/>
  <c r="O505" i="8"/>
  <c r="O506" i="8"/>
  <c r="O507" i="8"/>
  <c r="O508" i="8"/>
  <c r="O509" i="8"/>
  <c r="O510" i="8"/>
  <c r="O511" i="8"/>
  <c r="O512" i="8"/>
  <c r="O513" i="8"/>
  <c r="O514" i="8"/>
  <c r="O515" i="8"/>
  <c r="O516" i="8"/>
  <c r="O517" i="8"/>
  <c r="O518" i="8"/>
  <c r="O519" i="8"/>
  <c r="O520" i="8"/>
  <c r="O521" i="8"/>
  <c r="O522" i="8"/>
  <c r="O523" i="8"/>
  <c r="O524" i="8"/>
  <c r="O525" i="8"/>
  <c r="O526" i="8"/>
  <c r="O527" i="8"/>
  <c r="O528" i="8"/>
  <c r="O529" i="8"/>
  <c r="O530" i="8"/>
  <c r="O531" i="8"/>
  <c r="O532" i="8"/>
  <c r="O533" i="8"/>
  <c r="O534" i="8"/>
  <c r="O535" i="8"/>
  <c r="O536" i="8"/>
  <c r="O537" i="8"/>
  <c r="O538" i="8"/>
  <c r="O539" i="8"/>
  <c r="O540" i="8"/>
  <c r="O541" i="8"/>
  <c r="O542" i="8"/>
  <c r="O543" i="8"/>
  <c r="O544" i="8"/>
  <c r="O545" i="8"/>
  <c r="O546" i="8"/>
  <c r="O547" i="8"/>
  <c r="O548" i="8"/>
  <c r="O549" i="8"/>
  <c r="O550" i="8"/>
  <c r="O551" i="8"/>
  <c r="O552" i="8"/>
  <c r="O553" i="8"/>
  <c r="O554" i="8"/>
  <c r="O555" i="8"/>
  <c r="O556" i="8"/>
  <c r="O557" i="8"/>
  <c r="O558" i="8"/>
  <c r="O559" i="8"/>
  <c r="O560" i="8"/>
  <c r="O561" i="8"/>
  <c r="O562" i="8"/>
  <c r="O563" i="8"/>
  <c r="O564" i="8"/>
  <c r="O565" i="8"/>
  <c r="O566" i="8"/>
  <c r="O567" i="8"/>
  <c r="O568" i="8"/>
  <c r="O569" i="8"/>
  <c r="O570" i="8"/>
  <c r="O571" i="8"/>
  <c r="O572" i="8"/>
  <c r="O573" i="8"/>
  <c r="O574" i="8"/>
  <c r="O575" i="8"/>
  <c r="O576" i="8"/>
  <c r="O577" i="8"/>
  <c r="O578" i="8"/>
  <c r="O579" i="8"/>
  <c r="O580" i="8"/>
  <c r="O581" i="8"/>
  <c r="O582" i="8"/>
  <c r="O583" i="8"/>
  <c r="O584" i="8"/>
  <c r="O585" i="8"/>
  <c r="O586" i="8"/>
  <c r="O587" i="8"/>
  <c r="O588" i="8"/>
  <c r="O589" i="8"/>
  <c r="O590" i="8"/>
  <c r="O591" i="8"/>
  <c r="O592" i="8"/>
  <c r="O593" i="8"/>
  <c r="O594" i="8"/>
  <c r="O595" i="8"/>
  <c r="O596" i="8"/>
  <c r="O597" i="8"/>
  <c r="O598" i="8"/>
  <c r="O599" i="8"/>
  <c r="O600" i="8"/>
  <c r="O601" i="8"/>
  <c r="O602" i="8"/>
  <c r="O603" i="8"/>
  <c r="O604" i="8"/>
  <c r="O605" i="8"/>
  <c r="O606" i="8"/>
  <c r="O607" i="8"/>
  <c r="O608" i="8"/>
  <c r="O609" i="8"/>
  <c r="O610" i="8"/>
  <c r="O611" i="8"/>
  <c r="O612" i="8"/>
  <c r="O613" i="8"/>
  <c r="O614" i="8"/>
  <c r="O615" i="8"/>
  <c r="O616" i="8"/>
  <c r="O617" i="8"/>
  <c r="O618" i="8"/>
  <c r="O619" i="8"/>
  <c r="O620" i="8"/>
  <c r="O621" i="8"/>
  <c r="O622" i="8"/>
  <c r="O623" i="8"/>
  <c r="O624" i="8"/>
  <c r="O625" i="8"/>
  <c r="O626" i="8"/>
  <c r="O627" i="8"/>
  <c r="O628" i="8"/>
  <c r="O629" i="8"/>
  <c r="O630" i="8"/>
  <c r="O631" i="8"/>
  <c r="O632" i="8"/>
  <c r="O633" i="8"/>
  <c r="O634" i="8"/>
  <c r="O635" i="8"/>
  <c r="O636" i="8"/>
  <c r="O637" i="8"/>
  <c r="O638" i="8"/>
  <c r="O639" i="8"/>
  <c r="O640" i="8"/>
  <c r="O641" i="8"/>
  <c r="O642" i="8"/>
  <c r="O643" i="8"/>
  <c r="O644" i="8"/>
  <c r="O645" i="8"/>
  <c r="O646" i="8"/>
  <c r="O647" i="8"/>
  <c r="O648" i="8"/>
  <c r="O649" i="8"/>
  <c r="O650" i="8"/>
  <c r="O651" i="8"/>
  <c r="O652" i="8"/>
  <c r="O653" i="8"/>
  <c r="O654" i="8"/>
  <c r="O655" i="8"/>
  <c r="O656" i="8"/>
  <c r="O657" i="8"/>
  <c r="O658" i="8"/>
  <c r="O659" i="8"/>
  <c r="O660" i="8"/>
  <c r="O661" i="8"/>
  <c r="O662" i="8"/>
  <c r="O663" i="8"/>
  <c r="O664" i="8"/>
  <c r="O665" i="8"/>
  <c r="O666" i="8"/>
  <c r="O667" i="8"/>
  <c r="O668" i="8"/>
  <c r="O669" i="8"/>
  <c r="O670" i="8"/>
  <c r="O671" i="8"/>
  <c r="O672" i="8"/>
  <c r="O673" i="8"/>
  <c r="O674" i="8"/>
  <c r="O675" i="8"/>
  <c r="O676" i="8"/>
  <c r="O677" i="8"/>
  <c r="O678" i="8"/>
  <c r="O679" i="8"/>
  <c r="O680" i="8"/>
  <c r="O681" i="8"/>
  <c r="O682" i="8"/>
  <c r="O683" i="8"/>
  <c r="O684" i="8"/>
  <c r="O685" i="8"/>
  <c r="O686" i="8"/>
  <c r="O687" i="8"/>
  <c r="O688" i="8"/>
  <c r="O689" i="8"/>
  <c r="O690" i="8"/>
  <c r="O691" i="8"/>
  <c r="O692" i="8"/>
  <c r="O693" i="8"/>
  <c r="O694" i="8"/>
  <c r="O695" i="8"/>
  <c r="O696" i="8"/>
  <c r="O697" i="8"/>
  <c r="O698" i="8"/>
  <c r="O699" i="8"/>
  <c r="O700" i="8"/>
  <c r="O701" i="8"/>
  <c r="O702" i="8"/>
  <c r="O703" i="8"/>
  <c r="O704" i="8"/>
  <c r="O705" i="8"/>
  <c r="O706" i="8"/>
  <c r="O707" i="8"/>
  <c r="O708" i="8"/>
  <c r="O709" i="8"/>
  <c r="O710" i="8"/>
  <c r="O711" i="8"/>
  <c r="O712" i="8"/>
  <c r="O713" i="8"/>
  <c r="O714" i="8"/>
  <c r="O715" i="8"/>
  <c r="O716" i="8"/>
  <c r="O717" i="8"/>
  <c r="O718" i="8"/>
  <c r="O719" i="8"/>
  <c r="O720" i="8"/>
  <c r="O721" i="8"/>
  <c r="O722" i="8"/>
  <c r="O723" i="8"/>
  <c r="O724" i="8"/>
  <c r="O725" i="8"/>
  <c r="O726" i="8"/>
  <c r="O727" i="8"/>
  <c r="O728" i="8"/>
  <c r="O729" i="8"/>
  <c r="O730" i="8"/>
  <c r="O731" i="8"/>
  <c r="O732" i="8"/>
  <c r="O733" i="8"/>
  <c r="O734" i="8"/>
  <c r="O735" i="8"/>
  <c r="O736" i="8"/>
  <c r="O737" i="8"/>
  <c r="O738" i="8"/>
  <c r="O739" i="8"/>
  <c r="O740" i="8"/>
  <c r="O741" i="8"/>
  <c r="O742" i="8"/>
  <c r="O743" i="8"/>
  <c r="O744" i="8"/>
  <c r="O745" i="8"/>
  <c r="O746" i="8"/>
  <c r="O747" i="8"/>
  <c r="O748" i="8"/>
  <c r="O749" i="8"/>
  <c r="O750" i="8"/>
  <c r="O751" i="8"/>
  <c r="O752" i="8"/>
  <c r="O753" i="8"/>
  <c r="O754" i="8"/>
  <c r="O755" i="8"/>
  <c r="O756" i="8"/>
  <c r="O757" i="8"/>
  <c r="O758" i="8"/>
  <c r="O759" i="8"/>
  <c r="O760" i="8"/>
  <c r="O761" i="8"/>
  <c r="O762" i="8"/>
  <c r="O763" i="8"/>
  <c r="O764" i="8"/>
  <c r="O765" i="8"/>
  <c r="O766" i="8"/>
  <c r="O767" i="8"/>
  <c r="O768" i="8"/>
  <c r="O769" i="8"/>
  <c r="O770" i="8"/>
  <c r="O771" i="8"/>
  <c r="O772" i="8"/>
  <c r="O773" i="8"/>
  <c r="O774" i="8"/>
  <c r="O775" i="8"/>
  <c r="O776" i="8"/>
  <c r="O777" i="8"/>
  <c r="O778" i="8"/>
  <c r="O779" i="8"/>
  <c r="O780" i="8"/>
  <c r="O781" i="8"/>
  <c r="O782" i="8"/>
  <c r="O783" i="8"/>
  <c r="O784" i="8"/>
  <c r="O785" i="8"/>
  <c r="O786" i="8"/>
  <c r="O787" i="8"/>
  <c r="O788" i="8"/>
  <c r="O789" i="8"/>
  <c r="O790" i="8"/>
  <c r="O791" i="8"/>
  <c r="O792" i="8"/>
  <c r="O793" i="8"/>
  <c r="O794" i="8"/>
  <c r="O795" i="8"/>
  <c r="O796" i="8"/>
  <c r="O797" i="8"/>
  <c r="O798" i="8"/>
  <c r="O799" i="8"/>
  <c r="O800" i="8"/>
  <c r="O801" i="8"/>
  <c r="O802" i="8"/>
  <c r="O803" i="8"/>
  <c r="O804" i="8"/>
  <c r="O805" i="8"/>
  <c r="O806" i="8"/>
  <c r="O807" i="8"/>
  <c r="O808" i="8"/>
  <c r="O809" i="8"/>
  <c r="O810" i="8"/>
  <c r="O811" i="8"/>
  <c r="O812" i="8"/>
  <c r="O813" i="8"/>
  <c r="O814" i="8"/>
  <c r="O815" i="8"/>
  <c r="O816" i="8"/>
  <c r="O817" i="8"/>
  <c r="O818" i="8"/>
  <c r="O819" i="8"/>
  <c r="O820" i="8"/>
  <c r="O821" i="8"/>
  <c r="O822" i="8"/>
  <c r="O823" i="8"/>
  <c r="O824" i="8"/>
  <c r="O825" i="8"/>
  <c r="O826" i="8"/>
  <c r="O827" i="8"/>
  <c r="O828" i="8"/>
  <c r="O829" i="8"/>
  <c r="O830" i="8"/>
  <c r="O831" i="8"/>
  <c r="O832" i="8"/>
  <c r="O833" i="8"/>
  <c r="O834" i="8"/>
  <c r="O835" i="8"/>
  <c r="O836" i="8"/>
  <c r="O837" i="8"/>
  <c r="O838" i="8"/>
  <c r="O839" i="8"/>
  <c r="O840" i="8"/>
  <c r="O841" i="8"/>
  <c r="O842" i="8"/>
  <c r="O843" i="8"/>
  <c r="O844" i="8"/>
  <c r="O845" i="8"/>
  <c r="O846" i="8"/>
  <c r="O847" i="8"/>
  <c r="O848" i="8"/>
  <c r="O849" i="8"/>
  <c r="O850" i="8"/>
  <c r="O851" i="8"/>
  <c r="O852" i="8"/>
  <c r="O853" i="8"/>
  <c r="O854" i="8"/>
  <c r="O855" i="8"/>
  <c r="O856" i="8"/>
  <c r="O857" i="8"/>
  <c r="O858" i="8"/>
  <c r="O859" i="8"/>
  <c r="O860" i="8"/>
  <c r="O861" i="8"/>
  <c r="O862" i="8"/>
  <c r="O863" i="8"/>
  <c r="O864" i="8"/>
  <c r="O865" i="8"/>
  <c r="O866" i="8"/>
  <c r="O867" i="8"/>
  <c r="O868" i="8"/>
  <c r="O869" i="8"/>
  <c r="O870" i="8"/>
  <c r="O871" i="8"/>
  <c r="O872" i="8"/>
  <c r="O873" i="8"/>
  <c r="O874" i="8"/>
  <c r="O875" i="8"/>
  <c r="O876" i="8"/>
  <c r="O877" i="8"/>
  <c r="O878" i="8"/>
  <c r="O879" i="8"/>
  <c r="O880" i="8"/>
  <c r="O881" i="8"/>
  <c r="O882" i="8"/>
  <c r="O883" i="8"/>
  <c r="O884" i="8"/>
  <c r="O885" i="8"/>
  <c r="O886" i="8"/>
  <c r="O887" i="8"/>
  <c r="O888" i="8"/>
  <c r="O889" i="8"/>
  <c r="O890" i="8"/>
  <c r="O891" i="8"/>
  <c r="O892" i="8"/>
  <c r="O893" i="8"/>
  <c r="O894" i="8"/>
  <c r="O895" i="8"/>
  <c r="O896" i="8"/>
  <c r="O897" i="8"/>
  <c r="O898" i="8"/>
  <c r="O899" i="8"/>
  <c r="O900" i="8"/>
  <c r="O901" i="8"/>
  <c r="O902" i="8"/>
  <c r="O903" i="8"/>
  <c r="O904" i="8"/>
  <c r="O905" i="8"/>
  <c r="O906" i="8"/>
  <c r="O907" i="8"/>
  <c r="O908" i="8"/>
  <c r="O909" i="8"/>
  <c r="O910" i="8"/>
  <c r="O911" i="8"/>
  <c r="O912" i="8"/>
  <c r="O913" i="8"/>
  <c r="O914" i="8"/>
  <c r="O915" i="8"/>
  <c r="O916" i="8"/>
  <c r="O917" i="8"/>
  <c r="O918" i="8"/>
  <c r="O919" i="8"/>
  <c r="O920" i="8"/>
  <c r="O921" i="8"/>
  <c r="O922" i="8"/>
  <c r="O923" i="8"/>
  <c r="O924" i="8"/>
  <c r="O925" i="8"/>
  <c r="O926" i="8"/>
  <c r="O927" i="8"/>
  <c r="O928" i="8"/>
  <c r="O929" i="8"/>
  <c r="O930" i="8"/>
  <c r="O931" i="8"/>
  <c r="O932" i="8"/>
  <c r="O933" i="8"/>
  <c r="O934" i="8"/>
  <c r="O935" i="8"/>
  <c r="O936" i="8"/>
  <c r="O937" i="8"/>
  <c r="O938" i="8"/>
  <c r="O939" i="8"/>
  <c r="O940" i="8"/>
  <c r="O941" i="8"/>
  <c r="O942" i="8"/>
  <c r="O943" i="8"/>
  <c r="O944" i="8"/>
  <c r="O945" i="8"/>
  <c r="O946" i="8"/>
  <c r="O947" i="8"/>
  <c r="O948" i="8"/>
  <c r="O949" i="8"/>
  <c r="O950" i="8"/>
  <c r="O951" i="8"/>
  <c r="O952" i="8"/>
  <c r="O953" i="8"/>
  <c r="O954" i="8"/>
  <c r="O955" i="8"/>
  <c r="O956" i="8"/>
  <c r="O957" i="8"/>
  <c r="O958" i="8"/>
  <c r="O959" i="8"/>
  <c r="O960" i="8"/>
  <c r="O961" i="8"/>
  <c r="O962" i="8"/>
  <c r="O963" i="8"/>
  <c r="O964" i="8"/>
  <c r="O965" i="8"/>
  <c r="O966" i="8"/>
  <c r="O967" i="8"/>
  <c r="O968" i="8"/>
  <c r="O969" i="8"/>
  <c r="O970" i="8"/>
  <c r="O971" i="8"/>
  <c r="O972" i="8"/>
  <c r="O973" i="8"/>
  <c r="O974" i="8"/>
  <c r="O975" i="8"/>
  <c r="O976" i="8"/>
  <c r="O977" i="8"/>
  <c r="O978" i="8"/>
  <c r="O979" i="8"/>
  <c r="O980" i="8"/>
  <c r="O981" i="8"/>
  <c r="O982" i="8"/>
  <c r="O983" i="8"/>
  <c r="O984" i="8"/>
  <c r="O985" i="8"/>
  <c r="O986" i="8"/>
  <c r="O987" i="8"/>
  <c r="O988" i="8"/>
  <c r="O989" i="8"/>
  <c r="O990" i="8"/>
  <c r="O991" i="8"/>
  <c r="O992" i="8"/>
  <c r="O993" i="8"/>
  <c r="O994" i="8"/>
  <c r="O995" i="8"/>
  <c r="O996" i="8"/>
  <c r="O997" i="8"/>
  <c r="O998" i="8"/>
  <c r="O999" i="8"/>
  <c r="O1000" i="8"/>
  <c r="O1001" i="8"/>
  <c r="O1002" i="8"/>
  <c r="O1003" i="8"/>
  <c r="O1004" i="8"/>
  <c r="O1005" i="8"/>
  <c r="O1006" i="8"/>
  <c r="O1007" i="8"/>
  <c r="O1008" i="8"/>
  <c r="O1009" i="8"/>
  <c r="O1010" i="8"/>
  <c r="O1011" i="8"/>
  <c r="O1012" i="8"/>
  <c r="O1013" i="8"/>
  <c r="O1014" i="8"/>
  <c r="O1015" i="8"/>
  <c r="O1016" i="8"/>
  <c r="O1017" i="8"/>
  <c r="O1018" i="8"/>
  <c r="O1019" i="8"/>
  <c r="O1020" i="8"/>
  <c r="O1021" i="8"/>
  <c r="O1022" i="8"/>
  <c r="O1023" i="8"/>
  <c r="O1024" i="8"/>
  <c r="O1025" i="8"/>
  <c r="O1026" i="8"/>
  <c r="O1027" i="8"/>
  <c r="O1028" i="8"/>
  <c r="O1029" i="8"/>
  <c r="O1030" i="8"/>
  <c r="O1031" i="8"/>
  <c r="O1032" i="8"/>
  <c r="O1033" i="8"/>
  <c r="O1034" i="8"/>
  <c r="O1035" i="8"/>
  <c r="O1036" i="8"/>
  <c r="O1037" i="8"/>
  <c r="O1038" i="8"/>
  <c r="O1039" i="8"/>
  <c r="O1040" i="8"/>
  <c r="O1041" i="8"/>
  <c r="O1042" i="8"/>
  <c r="O1043" i="8"/>
  <c r="O1044" i="8"/>
  <c r="O1045" i="8"/>
  <c r="O1046" i="8"/>
  <c r="O1047" i="8"/>
  <c r="O1048" i="8"/>
  <c r="O1049" i="8"/>
  <c r="O1050" i="8"/>
  <c r="O1051" i="8"/>
  <c r="O1052" i="8"/>
  <c r="O1053" i="8"/>
  <c r="O1054" i="8"/>
  <c r="O1055" i="8"/>
  <c r="O1056" i="8"/>
  <c r="O1057" i="8"/>
  <c r="O1058" i="8"/>
  <c r="O1059" i="8"/>
  <c r="O1060" i="8"/>
  <c r="O1061" i="8"/>
  <c r="O1062" i="8"/>
  <c r="O1063" i="8"/>
  <c r="O1064" i="8"/>
  <c r="O1065" i="8"/>
  <c r="O1066" i="8"/>
  <c r="O1067" i="8"/>
  <c r="O1068" i="8"/>
  <c r="O1069" i="8"/>
  <c r="O1070" i="8"/>
  <c r="O1071" i="8"/>
  <c r="O1072" i="8"/>
  <c r="O1073" i="8"/>
  <c r="O1074" i="8"/>
  <c r="O1075" i="8"/>
  <c r="O1076" i="8"/>
  <c r="O1077" i="8"/>
  <c r="O1078" i="8"/>
  <c r="O1079" i="8"/>
  <c r="O1080" i="8"/>
  <c r="O1081" i="8"/>
  <c r="O1082" i="8"/>
  <c r="O1083" i="8"/>
  <c r="O1084" i="8"/>
  <c r="O1085" i="8"/>
  <c r="O1086" i="8"/>
  <c r="O1087" i="8"/>
  <c r="O1088" i="8"/>
  <c r="O1089" i="8"/>
  <c r="O1090" i="8"/>
  <c r="O1091" i="8"/>
  <c r="O1092" i="8"/>
  <c r="O1093" i="8"/>
  <c r="O1094" i="8"/>
  <c r="O1095" i="8"/>
  <c r="O1096" i="8"/>
  <c r="O1097" i="8"/>
  <c r="O1098" i="8"/>
  <c r="O1099" i="8"/>
  <c r="O1100" i="8"/>
  <c r="O1101" i="8"/>
  <c r="O1102" i="8"/>
  <c r="O1103" i="8"/>
  <c r="O1104" i="8"/>
  <c r="O1105" i="8"/>
  <c r="O1106" i="8"/>
  <c r="O1107" i="8"/>
  <c r="O1108" i="8"/>
  <c r="O1109" i="8"/>
  <c r="O1110" i="8"/>
  <c r="O1111" i="8"/>
  <c r="O1112" i="8"/>
  <c r="O1113" i="8"/>
  <c r="O1114" i="8"/>
  <c r="O1115" i="8"/>
  <c r="O1116" i="8"/>
  <c r="O1117" i="8"/>
  <c r="O1118" i="8"/>
  <c r="O1119" i="8"/>
  <c r="O1120" i="8"/>
  <c r="O1121" i="8"/>
  <c r="O1122" i="8"/>
  <c r="O1123" i="8"/>
  <c r="O1124" i="8"/>
  <c r="O1125" i="8"/>
  <c r="O1126" i="8"/>
  <c r="O1127" i="8"/>
  <c r="O1128" i="8"/>
  <c r="O1129" i="8"/>
  <c r="O1130" i="8"/>
  <c r="O1131" i="8"/>
  <c r="O1132" i="8"/>
  <c r="O1133" i="8"/>
  <c r="O1134" i="8"/>
  <c r="O1135" i="8"/>
  <c r="O1136" i="8"/>
  <c r="O1137" i="8"/>
  <c r="O1138" i="8"/>
  <c r="O1139" i="8"/>
  <c r="O1140" i="8"/>
  <c r="O1141" i="8"/>
  <c r="O1142" i="8"/>
  <c r="O1143" i="8"/>
  <c r="O1144" i="8"/>
  <c r="O1145" i="8"/>
  <c r="O1146" i="8"/>
  <c r="O1147" i="8"/>
  <c r="O1148" i="8"/>
  <c r="O1149" i="8"/>
  <c r="O1150" i="8"/>
  <c r="O1151" i="8"/>
  <c r="O1152" i="8"/>
  <c r="O1153" i="8"/>
  <c r="O1154" i="8"/>
  <c r="O1155" i="8"/>
  <c r="O1156" i="8"/>
  <c r="O1157" i="8"/>
  <c r="O1158" i="8"/>
  <c r="O1159" i="8"/>
  <c r="O1160" i="8"/>
  <c r="O1161" i="8"/>
  <c r="O1162" i="8"/>
  <c r="O1163" i="8"/>
  <c r="O1164" i="8"/>
  <c r="O1165" i="8"/>
  <c r="O1166" i="8"/>
  <c r="O1167" i="8"/>
  <c r="O1168" i="8"/>
  <c r="O1169" i="8"/>
  <c r="O1170" i="8"/>
  <c r="O1171" i="8"/>
  <c r="O1172" i="8"/>
  <c r="O1173" i="8"/>
  <c r="O1174" i="8"/>
  <c r="O1175" i="8"/>
  <c r="O1176" i="8"/>
  <c r="O1177" i="8"/>
  <c r="O1178" i="8"/>
  <c r="O1179" i="8"/>
  <c r="O1180" i="8"/>
  <c r="O1181" i="8"/>
  <c r="O1182" i="8"/>
  <c r="O1183" i="8"/>
  <c r="O1184" i="8"/>
  <c r="O1185" i="8"/>
  <c r="O1186" i="8"/>
  <c r="O1187" i="8"/>
  <c r="O1188" i="8"/>
  <c r="O1189" i="8"/>
  <c r="O1190" i="8"/>
  <c r="O1191" i="8"/>
  <c r="O1192" i="8"/>
  <c r="O1193" i="8"/>
  <c r="O1194" i="8"/>
  <c r="O1195" i="8"/>
  <c r="O1196" i="8"/>
  <c r="O1197" i="8"/>
  <c r="O1198" i="8"/>
  <c r="O1199" i="8"/>
  <c r="O1200" i="8"/>
  <c r="O1201" i="8"/>
  <c r="O1202" i="8"/>
  <c r="O1203" i="8"/>
  <c r="O1204" i="8"/>
  <c r="O1205" i="8"/>
  <c r="O1206" i="8"/>
  <c r="O1207" i="8"/>
  <c r="O1208" i="8"/>
  <c r="O1209" i="8"/>
  <c r="O1210" i="8"/>
  <c r="O1211" i="8"/>
  <c r="O1212" i="8"/>
  <c r="O1213" i="8"/>
  <c r="O1214" i="8"/>
  <c r="O1215" i="8"/>
  <c r="O1216" i="8"/>
  <c r="O1217" i="8"/>
  <c r="O1218" i="8"/>
  <c r="O1219" i="8"/>
  <c r="O1220" i="8"/>
  <c r="O1221" i="8"/>
  <c r="O1222" i="8"/>
  <c r="O1223" i="8"/>
  <c r="O1224" i="8"/>
  <c r="O1225" i="8"/>
  <c r="O1226" i="8"/>
  <c r="O1227" i="8"/>
  <c r="O1228" i="8"/>
  <c r="O1229" i="8"/>
  <c r="O1230" i="8"/>
  <c r="O1231" i="8"/>
  <c r="O1232" i="8"/>
  <c r="O1233" i="8"/>
  <c r="O1234" i="8"/>
  <c r="O1235" i="8"/>
  <c r="O1236" i="8"/>
  <c r="O1237" i="8"/>
  <c r="O1238" i="8"/>
  <c r="O1239" i="8"/>
  <c r="O1240" i="8"/>
  <c r="O1241" i="8"/>
  <c r="O1242" i="8"/>
  <c r="O1243" i="8"/>
  <c r="O1244" i="8"/>
  <c r="O1245" i="8"/>
  <c r="O1246" i="8"/>
  <c r="O1247" i="8"/>
  <c r="O1248" i="8"/>
  <c r="O1249" i="8"/>
  <c r="O1250" i="8"/>
  <c r="O1251" i="8"/>
  <c r="M3" i="8"/>
  <c r="L3" i="8"/>
  <c r="G18" i="14"/>
  <c r="G19" i="5" s="1"/>
  <c r="B12" i="4"/>
  <c r="D2" i="4"/>
  <c r="E2" i="4"/>
  <c r="F2" i="4"/>
  <c r="G2" i="4"/>
  <c r="G12" i="4" s="1"/>
  <c r="H2" i="4"/>
  <c r="C2" i="4"/>
  <c r="C25" i="4" s="1"/>
  <c r="D26" i="14"/>
  <c r="E26" i="14"/>
  <c r="F26" i="14"/>
  <c r="G26" i="14"/>
  <c r="H26" i="14"/>
  <c r="D25" i="14"/>
  <c r="E25" i="14"/>
  <c r="F25" i="14"/>
  <c r="G25" i="14"/>
  <c r="H25" i="14"/>
  <c r="E24" i="14"/>
  <c r="D24" i="14"/>
  <c r="F24" i="14"/>
  <c r="G24" i="14"/>
  <c r="H24" i="14"/>
  <c r="D21" i="14"/>
  <c r="E21" i="14"/>
  <c r="F21" i="14"/>
  <c r="G21" i="14"/>
  <c r="H21" i="14"/>
  <c r="D20" i="14"/>
  <c r="E20" i="14"/>
  <c r="F20" i="14"/>
  <c r="G20" i="14"/>
  <c r="H20" i="14"/>
  <c r="D18" i="14"/>
  <c r="D19" i="5" s="1"/>
  <c r="E18" i="14"/>
  <c r="E19" i="5" s="1"/>
  <c r="F18" i="14"/>
  <c r="H18" i="14"/>
  <c r="D16" i="14"/>
  <c r="E16" i="14"/>
  <c r="F16" i="14"/>
  <c r="G16" i="14"/>
  <c r="H16" i="14"/>
  <c r="D14" i="14"/>
  <c r="E14" i="14"/>
  <c r="F14" i="14"/>
  <c r="G14" i="14"/>
  <c r="H14" i="14"/>
  <c r="D13" i="14"/>
  <c r="E13" i="14"/>
  <c r="F13" i="14"/>
  <c r="G13" i="14"/>
  <c r="H13" i="14"/>
  <c r="D12" i="14"/>
  <c r="E12" i="14"/>
  <c r="F12" i="14"/>
  <c r="G12" i="14"/>
  <c r="H12" i="14"/>
  <c r="D8" i="14"/>
  <c r="E8" i="14"/>
  <c r="F8" i="14"/>
  <c r="G8" i="14"/>
  <c r="H8" i="14"/>
  <c r="D7" i="14"/>
  <c r="E7" i="14"/>
  <c r="F7" i="14"/>
  <c r="G7" i="14"/>
  <c r="H7" i="14"/>
  <c r="D6" i="14"/>
  <c r="F6" i="14"/>
  <c r="G6" i="14"/>
  <c r="H6" i="14"/>
  <c r="D10" i="14"/>
  <c r="E10" i="14"/>
  <c r="F10" i="14"/>
  <c r="G10" i="14"/>
  <c r="H10" i="14"/>
  <c r="D9" i="14"/>
  <c r="E9" i="14"/>
  <c r="F9" i="14"/>
  <c r="G9" i="14"/>
  <c r="H9" i="14"/>
  <c r="H3" i="14"/>
  <c r="I20" i="9" s="1"/>
  <c r="G3" i="14"/>
  <c r="H20" i="9" s="1"/>
  <c r="F3" i="14"/>
  <c r="G20" i="9" s="1"/>
  <c r="E3" i="14"/>
  <c r="F20" i="9" s="1"/>
  <c r="D3" i="14"/>
  <c r="D2" i="14"/>
  <c r="E2" i="14"/>
  <c r="F2" i="14"/>
  <c r="G2" i="14"/>
  <c r="H2" i="14"/>
  <c r="B68" i="12"/>
  <c r="B13" i="12"/>
  <c r="D13" i="12" s="1"/>
  <c r="D12" i="12"/>
  <c r="C11" i="12"/>
  <c r="B11" i="12"/>
  <c r="D10" i="12"/>
  <c r="G9" i="10"/>
  <c r="F9" i="10"/>
  <c r="E9" i="10"/>
  <c r="D9" i="10"/>
  <c r="C9" i="10"/>
  <c r="B41" i="11"/>
  <c r="O100" i="8"/>
  <c r="O99" i="8"/>
  <c r="O98" i="8"/>
  <c r="O97" i="8"/>
  <c r="O96" i="8"/>
  <c r="O95" i="8"/>
  <c r="O94" i="8"/>
  <c r="O93" i="8"/>
  <c r="O92" i="8"/>
  <c r="O91" i="8"/>
  <c r="O90" i="8"/>
  <c r="O89" i="8"/>
  <c r="O88" i="8"/>
  <c r="O87" i="8"/>
  <c r="O86" i="8"/>
  <c r="O85" i="8"/>
  <c r="O84" i="8"/>
  <c r="O83" i="8"/>
  <c r="O82" i="8"/>
  <c r="O81" i="8"/>
  <c r="O80" i="8"/>
  <c r="O79" i="8"/>
  <c r="O78" i="8"/>
  <c r="O77" i="8"/>
  <c r="O76" i="8"/>
  <c r="O75" i="8"/>
  <c r="O74" i="8"/>
  <c r="O73" i="8"/>
  <c r="O72" i="8"/>
  <c r="O71" i="8"/>
  <c r="O70" i="8"/>
  <c r="O69" i="8"/>
  <c r="O68" i="8"/>
  <c r="O67" i="8"/>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O33" i="8"/>
  <c r="O32" i="8"/>
  <c r="O31" i="8"/>
  <c r="O30" i="8"/>
  <c r="O29" i="8"/>
  <c r="O28" i="8"/>
  <c r="O27" i="8"/>
  <c r="O26" i="8"/>
  <c r="O25" i="8"/>
  <c r="O24" i="8"/>
  <c r="O23" i="8"/>
  <c r="O22" i="8"/>
  <c r="O21" i="8"/>
  <c r="O20" i="8"/>
  <c r="O19" i="8"/>
  <c r="O18" i="8"/>
  <c r="O17" i="8"/>
  <c r="O16" i="8"/>
  <c r="O15" i="8"/>
  <c r="O14" i="8"/>
  <c r="O13" i="8"/>
  <c r="O12" i="8"/>
  <c r="O11" i="8"/>
  <c r="O10" i="8"/>
  <c r="O9" i="8"/>
  <c r="O8" i="8"/>
  <c r="O7" i="8"/>
  <c r="O6" i="8"/>
  <c r="O5" i="8"/>
  <c r="O4" i="8"/>
  <c r="O3" i="8"/>
  <c r="N3" i="8"/>
  <c r="D15" i="8"/>
  <c r="D14" i="8"/>
  <c r="E29" i="8"/>
  <c r="F9" i="9" l="1"/>
  <c r="I125" i="14"/>
  <c r="I132" i="14"/>
  <c r="G30" i="9"/>
  <c r="E10" i="24"/>
  <c r="H84" i="14"/>
  <c r="H60" i="5" s="1"/>
  <c r="N7" i="18"/>
  <c r="D6" i="18" s="1"/>
  <c r="C2" i="24"/>
  <c r="F30" i="9"/>
  <c r="D10" i="24"/>
  <c r="B39" i="11"/>
  <c r="D72" i="5"/>
  <c r="N4" i="18"/>
  <c r="D4" i="18" s="1"/>
  <c r="D7" i="18" s="1"/>
  <c r="I133" i="14"/>
  <c r="B6" i="6"/>
  <c r="H19" i="5"/>
  <c r="B11" i="6"/>
  <c r="B12" i="6" s="1"/>
  <c r="R6" i="18"/>
  <c r="H5" i="18" s="1"/>
  <c r="H9" i="9"/>
  <c r="C20" i="9"/>
  <c r="F2" i="25"/>
  <c r="F4" i="25" s="1"/>
  <c r="E16" i="6"/>
  <c r="E20" i="6" s="1"/>
  <c r="F19" i="5"/>
  <c r="G9" i="9"/>
  <c r="C9" i="9" s="1"/>
  <c r="B3" i="7"/>
  <c r="I124" i="14"/>
  <c r="E30" i="9"/>
  <c r="C10" i="24"/>
  <c r="G2" i="25"/>
  <c r="G4" i="25" s="1"/>
  <c r="F16" i="6"/>
  <c r="F20" i="6" s="1"/>
  <c r="R7" i="18"/>
  <c r="H6" i="18" s="1"/>
  <c r="G2" i="24"/>
  <c r="J125" i="14"/>
  <c r="G25" i="5"/>
  <c r="Q7" i="18"/>
  <c r="G6" i="18" s="1"/>
  <c r="G7" i="18" s="1"/>
  <c r="F2" i="24"/>
  <c r="E27" i="5"/>
  <c r="O7" i="18"/>
  <c r="E6" i="18" s="1"/>
  <c r="E7" i="18" s="1"/>
  <c r="D2" i="24"/>
  <c r="R4" i="8"/>
  <c r="G4" i="8" s="1"/>
  <c r="G12" i="8" s="1"/>
  <c r="G16" i="8" s="1"/>
  <c r="G29" i="8" s="1"/>
  <c r="B9" i="6" s="1"/>
  <c r="T7" i="8"/>
  <c r="T6" i="8"/>
  <c r="I30" i="9"/>
  <c r="G10" i="24"/>
  <c r="P7" i="18"/>
  <c r="F6" i="18" s="1"/>
  <c r="F7" i="18" s="1"/>
  <c r="E2" i="24"/>
  <c r="H30" i="9"/>
  <c r="F10" i="24"/>
  <c r="J132" i="14"/>
  <c r="C17" i="14"/>
  <c r="E14" i="8"/>
  <c r="G14" i="8" s="1"/>
  <c r="E15" i="8"/>
  <c r="G15" i="8" s="1"/>
  <c r="C16" i="6"/>
  <c r="C20" i="6" s="1"/>
  <c r="I107" i="14"/>
  <c r="J107" i="14" s="1"/>
  <c r="I108" i="14"/>
  <c r="J108" i="14" s="1"/>
  <c r="K108" i="14" s="1"/>
  <c r="L108" i="14" s="1"/>
  <c r="M108" i="14" s="1"/>
  <c r="D70" i="5"/>
  <c r="I138" i="14"/>
  <c r="I109" i="14"/>
  <c r="J109" i="14" s="1"/>
  <c r="K109" i="14" s="1"/>
  <c r="I94" i="14"/>
  <c r="J94" i="14" s="1"/>
  <c r="K94" i="14" s="1"/>
  <c r="L94" i="14" s="1"/>
  <c r="M94" i="14" s="1"/>
  <c r="G15" i="9"/>
  <c r="E72" i="5"/>
  <c r="H15" i="9"/>
  <c r="F15" i="9"/>
  <c r="G12" i="9"/>
  <c r="G13" i="9"/>
  <c r="E27" i="9"/>
  <c r="E4" i="9"/>
  <c r="E22" i="9"/>
  <c r="H12" i="9"/>
  <c r="H13" i="9"/>
  <c r="D4" i="14"/>
  <c r="C4" i="24" s="1"/>
  <c r="E28" i="9"/>
  <c r="E21" i="9"/>
  <c r="E26" i="9"/>
  <c r="F12" i="9"/>
  <c r="F13" i="9"/>
  <c r="E15" i="9"/>
  <c r="E4" i="14"/>
  <c r="E5" i="14" s="1"/>
  <c r="D4" i="24" s="1"/>
  <c r="D5" i="24" s="1"/>
  <c r="F28" i="9"/>
  <c r="F21" i="9"/>
  <c r="F26" i="9"/>
  <c r="E12" i="9"/>
  <c r="E13" i="9"/>
  <c r="I17" i="9"/>
  <c r="I16" i="9"/>
  <c r="I15" i="9"/>
  <c r="H16" i="9"/>
  <c r="H17" i="9"/>
  <c r="H27" i="9"/>
  <c r="H4" i="9"/>
  <c r="H22" i="9"/>
  <c r="H23" i="9" s="1"/>
  <c r="G4" i="9"/>
  <c r="G22" i="9"/>
  <c r="G23" i="9" s="1"/>
  <c r="G4" i="14"/>
  <c r="G5" i="14" s="1"/>
  <c r="F4" i="24" s="1"/>
  <c r="F5" i="24" s="1"/>
  <c r="H26" i="9"/>
  <c r="H28" i="9"/>
  <c r="H21" i="9"/>
  <c r="G16" i="9"/>
  <c r="G17" i="9"/>
  <c r="F4" i="14"/>
  <c r="G26" i="9"/>
  <c r="G21" i="9"/>
  <c r="F27" i="9"/>
  <c r="F4" i="9"/>
  <c r="F22" i="9"/>
  <c r="F23" i="9" s="1"/>
  <c r="H4" i="14"/>
  <c r="H5" i="14" s="1"/>
  <c r="I26" i="9"/>
  <c r="I28" i="9"/>
  <c r="I21" i="9"/>
  <c r="F16" i="9"/>
  <c r="F17" i="9"/>
  <c r="E16" i="9"/>
  <c r="E17" i="9"/>
  <c r="I22" i="9"/>
  <c r="I23" i="9" s="1"/>
  <c r="I27" i="9"/>
  <c r="I4" i="9"/>
  <c r="I13" i="9"/>
  <c r="I12" i="9"/>
  <c r="H72" i="5"/>
  <c r="G84" i="14"/>
  <c r="G60" i="5" s="1"/>
  <c r="G72" i="5"/>
  <c r="F84" i="14"/>
  <c r="F60" i="5" s="1"/>
  <c r="E84" i="14"/>
  <c r="E60" i="5" s="1"/>
  <c r="D84" i="14"/>
  <c r="D60" i="5" s="1"/>
  <c r="F72" i="5"/>
  <c r="H44" i="5"/>
  <c r="H70" i="5"/>
  <c r="G44" i="5"/>
  <c r="G70" i="5"/>
  <c r="F44" i="5"/>
  <c r="F70" i="5"/>
  <c r="E44" i="5"/>
  <c r="E70" i="5"/>
  <c r="D44" i="5"/>
  <c r="C44" i="5"/>
  <c r="H58" i="5"/>
  <c r="H63" i="5"/>
  <c r="H62" i="5"/>
  <c r="H59" i="5"/>
  <c r="G58" i="5"/>
  <c r="G63" i="5"/>
  <c r="G62" i="5"/>
  <c r="G59" i="5"/>
  <c r="E58" i="5"/>
  <c r="E63" i="5"/>
  <c r="E62" i="5"/>
  <c r="E59" i="5"/>
  <c r="D58" i="5"/>
  <c r="D63" i="5"/>
  <c r="D62" i="5"/>
  <c r="D59" i="5"/>
  <c r="F58" i="5"/>
  <c r="F63" i="5"/>
  <c r="F62" i="5"/>
  <c r="F59" i="5"/>
  <c r="C60" i="5"/>
  <c r="C63" i="5"/>
  <c r="C62" i="5"/>
  <c r="H47" i="5"/>
  <c r="H53" i="5"/>
  <c r="H49" i="5"/>
  <c r="H54" i="5"/>
  <c r="H50" i="5"/>
  <c r="G53" i="5"/>
  <c r="G49" i="5"/>
  <c r="G50" i="5"/>
  <c r="G54" i="5"/>
  <c r="G47" i="5"/>
  <c r="F53" i="5"/>
  <c r="F49" i="5"/>
  <c r="F50" i="5"/>
  <c r="F54" i="5"/>
  <c r="F47" i="5"/>
  <c r="E53" i="5"/>
  <c r="E49" i="5"/>
  <c r="E50" i="5"/>
  <c r="E54" i="5"/>
  <c r="E47" i="5"/>
  <c r="D53" i="5"/>
  <c r="D49" i="5"/>
  <c r="D48" i="5" s="1"/>
  <c r="D50" i="5"/>
  <c r="D54" i="5"/>
  <c r="D47" i="5"/>
  <c r="C47" i="5"/>
  <c r="C50" i="5"/>
  <c r="C48" i="5" s="1"/>
  <c r="C53" i="5"/>
  <c r="C54" i="5"/>
  <c r="H46" i="5"/>
  <c r="H45" i="5" s="1"/>
  <c r="G46" i="5"/>
  <c r="G45" i="5" s="1"/>
  <c r="F46" i="5"/>
  <c r="F45" i="5" s="1"/>
  <c r="E46" i="5"/>
  <c r="E45" i="5" s="1"/>
  <c r="D46" i="5"/>
  <c r="D45" i="5" s="1"/>
  <c r="C46" i="5"/>
  <c r="C45" i="5" s="1"/>
  <c r="C33" i="5"/>
  <c r="E25" i="5"/>
  <c r="G30" i="5"/>
  <c r="E33" i="5"/>
  <c r="G35" i="5"/>
  <c r="E40" i="5"/>
  <c r="F30" i="5"/>
  <c r="D33" i="5"/>
  <c r="C39" i="5"/>
  <c r="C32" i="5"/>
  <c r="D24" i="5"/>
  <c r="G27" i="5"/>
  <c r="G26" i="5" s="1"/>
  <c r="F33" i="5"/>
  <c r="H35" i="5"/>
  <c r="F40" i="5"/>
  <c r="H30" i="5"/>
  <c r="F24" i="5"/>
  <c r="E30" i="5"/>
  <c r="F32" i="5"/>
  <c r="G39" i="5"/>
  <c r="C30" i="5"/>
  <c r="E24" i="5"/>
  <c r="D30" i="5"/>
  <c r="D31" i="5"/>
  <c r="E32" i="5"/>
  <c r="H33" i="5"/>
  <c r="F39" i="5"/>
  <c r="G43" i="5"/>
  <c r="G42" i="5" s="1"/>
  <c r="C38" i="5"/>
  <c r="G24" i="5"/>
  <c r="H25" i="5"/>
  <c r="G29" i="5"/>
  <c r="H31" i="5"/>
  <c r="D32" i="5"/>
  <c r="G33" i="5"/>
  <c r="E39" i="5"/>
  <c r="F43" i="5"/>
  <c r="F42" i="5" s="1"/>
  <c r="C29" i="5"/>
  <c r="C25" i="5"/>
  <c r="F29" i="5"/>
  <c r="G31" i="5"/>
  <c r="F35" i="5"/>
  <c r="H38" i="5"/>
  <c r="H32" i="5"/>
  <c r="E43" i="5"/>
  <c r="E42" i="5" s="1"/>
  <c r="H29" i="5"/>
  <c r="F25" i="5"/>
  <c r="E29" i="5"/>
  <c r="F31" i="5"/>
  <c r="E35" i="5"/>
  <c r="G38" i="5"/>
  <c r="G32" i="5"/>
  <c r="D43" i="5"/>
  <c r="D42" i="5" s="1"/>
  <c r="C43" i="5"/>
  <c r="H24" i="5"/>
  <c r="E26" i="5"/>
  <c r="D29" i="5"/>
  <c r="E31" i="5"/>
  <c r="D35" i="5"/>
  <c r="D40" i="5"/>
  <c r="H43" i="5"/>
  <c r="H42" i="5" s="1"/>
  <c r="C31" i="5"/>
  <c r="D27" i="5"/>
  <c r="D26" i="5" s="1"/>
  <c r="F38" i="5"/>
  <c r="D39" i="5"/>
  <c r="C24" i="5"/>
  <c r="H39" i="5"/>
  <c r="D25" i="5"/>
  <c r="F27" i="5"/>
  <c r="F26" i="5" s="1"/>
  <c r="E38" i="5"/>
  <c r="H40" i="5"/>
  <c r="H27" i="5"/>
  <c r="H26" i="5" s="1"/>
  <c r="D38" i="5"/>
  <c r="G40" i="5"/>
  <c r="C40" i="5"/>
  <c r="C34" i="5"/>
  <c r="G13" i="5"/>
  <c r="D11" i="12"/>
  <c r="H16" i="5"/>
  <c r="D16" i="5"/>
  <c r="F16" i="5"/>
  <c r="E16" i="5"/>
  <c r="C15" i="5"/>
  <c r="H18" i="5"/>
  <c r="H15" i="5"/>
  <c r="G18" i="5"/>
  <c r="G15" i="5"/>
  <c r="F18" i="5"/>
  <c r="F15" i="5"/>
  <c r="E18" i="5"/>
  <c r="E15" i="5"/>
  <c r="D18" i="5"/>
  <c r="D15" i="5"/>
  <c r="C18" i="5"/>
  <c r="C16" i="5"/>
  <c r="H13" i="5"/>
  <c r="G16" i="5"/>
  <c r="F13" i="5"/>
  <c r="E13" i="5"/>
  <c r="D13" i="5"/>
  <c r="H22" i="14"/>
  <c r="G22" i="14"/>
  <c r="F22" i="14"/>
  <c r="E22" i="14"/>
  <c r="D22" i="14"/>
  <c r="F11" i="14"/>
  <c r="F17" i="5" s="1"/>
  <c r="D11" i="14"/>
  <c r="D17" i="5" s="1"/>
  <c r="H11" i="14"/>
  <c r="H17" i="5" s="1"/>
  <c r="C17" i="5"/>
  <c r="G11" i="14"/>
  <c r="G17" i="5" s="1"/>
  <c r="E11" i="14"/>
  <c r="E17" i="5" s="1"/>
  <c r="G48" i="5" l="1"/>
  <c r="F48" i="5"/>
  <c r="C30" i="9"/>
  <c r="H7" i="18"/>
  <c r="B10" i="11"/>
  <c r="G4" i="24"/>
  <c r="G5" i="24" s="1"/>
  <c r="C19" i="14"/>
  <c r="C23" i="14" s="1"/>
  <c r="D18" i="9"/>
  <c r="J124" i="14"/>
  <c r="K124" i="14" s="1"/>
  <c r="L124" i="14" s="1"/>
  <c r="C3" i="24"/>
  <c r="C12" i="24"/>
  <c r="F37" i="5"/>
  <c r="H48" i="5"/>
  <c r="F24" i="9"/>
  <c r="K132" i="14"/>
  <c r="H3" i="24"/>
  <c r="G3" i="24"/>
  <c r="G12" i="24"/>
  <c r="K125" i="14"/>
  <c r="L125" i="14" s="1"/>
  <c r="J133" i="14"/>
  <c r="K133" i="14" s="1"/>
  <c r="E48" i="5"/>
  <c r="C5" i="24"/>
  <c r="D3" i="24"/>
  <c r="D12" i="24"/>
  <c r="B33" i="11"/>
  <c r="C21" i="10"/>
  <c r="C27" i="10" s="1"/>
  <c r="F25" i="10"/>
  <c r="E3" i="24"/>
  <c r="E12" i="24"/>
  <c r="F3" i="24"/>
  <c r="F12" i="24"/>
  <c r="F5" i="14"/>
  <c r="G27" i="9"/>
  <c r="C27" i="9" s="1"/>
  <c r="C12" i="9"/>
  <c r="C26" i="9"/>
  <c r="C17" i="9"/>
  <c r="E23" i="9"/>
  <c r="C22" i="9"/>
  <c r="C15" i="9"/>
  <c r="C13" i="9"/>
  <c r="C4" i="9"/>
  <c r="C16" i="9"/>
  <c r="C21" i="9"/>
  <c r="I24" i="9"/>
  <c r="H25" i="9"/>
  <c r="I25" i="9"/>
  <c r="H24" i="9"/>
  <c r="F25" i="9"/>
  <c r="G24" i="9"/>
  <c r="B10" i="6"/>
  <c r="K3" i="26" s="1"/>
  <c r="D37" i="5"/>
  <c r="H37" i="5"/>
  <c r="K107" i="14"/>
  <c r="L107" i="14" s="1"/>
  <c r="M107" i="14" s="1"/>
  <c r="G37" i="5"/>
  <c r="E37" i="5"/>
  <c r="C2" i="10"/>
  <c r="B25" i="5"/>
  <c r="L109" i="14"/>
  <c r="M109" i="14" s="1"/>
  <c r="B70" i="5"/>
  <c r="B72" i="5"/>
  <c r="I139" i="14"/>
  <c r="J138" i="14"/>
  <c r="K138" i="14" s="1"/>
  <c r="B33" i="5"/>
  <c r="B46" i="5"/>
  <c r="B45" i="5" s="1"/>
  <c r="B44" i="5"/>
  <c r="B31" i="5"/>
  <c r="B60" i="5"/>
  <c r="C26" i="5"/>
  <c r="B26" i="5" s="1"/>
  <c r="B27" i="5"/>
  <c r="B49" i="5"/>
  <c r="B62" i="5"/>
  <c r="B35" i="5"/>
  <c r="B53" i="5"/>
  <c r="B63" i="5"/>
  <c r="B40" i="5"/>
  <c r="C42" i="5"/>
  <c r="B43" i="5"/>
  <c r="B50" i="5"/>
  <c r="B58" i="5"/>
  <c r="B24" i="5"/>
  <c r="B38" i="5"/>
  <c r="B29" i="5"/>
  <c r="B32" i="5"/>
  <c r="B47" i="5"/>
  <c r="B59" i="5"/>
  <c r="B39" i="5"/>
  <c r="B51" i="5"/>
  <c r="B30" i="5"/>
  <c r="B54" i="5"/>
  <c r="G52" i="5"/>
  <c r="C52" i="5"/>
  <c r="E52" i="5"/>
  <c r="H52" i="5"/>
  <c r="F52" i="5"/>
  <c r="D52" i="5"/>
  <c r="G34" i="5"/>
  <c r="D28" i="5"/>
  <c r="H28" i="5"/>
  <c r="F34" i="5"/>
  <c r="G28" i="5"/>
  <c r="H34" i="5"/>
  <c r="E34" i="5"/>
  <c r="F28" i="5"/>
  <c r="D34" i="5"/>
  <c r="E28" i="5"/>
  <c r="C28" i="5"/>
  <c r="C37" i="5"/>
  <c r="B16" i="5"/>
  <c r="B15" i="5"/>
  <c r="B18" i="5"/>
  <c r="B17" i="5"/>
  <c r="B13" i="5"/>
  <c r="H15" i="14"/>
  <c r="E15" i="14"/>
  <c r="D15" i="14"/>
  <c r="G15" i="14"/>
  <c r="M125" i="14" l="1"/>
  <c r="M133" i="14"/>
  <c r="D17" i="6"/>
  <c r="D19" i="6" s="1"/>
  <c r="E3" i="25" s="1"/>
  <c r="E4" i="25" s="1"/>
  <c r="C5" i="25" s="1"/>
  <c r="M124" i="14"/>
  <c r="L132" i="14"/>
  <c r="M132" i="14" s="1"/>
  <c r="D6" i="9"/>
  <c r="D8" i="9"/>
  <c r="D10" i="9"/>
  <c r="C71" i="5"/>
  <c r="C73" i="5"/>
  <c r="B6" i="24"/>
  <c r="D2" i="7"/>
  <c r="L133" i="14"/>
  <c r="G28" i="9"/>
  <c r="F15" i="14"/>
  <c r="G5" i="9" s="1"/>
  <c r="E4" i="24"/>
  <c r="E5" i="24" s="1"/>
  <c r="C13" i="25"/>
  <c r="E36" i="11"/>
  <c r="Q26" i="24"/>
  <c r="O24" i="24"/>
  <c r="O25" i="24" s="1"/>
  <c r="P22" i="24"/>
  <c r="P23" i="24" s="1"/>
  <c r="Q22" i="24"/>
  <c r="Q23" i="24" s="1"/>
  <c r="O22" i="24"/>
  <c r="O23" i="24" s="1"/>
  <c r="P26" i="24"/>
  <c r="O26" i="24"/>
  <c r="P24" i="24"/>
  <c r="P25" i="24" s="1"/>
  <c r="Q24" i="24"/>
  <c r="Q25" i="24" s="1"/>
  <c r="E24" i="9"/>
  <c r="C24" i="9" s="1"/>
  <c r="C23" i="9"/>
  <c r="B34" i="5"/>
  <c r="B48" i="5"/>
  <c r="B52" i="5"/>
  <c r="D29" i="8"/>
  <c r="L138" i="14"/>
  <c r="M138" i="14" s="1"/>
  <c r="B42" i="5"/>
  <c r="C41" i="5"/>
  <c r="D17" i="14"/>
  <c r="E5" i="9"/>
  <c r="B28" i="5"/>
  <c r="G17" i="14"/>
  <c r="H5" i="9"/>
  <c r="E17" i="14"/>
  <c r="F5" i="9"/>
  <c r="H17" i="14"/>
  <c r="E57" i="8" s="1"/>
  <c r="I5" i="9"/>
  <c r="B37" i="5"/>
  <c r="H41" i="5"/>
  <c r="F41" i="5"/>
  <c r="E41" i="5"/>
  <c r="D41" i="5"/>
  <c r="G41" i="5"/>
  <c r="P29" i="24" l="1"/>
  <c r="P27" i="24"/>
  <c r="G25" i="9"/>
  <c r="C25" i="9" s="1"/>
  <c r="C28" i="9"/>
  <c r="O27" i="24"/>
  <c r="O29" i="24"/>
  <c r="A57" i="8"/>
  <c r="F17" i="14"/>
  <c r="F19" i="14" s="1"/>
  <c r="F20" i="5" s="1"/>
  <c r="F18" i="9"/>
  <c r="B57" i="8"/>
  <c r="C12" i="25"/>
  <c r="C14" i="25" s="1"/>
  <c r="C16" i="25" s="1"/>
  <c r="D20" i="6"/>
  <c r="G19" i="14"/>
  <c r="G20" i="5" s="1"/>
  <c r="D57" i="8"/>
  <c r="Q29" i="24"/>
  <c r="Q27" i="24"/>
  <c r="B9" i="24"/>
  <c r="B7" i="24"/>
  <c r="C5" i="9"/>
  <c r="I18" i="9"/>
  <c r="H19" i="14"/>
  <c r="D19" i="14"/>
  <c r="D23" i="14" s="1"/>
  <c r="E19" i="14"/>
  <c r="E20" i="5" s="1"/>
  <c r="H18" i="9"/>
  <c r="B41" i="5"/>
  <c r="C20" i="5"/>
  <c r="G23" i="14" l="1"/>
  <c r="B21" i="6"/>
  <c r="B21" i="25"/>
  <c r="D9" i="15"/>
  <c r="P30" i="24"/>
  <c r="O30" i="24"/>
  <c r="Q30" i="24"/>
  <c r="F6" i="24"/>
  <c r="F9" i="24" s="1"/>
  <c r="H8" i="9"/>
  <c r="H10" i="9"/>
  <c r="C6" i="24"/>
  <c r="C13" i="24" s="1"/>
  <c r="E8" i="9"/>
  <c r="E10" i="9"/>
  <c r="G18" i="9"/>
  <c r="C57" i="8"/>
  <c r="F57" i="8" s="1"/>
  <c r="E32" i="8" s="1"/>
  <c r="C18" i="9"/>
  <c r="C7" i="24"/>
  <c r="D71" i="5"/>
  <c r="E2" i="7"/>
  <c r="G71" i="5"/>
  <c r="H2" i="7"/>
  <c r="H20" i="5"/>
  <c r="H23" i="14"/>
  <c r="D20" i="5"/>
  <c r="B20" i="5" s="1"/>
  <c r="B3" i="11" s="1"/>
  <c r="B11" i="11" s="1"/>
  <c r="E23" i="14"/>
  <c r="B19" i="5"/>
  <c r="I18" i="14" s="1"/>
  <c r="F23" i="14"/>
  <c r="G73" i="5"/>
  <c r="H6" i="9"/>
  <c r="D73" i="5"/>
  <c r="E6" i="9"/>
  <c r="B13" i="4"/>
  <c r="B14" i="4"/>
  <c r="B15" i="4"/>
  <c r="B16" i="4"/>
  <c r="F7" i="24" l="1"/>
  <c r="C9" i="24"/>
  <c r="B6" i="11"/>
  <c r="E29" i="11" s="1"/>
  <c r="Q34" i="24"/>
  <c r="Q36" i="24"/>
  <c r="Q35" i="24"/>
  <c r="O34" i="24"/>
  <c r="O35" i="24"/>
  <c r="O36" i="24"/>
  <c r="B2" i="7"/>
  <c r="P35" i="24"/>
  <c r="P36" i="24"/>
  <c r="P34" i="24"/>
  <c r="I10" i="9"/>
  <c r="I8" i="9"/>
  <c r="F12" i="25"/>
  <c r="F14" i="25" s="1"/>
  <c r="F16" i="25" s="1"/>
  <c r="G10" i="9"/>
  <c r="G8" i="9"/>
  <c r="F10" i="9"/>
  <c r="C10" i="9" s="1"/>
  <c r="F8" i="9"/>
  <c r="H71" i="5"/>
  <c r="G6" i="24"/>
  <c r="F2" i="7"/>
  <c r="D6" i="24"/>
  <c r="G2" i="7"/>
  <c r="E6" i="24"/>
  <c r="C6" i="10"/>
  <c r="B7" i="6"/>
  <c r="B8" i="6" s="1"/>
  <c r="B13" i="6" s="1"/>
  <c r="B2" i="11" s="1"/>
  <c r="F3" i="10"/>
  <c r="F6" i="9"/>
  <c r="E71" i="5"/>
  <c r="I6" i="9"/>
  <c r="F73" i="5"/>
  <c r="F71" i="5"/>
  <c r="H73" i="5"/>
  <c r="E73" i="5"/>
  <c r="B73" i="5" s="1"/>
  <c r="G6" i="9"/>
  <c r="H26" i="4"/>
  <c r="H25" i="4"/>
  <c r="D13" i="4"/>
  <c r="D26" i="4"/>
  <c r="D25" i="4"/>
  <c r="G13" i="4"/>
  <c r="G26" i="4"/>
  <c r="G25" i="4"/>
  <c r="E15" i="4"/>
  <c r="E26" i="4"/>
  <c r="E25" i="4"/>
  <c r="F13" i="4"/>
  <c r="F25" i="4"/>
  <c r="F26" i="4"/>
  <c r="C12" i="4"/>
  <c r="C3" i="5" s="1"/>
  <c r="C26" i="4"/>
  <c r="C15" i="4"/>
  <c r="C14" i="4"/>
  <c r="C13" i="4"/>
  <c r="E13" i="4"/>
  <c r="F12" i="4"/>
  <c r="C16" i="4"/>
  <c r="C7" i="5" s="1"/>
  <c r="E14" i="4"/>
  <c r="D12" i="4"/>
  <c r="F15" i="4"/>
  <c r="F16" i="4"/>
  <c r="D16" i="4"/>
  <c r="F14" i="4"/>
  <c r="D15" i="4"/>
  <c r="D14" i="4"/>
  <c r="G16" i="4"/>
  <c r="E12" i="4"/>
  <c r="G15" i="4"/>
  <c r="E16" i="4"/>
  <c r="G14" i="4"/>
  <c r="O37" i="24" l="1"/>
  <c r="C8" i="9"/>
  <c r="C6" i="9"/>
  <c r="P37" i="24"/>
  <c r="P31" i="24" s="1"/>
  <c r="D8" i="15"/>
  <c r="B24" i="25"/>
  <c r="O31" i="24"/>
  <c r="I122" i="14"/>
  <c r="I128" i="14" s="1"/>
  <c r="H27" i="4"/>
  <c r="H30" i="4" s="1"/>
  <c r="Q37" i="24"/>
  <c r="E13" i="24"/>
  <c r="E9" i="24"/>
  <c r="E7" i="24"/>
  <c r="F13" i="24"/>
  <c r="D13" i="24"/>
  <c r="D9" i="24"/>
  <c r="D7" i="24"/>
  <c r="G13" i="24"/>
  <c r="G9" i="24"/>
  <c r="G7" i="24"/>
  <c r="C17" i="25"/>
  <c r="B27" i="25" s="1"/>
  <c r="B71" i="5"/>
  <c r="B12" i="11"/>
  <c r="G9" i="5"/>
  <c r="G10" i="5"/>
  <c r="G4" i="5"/>
  <c r="E10" i="5"/>
  <c r="E9" i="5"/>
  <c r="F3" i="5"/>
  <c r="D3" i="5"/>
  <c r="D9" i="5"/>
  <c r="D10" i="5"/>
  <c r="F10" i="5"/>
  <c r="H9" i="5"/>
  <c r="F9" i="5"/>
  <c r="H10" i="5"/>
  <c r="E3" i="5"/>
  <c r="G6" i="5"/>
  <c r="E7" i="5"/>
  <c r="G7" i="5"/>
  <c r="G3" i="5"/>
  <c r="E5" i="5"/>
  <c r="E4" i="5"/>
  <c r="C4" i="5"/>
  <c r="D6" i="5"/>
  <c r="D7" i="5"/>
  <c r="F4" i="5"/>
  <c r="D5" i="5"/>
  <c r="F5" i="5"/>
  <c r="F7" i="5"/>
  <c r="F6" i="5"/>
  <c r="E6" i="5"/>
  <c r="C5" i="5"/>
  <c r="C6" i="5"/>
  <c r="G5" i="5"/>
  <c r="D4" i="5"/>
  <c r="I54" i="14" l="1"/>
  <c r="I106" i="14" s="1"/>
  <c r="D11" i="15"/>
  <c r="Q31" i="24"/>
  <c r="B10" i="5"/>
  <c r="B30" i="25"/>
  <c r="B3" i="5"/>
  <c r="H12" i="4" s="1"/>
  <c r="B9" i="5"/>
  <c r="I25" i="4" s="1"/>
  <c r="J25" i="4" s="1"/>
  <c r="K25" i="4" s="1"/>
  <c r="L25" i="4" s="1"/>
  <c r="M25" i="4" s="1"/>
  <c r="B4" i="5"/>
  <c r="H13" i="4" s="1"/>
  <c r="I13" i="4" s="1"/>
  <c r="J13" i="4" s="1"/>
  <c r="K13" i="4" s="1"/>
  <c r="L13" i="4" s="1"/>
  <c r="M13" i="4" s="1"/>
  <c r="B6" i="5"/>
  <c r="H15" i="4" s="1"/>
  <c r="I15" i="4" s="1"/>
  <c r="J15" i="4" s="1"/>
  <c r="K15" i="4" s="1"/>
  <c r="L15" i="4" s="1"/>
  <c r="M15" i="4" s="1"/>
  <c r="B7" i="5"/>
  <c r="H16" i="4" s="1"/>
  <c r="I16" i="4" s="1"/>
  <c r="J16" i="4" s="1"/>
  <c r="K16" i="4" s="1"/>
  <c r="L16" i="4" s="1"/>
  <c r="M16" i="4" s="1"/>
  <c r="B5" i="5"/>
  <c r="H14" i="4" s="1"/>
  <c r="I14" i="4" s="1"/>
  <c r="J14" i="4" s="1"/>
  <c r="K14" i="4" s="1"/>
  <c r="L14" i="4" s="1"/>
  <c r="M14" i="4" s="1"/>
  <c r="B4" i="12" l="1"/>
  <c r="I26" i="4"/>
  <c r="I16" i="14"/>
  <c r="I55" i="14"/>
  <c r="I12" i="4"/>
  <c r="H17" i="4"/>
  <c r="I27" i="4" l="1"/>
  <c r="J26" i="4"/>
  <c r="B13" i="11"/>
  <c r="B15" i="11"/>
  <c r="J12" i="4"/>
  <c r="I17" i="4"/>
  <c r="K26" i="4" l="1"/>
  <c r="J27" i="4"/>
  <c r="I30" i="4"/>
  <c r="I2" i="14" s="1" a="1"/>
  <c r="I2" i="14" s="1"/>
  <c r="K12" i="4"/>
  <c r="J17" i="4"/>
  <c r="I88" i="14" l="1"/>
  <c r="I7" i="14"/>
  <c r="J30" i="4"/>
  <c r="J2" i="14" s="1" a="1"/>
  <c r="J2" i="14" s="1"/>
  <c r="J45" i="14" s="1"/>
  <c r="I8" i="14"/>
  <c r="I41" i="14"/>
  <c r="I67" i="14"/>
  <c r="I37" i="14"/>
  <c r="I84" i="14"/>
  <c r="I38" i="14"/>
  <c r="I112" i="14" s="1"/>
  <c r="I70" i="14"/>
  <c r="I40" i="14"/>
  <c r="I95" i="14"/>
  <c r="L26" i="4"/>
  <c r="K27" i="4"/>
  <c r="I47" i="14"/>
  <c r="I66" i="14"/>
  <c r="I68" i="14" s="1"/>
  <c r="I65" i="14" s="1"/>
  <c r="I64" i="14"/>
  <c r="I86" i="14"/>
  <c r="I63" i="14"/>
  <c r="I43" i="14"/>
  <c r="I3" i="14"/>
  <c r="I4" i="14" s="1"/>
  <c r="I5" i="14" s="1"/>
  <c r="I15" i="14" s="1"/>
  <c r="I50" i="14"/>
  <c r="I14" i="14"/>
  <c r="I42" i="14"/>
  <c r="I62" i="14"/>
  <c r="I48" i="14"/>
  <c r="I115" i="14" s="1"/>
  <c r="I52" i="14"/>
  <c r="I34" i="14"/>
  <c r="I33" i="14" s="1"/>
  <c r="I71" i="14"/>
  <c r="I82" i="14"/>
  <c r="I11" i="14"/>
  <c r="B18" i="11" s="1"/>
  <c r="B19" i="11" s="1"/>
  <c r="I36" i="14"/>
  <c r="I35" i="14"/>
  <c r="I53" i="14"/>
  <c r="I76" i="14"/>
  <c r="I114" i="14" s="1"/>
  <c r="I49" i="14"/>
  <c r="I39" i="14"/>
  <c r="I45" i="14"/>
  <c r="L12" i="4"/>
  <c r="K17" i="4"/>
  <c r="I75" i="14" l="1"/>
  <c r="C10" i="11"/>
  <c r="C11" i="11" s="1"/>
  <c r="C12" i="11" s="1"/>
  <c r="I69" i="14"/>
  <c r="M26" i="4"/>
  <c r="M27" i="4" s="1"/>
  <c r="L27" i="4"/>
  <c r="K30" i="4"/>
  <c r="K2" i="14" s="1" a="1"/>
  <c r="K2" i="14" s="1"/>
  <c r="K45" i="14" s="1"/>
  <c r="K46" i="14" s="1"/>
  <c r="I17" i="14"/>
  <c r="B20" i="11"/>
  <c r="I46" i="14"/>
  <c r="J44" i="14"/>
  <c r="M12" i="4"/>
  <c r="M17" i="4" s="1"/>
  <c r="L17" i="4"/>
  <c r="J50" i="14"/>
  <c r="J37" i="14"/>
  <c r="J76" i="14"/>
  <c r="J70" i="14"/>
  <c r="J88" i="14"/>
  <c r="J53" i="14"/>
  <c r="J86" i="14"/>
  <c r="J35" i="14"/>
  <c r="J36" i="14"/>
  <c r="J63" i="14"/>
  <c r="J42" i="14"/>
  <c r="J84" i="14"/>
  <c r="J48" i="14"/>
  <c r="J64" i="14"/>
  <c r="J40" i="14"/>
  <c r="J67" i="14"/>
  <c r="J43" i="14"/>
  <c r="J39" i="14"/>
  <c r="J41" i="14"/>
  <c r="J49" i="14"/>
  <c r="J95" i="14"/>
  <c r="J34" i="14"/>
  <c r="J66" i="14"/>
  <c r="J82" i="14"/>
  <c r="J71" i="14"/>
  <c r="J38" i="14"/>
  <c r="J112" i="14" s="1"/>
  <c r="J52" i="14"/>
  <c r="J62" i="14"/>
  <c r="J47" i="14"/>
  <c r="J3" i="14"/>
  <c r="J46" i="14" s="1"/>
  <c r="J8" i="14"/>
  <c r="J7" i="14"/>
  <c r="J14" i="14"/>
  <c r="J11" i="14"/>
  <c r="L30" i="4" l="1"/>
  <c r="J115" i="14"/>
  <c r="M30" i="4"/>
  <c r="J68" i="14"/>
  <c r="J65" i="14" s="1"/>
  <c r="I44" i="14"/>
  <c r="J114" i="14"/>
  <c r="J33" i="14"/>
  <c r="J32" i="14" s="1"/>
  <c r="C18" i="11"/>
  <c r="C19" i="11" s="1"/>
  <c r="C20" i="11" s="1"/>
  <c r="K44" i="14"/>
  <c r="J69" i="14"/>
  <c r="J75" i="14"/>
  <c r="K86" i="14"/>
  <c r="K84" i="14"/>
  <c r="K71" i="14"/>
  <c r="K50" i="14"/>
  <c r="K53" i="14"/>
  <c r="K35" i="14"/>
  <c r="K36" i="14"/>
  <c r="K76" i="14"/>
  <c r="K63" i="14"/>
  <c r="K34" i="14"/>
  <c r="K48" i="14"/>
  <c r="K64" i="14"/>
  <c r="K70" i="14"/>
  <c r="K41" i="14"/>
  <c r="K95" i="14"/>
  <c r="K40" i="14"/>
  <c r="K66" i="14"/>
  <c r="K42" i="14"/>
  <c r="K67" i="14"/>
  <c r="K39" i="14"/>
  <c r="K43" i="14"/>
  <c r="K88" i="14"/>
  <c r="K49" i="14"/>
  <c r="K82" i="14"/>
  <c r="K37" i="14"/>
  <c r="K52" i="14"/>
  <c r="K62" i="14"/>
  <c r="K47" i="14"/>
  <c r="K38" i="14"/>
  <c r="K112" i="14" s="1"/>
  <c r="K3" i="14"/>
  <c r="K14" i="14"/>
  <c r="K7" i="14"/>
  <c r="K8" i="14"/>
  <c r="K11" i="14"/>
  <c r="L2" i="14" a="1"/>
  <c r="L2" i="14" s="1"/>
  <c r="L45" i="14" s="1"/>
  <c r="L46" i="14" s="1"/>
  <c r="M2" i="14" a="1"/>
  <c r="M2" i="14" s="1"/>
  <c r="M45" i="14" s="1"/>
  <c r="K68" i="14" l="1"/>
  <c r="J113" i="14"/>
  <c r="B14" i="11"/>
  <c r="B16" i="11" s="1"/>
  <c r="B21" i="11" s="1"/>
  <c r="K33" i="14"/>
  <c r="K115" i="14"/>
  <c r="I113" i="14"/>
  <c r="K114" i="14"/>
  <c r="C14" i="11"/>
  <c r="I32" i="14"/>
  <c r="D18" i="11"/>
  <c r="D19" i="11" s="1"/>
  <c r="D20" i="11" s="1"/>
  <c r="K113" i="14"/>
  <c r="D14" i="11"/>
  <c r="M44" i="14"/>
  <c r="K69" i="14"/>
  <c r="L38" i="14"/>
  <c r="L112" i="14" s="1"/>
  <c r="L44" i="14"/>
  <c r="K65" i="14"/>
  <c r="K75" i="14"/>
  <c r="L36" i="14"/>
  <c r="L40" i="14"/>
  <c r="L63" i="14"/>
  <c r="L49" i="14"/>
  <c r="L82" i="14"/>
  <c r="L64" i="14"/>
  <c r="L50" i="14"/>
  <c r="L67" i="14"/>
  <c r="L86" i="14"/>
  <c r="L35" i="14"/>
  <c r="L76" i="14"/>
  <c r="L42" i="14"/>
  <c r="L48" i="14"/>
  <c r="L70" i="14"/>
  <c r="L88" i="14"/>
  <c r="L66" i="14"/>
  <c r="L43" i="14"/>
  <c r="L37" i="14"/>
  <c r="L41" i="14"/>
  <c r="L39" i="14"/>
  <c r="L71" i="14"/>
  <c r="L53" i="14"/>
  <c r="L95" i="14"/>
  <c r="L34" i="14"/>
  <c r="L84" i="14"/>
  <c r="L52" i="14"/>
  <c r="L62" i="14"/>
  <c r="L47" i="14"/>
  <c r="M3" i="14"/>
  <c r="M82" i="14"/>
  <c r="M48" i="14"/>
  <c r="M71" i="14"/>
  <c r="M42" i="14"/>
  <c r="M40" i="14"/>
  <c r="M41" i="14"/>
  <c r="M84" i="14"/>
  <c r="M36" i="14"/>
  <c r="M86" i="14"/>
  <c r="M50" i="14"/>
  <c r="M35" i="14"/>
  <c r="M63" i="14"/>
  <c r="M49" i="14"/>
  <c r="M64" i="14"/>
  <c r="M34" i="14"/>
  <c r="M70" i="14"/>
  <c r="M76" i="14"/>
  <c r="M67" i="14"/>
  <c r="M66" i="14"/>
  <c r="M37" i="14"/>
  <c r="M39" i="14"/>
  <c r="M43" i="14"/>
  <c r="M88" i="14"/>
  <c r="M53" i="14"/>
  <c r="M95" i="14"/>
  <c r="M38" i="14"/>
  <c r="M52" i="14"/>
  <c r="M62" i="14"/>
  <c r="M47" i="14"/>
  <c r="K32" i="14"/>
  <c r="L3" i="14"/>
  <c r="M8" i="14"/>
  <c r="M14" i="14"/>
  <c r="M7" i="14"/>
  <c r="M11" i="14"/>
  <c r="L14" i="14"/>
  <c r="L7" i="14"/>
  <c r="L8" i="14"/>
  <c r="L11" i="14"/>
  <c r="L115" i="14" l="1"/>
  <c r="L114" i="14"/>
  <c r="M115" i="14"/>
  <c r="L33" i="14"/>
  <c r="L32" i="14" s="1"/>
  <c r="F18" i="11"/>
  <c r="F19" i="11" s="1"/>
  <c r="F20" i="11" s="1"/>
  <c r="M114" i="14"/>
  <c r="M112" i="14"/>
  <c r="E18" i="11"/>
  <c r="E19" i="11" s="1"/>
  <c r="E20" i="11" s="1"/>
  <c r="F14" i="11"/>
  <c r="L113" i="14"/>
  <c r="E14" i="11"/>
  <c r="M69" i="14"/>
  <c r="L68" i="14"/>
  <c r="L65" i="14" s="1"/>
  <c r="M33" i="14"/>
  <c r="M32" i="14" s="1"/>
  <c r="M68" i="14"/>
  <c r="M65" i="14" s="1"/>
  <c r="M46" i="14"/>
  <c r="L69" i="14"/>
  <c r="M113" i="14"/>
  <c r="M75" i="14"/>
  <c r="L75" i="14"/>
  <c r="I51" i="14" l="1"/>
  <c r="I72" i="14" s="1"/>
  <c r="C12" i="10"/>
  <c r="C13" i="10" s="1"/>
  <c r="I19" i="14"/>
  <c r="I104" i="14" s="1"/>
  <c r="I22" i="14" l="1"/>
  <c r="I117" i="14" s="1"/>
  <c r="I111" i="14"/>
  <c r="I120" i="14" l="1"/>
  <c r="I23" i="14"/>
  <c r="I90" i="14" l="1"/>
  <c r="I89" i="14" s="1"/>
  <c r="C2" i="26"/>
  <c r="C3" i="26" s="1"/>
  <c r="I134" i="14"/>
  <c r="I135" i="14" s="1"/>
  <c r="I136" i="14" s="1"/>
  <c r="J137" i="14" s="1"/>
  <c r="J139" i="14" s="1"/>
  <c r="I27" i="14"/>
  <c r="I29" i="14" s="1"/>
  <c r="J122" i="14"/>
  <c r="I25" i="14"/>
  <c r="J97" i="14"/>
  <c r="I87" i="14" l="1"/>
  <c r="J54" i="14"/>
  <c r="J128" i="14"/>
  <c r="I85" i="14" l="1"/>
  <c r="I74" i="14" s="1"/>
  <c r="J18" i="14"/>
  <c r="J51" i="14"/>
  <c r="J72" i="14" s="1"/>
  <c r="J106" i="14"/>
  <c r="I100" i="14" l="1"/>
  <c r="C10" i="10"/>
  <c r="J4" i="14"/>
  <c r="J5" i="14" s="1"/>
  <c r="J16" i="14"/>
  <c r="C15" i="11" s="1"/>
  <c r="J55" i="14"/>
  <c r="C13" i="11" l="1"/>
  <c r="C16" i="11" s="1"/>
  <c r="D10" i="11"/>
  <c r="J15" i="14"/>
  <c r="J17" i="14" s="1"/>
  <c r="D12" i="10" s="1"/>
  <c r="D13" i="10" s="1"/>
  <c r="J19" i="14" l="1"/>
  <c r="J22" i="14" s="1"/>
  <c r="J117" i="14" s="1"/>
  <c r="D11" i="11"/>
  <c r="D12" i="11" s="1"/>
  <c r="J104" i="14" l="1"/>
  <c r="J111" i="14" s="1"/>
  <c r="J120" i="14" s="1"/>
  <c r="J23" i="14"/>
  <c r="D2" i="26" l="1"/>
  <c r="D3" i="26" s="1"/>
  <c r="J134" i="14"/>
  <c r="J135" i="14" s="1"/>
  <c r="J136" i="14" s="1"/>
  <c r="K137" i="14" s="1"/>
  <c r="K139" i="14" s="1"/>
  <c r="J25" i="14"/>
  <c r="J98" i="14"/>
  <c r="K97" i="14" s="1"/>
  <c r="K122" i="14"/>
  <c r="J27" i="14"/>
  <c r="J29" i="14" s="1"/>
  <c r="J96" i="14"/>
  <c r="J90" i="14" s="1"/>
  <c r="J89" i="14" s="1"/>
  <c r="J87" i="14" s="1"/>
  <c r="K18" i="14" s="1"/>
  <c r="J85" i="14" l="1"/>
  <c r="J74" i="14" s="1"/>
  <c r="K128" i="14"/>
  <c r="K54" i="14"/>
  <c r="J100" i="14" l="1"/>
  <c r="C21" i="11"/>
  <c r="K51" i="14"/>
  <c r="K72" i="14" s="1"/>
  <c r="K106" i="14"/>
  <c r="D10" i="10" l="1"/>
  <c r="K4" i="14"/>
  <c r="K5" i="14" s="1"/>
  <c r="K16" i="14"/>
  <c r="D15" i="11" s="1"/>
  <c r="K55" i="14"/>
  <c r="D13" i="11" l="1"/>
  <c r="D16" i="11" s="1"/>
  <c r="K15" i="14"/>
  <c r="K17" i="14" s="1"/>
  <c r="E10" i="11"/>
  <c r="E12" i="10" l="1"/>
  <c r="E13" i="10" s="1"/>
  <c r="E11" i="11"/>
  <c r="E12" i="11" s="1"/>
  <c r="K19" i="14" l="1"/>
  <c r="K22" i="14" l="1"/>
  <c r="K117" i="14" s="1"/>
  <c r="K104" i="14"/>
  <c r="K111" i="14" s="1"/>
  <c r="K120" i="14" l="1"/>
  <c r="K23" i="14"/>
  <c r="E2" i="26" s="1"/>
  <c r="L122" i="14" l="1"/>
  <c r="L54" i="14" s="1"/>
  <c r="K27" i="14"/>
  <c r="K29" i="14" s="1"/>
  <c r="K98" i="14"/>
  <c r="L97" i="14" s="1"/>
  <c r="K96" i="14"/>
  <c r="K90" i="14" s="1"/>
  <c r="K89" i="14" s="1"/>
  <c r="K87" i="14" s="1"/>
  <c r="K85" i="14" s="1"/>
  <c r="K74" i="14" s="1"/>
  <c r="K25" i="14"/>
  <c r="E3" i="26"/>
  <c r="K134" i="14"/>
  <c r="K135" i="14" s="1"/>
  <c r="K136" i="14" s="1"/>
  <c r="L137" i="14" s="1"/>
  <c r="L139" i="14" s="1"/>
  <c r="L128" i="14" l="1"/>
  <c r="L18" i="14"/>
  <c r="K100" i="14"/>
  <c r="D21" i="11"/>
  <c r="L106" i="14"/>
  <c r="L51" i="14"/>
  <c r="L72" i="14" s="1"/>
  <c r="E10" i="10" l="1"/>
  <c r="L16" i="14"/>
  <c r="E15" i="11" s="1"/>
  <c r="L4" i="14"/>
  <c r="L5" i="14" s="1"/>
  <c r="L55" i="14"/>
  <c r="E13" i="11" l="1"/>
  <c r="E16" i="11" s="1"/>
  <c r="F10" i="11"/>
  <c r="L15" i="14"/>
  <c r="L17" i="14" s="1"/>
  <c r="F11" i="11" l="1"/>
  <c r="F12" i="11" s="1"/>
  <c r="F12" i="10"/>
  <c r="F13" i="10" s="1"/>
  <c r="L19" i="14" l="1"/>
  <c r="L22" i="14" s="1"/>
  <c r="L117" i="14" s="1"/>
  <c r="L104" i="14" l="1"/>
  <c r="L111" i="14" s="1"/>
  <c r="L120" i="14" s="1"/>
  <c r="L23" i="14"/>
  <c r="F2" i="26" l="1"/>
  <c r="F3" i="26" s="1"/>
  <c r="L134" i="14"/>
  <c r="L135" i="14" s="1"/>
  <c r="L136" i="14" s="1"/>
  <c r="M137" i="14" s="1"/>
  <c r="M139" i="14" s="1"/>
  <c r="L27" i="14"/>
  <c r="L29" i="14" s="1"/>
  <c r="M122" i="14"/>
  <c r="L98" i="14"/>
  <c r="M97" i="14" s="1"/>
  <c r="L25" i="14"/>
  <c r="L96" i="14"/>
  <c r="L90" i="14" s="1"/>
  <c r="L89" i="14" s="1"/>
  <c r="L87" i="14" s="1"/>
  <c r="L85" i="14" l="1"/>
  <c r="L74" i="14" s="1"/>
  <c r="M18" i="14"/>
  <c r="M128" i="14"/>
  <c r="M54" i="14"/>
  <c r="L100" i="14" l="1"/>
  <c r="E21" i="11"/>
  <c r="M51" i="14"/>
  <c r="M72" i="14" s="1"/>
  <c r="M106" i="14"/>
  <c r="F10" i="10" l="1"/>
  <c r="M16" i="14"/>
  <c r="F15" i="11" s="1"/>
  <c r="M4" i="14"/>
  <c r="M5" i="14" s="1"/>
  <c r="M15" i="14" s="1"/>
  <c r="E28" i="11" s="1"/>
  <c r="E31" i="11" s="1"/>
  <c r="M55" i="14"/>
  <c r="F18" i="10" l="1"/>
  <c r="F21" i="10" s="1"/>
  <c r="F22" i="10" s="1"/>
  <c r="E32" i="11"/>
  <c r="M17" i="14"/>
  <c r="F13" i="11"/>
  <c r="F16" i="11" s="1"/>
  <c r="G12" i="10" l="1"/>
  <c r="G13" i="10" s="1"/>
  <c r="C17" i="10" s="1"/>
  <c r="F17" i="10" l="1"/>
  <c r="M19" i="14"/>
  <c r="M104" i="14" l="1"/>
  <c r="M111" i="14" s="1"/>
  <c r="M22" i="14"/>
  <c r="M117" i="14" s="1"/>
  <c r="M23" i="14" l="1"/>
  <c r="M98" i="14" s="1"/>
  <c r="M120" i="14"/>
  <c r="M27" i="14" l="1"/>
  <c r="M29" i="14" s="1"/>
  <c r="M96" i="14"/>
  <c r="M90" i="14" s="1"/>
  <c r="M89" i="14" s="1"/>
  <c r="M87" i="14" s="1"/>
  <c r="M85" i="14" s="1"/>
  <c r="M74" i="14" s="1"/>
  <c r="M100" i="14" s="1"/>
  <c r="M25" i="14"/>
  <c r="G2" i="26"/>
  <c r="G3" i="26" s="1"/>
  <c r="M134" i="14"/>
  <c r="M135" i="14" s="1"/>
  <c r="M136" i="14" s="1"/>
  <c r="F21" i="11"/>
  <c r="B28" i="11" l="1"/>
  <c r="B29" i="11" s="1"/>
  <c r="B26" i="11"/>
  <c r="G4" i="26"/>
  <c r="G5" i="26" s="1"/>
  <c r="C5" i="26"/>
  <c r="C4" i="26"/>
  <c r="E26" i="11"/>
  <c r="G10" i="10"/>
  <c r="F16" i="10" l="1"/>
  <c r="F24" i="10" s="1"/>
  <c r="G11" i="10"/>
  <c r="C18" i="10" s="1"/>
  <c r="C7" i="26"/>
  <c r="C9" i="26" s="1"/>
  <c r="E35" i="11"/>
  <c r="C16" i="10"/>
  <c r="B32" i="11"/>
  <c r="B14" i="26" l="1"/>
  <c r="D10" i="15"/>
  <c r="C11" i="26"/>
  <c r="B38" i="11"/>
  <c r="B40" i="11" s="1"/>
  <c r="B42" i="11" s="1"/>
  <c r="E33" i="11"/>
  <c r="E37" i="11"/>
  <c r="E38" i="11" s="1"/>
  <c r="C20" i="10"/>
  <c r="C26" i="10" s="1"/>
  <c r="C28" i="10" s="1"/>
  <c r="C30" i="10" s="1"/>
  <c r="B34" i="11"/>
  <c r="B30" i="11"/>
  <c r="F26" i="10"/>
  <c r="F27" i="10" s="1"/>
  <c r="D7" i="15" s="1"/>
  <c r="B35" i="11" l="1"/>
  <c r="B68" i="11"/>
  <c r="C22" i="10"/>
  <c r="C23" i="10" s="1"/>
  <c r="D6" i="15" s="1"/>
  <c r="C58" i="10"/>
  <c r="C50" i="10"/>
  <c r="C42" i="10"/>
  <c r="C19" i="10"/>
  <c r="B47" i="11" l="1"/>
  <c r="D4" i="15"/>
  <c r="B54" i="11"/>
  <c r="D5" i="15"/>
  <c r="B60" i="12"/>
  <c r="B61" i="11"/>
  <c r="C34" i="10"/>
  <c r="C14" i="15" l="1"/>
  <c r="C16"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tc={9E9F02AF-F84E-42F4-8FE5-764030292F17}</author>
  </authors>
  <commentList>
    <comment ref="D2" authorId="0" shapeId="0" xr:uid="{9E9F02AF-F84E-42F4-8FE5-764030292F17}">
      <text>
        <t xml:space="preserve">[Threaded comment]
Your version of Excel allows you to read this threaded comment; however, any edits to it will get removed if the file is opened in a newer version of Excel. Learn more: https://go.microsoft.com/fwlink/?linkid=870924
Comment:
    Look for reasons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tc={5BF93645-41C0-4337-A38B-7A2D0F36DEEA}</author>
    <author>tc={13ED7ED2-5E34-4397-BC0B-5DA9DCEEC72F}</author>
    <author>tc={BCE69D2F-6589-4375-A6FA-5376492A3E80}</author>
    <author>tc={9146261C-0F5E-497E-BC7F-528858CFA661}</author>
    <author>tc={4EBA983E-5099-4B27-B11E-6AC9FF851084}</author>
  </authors>
  <commentList>
    <comment ref="B2" authorId="0" shapeId="0" xr:uid="{5BF93645-41C0-4337-A38B-7A2D0F36DEEA}">
      <text>
        <t xml:space="preserve">[Threaded comment]
Your version of Excel allows you to read this threaded comment; however, any edits to it will get removed if the file is opened in a newer version of Excel. Learn more: https://go.microsoft.com/fwlink/?linkid=870924
Comment:
    Record manually for projections purpose only
</t>
      </text>
    </comment>
    <comment ref="A4" authorId="1" shapeId="0" xr:uid="{13ED7ED2-5E34-4397-BC0B-5DA9DCEEC72F}">
      <text>
        <t xml:space="preserve">[Threaded comment]
Your version of Excel allows you to read this threaded comment; however, any edits to it will get removed if the file is opened in a newer version of Excel. Learn more: https://go.microsoft.com/fwlink/?linkid=870924
Comment:
    Revenue number of each category derived from percentage of sales of each category multiple back with total sales. </t>
      </text>
    </comment>
    <comment ref="F4" authorId="2" shapeId="0" xr:uid="{BCE69D2F-6589-4375-A6FA-5376492A3E80}">
      <text>
        <t xml:space="preserve">[Threaded comment]
Your version of Excel allows you to read this threaded comment; however, any edits to it will get removed if the file is opened in a newer version of Excel. Learn more: https://go.microsoft.com/fwlink/?linkid=870924
Comment:
    Significant Outlier due to Covid pandemic (Thus the number will not be included in calculation)
</t>
      </text>
    </comment>
    <comment ref="H17" authorId="3" shapeId="0" xr:uid="{9146261C-0F5E-497E-BC7F-528858CFA661}">
      <text>
        <t xml:space="preserve">[Threaded comment]
Your version of Excel allows you to read this threaded comment; however, any edits to it will get removed if the file is opened in a newer version of Excel. Learn more: https://go.microsoft.com/fwlink/?linkid=870924
Comment:
    Sales forecasting but have moderate deviation from the true value of sales in 2022
</t>
      </text>
    </comment>
    <comment ref="H27" authorId="4" shapeId="0" xr:uid="{4EBA983E-5099-4B27-B11E-6AC9FF851084}">
      <text>
        <t xml:space="preserve">[Threaded comment]
Your version of Excel allows you to read this threaded comment; however, any edits to it will get removed if the file is opened in a newer version of Excel. Learn more: https://go.microsoft.com/fwlink/?linkid=870924
Comment:
    Real Data from Financial Statements in 2022
Reply:
    This number is the exact sales of TLG in 2022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tc={62BE4377-BA79-415C-8DFD-8A02B2DC976C}</author>
    <author>tc={65F43951-AFA9-4232-9AA3-734242150D58}</author>
    <author>tc={63198EDA-DF1B-4C96-A28A-5C328330A6F5}</author>
    <author>tc={1B853DC4-58D0-43C5-A567-BB375535E004}</author>
    <author>tc={4B899FC0-59F8-46CA-82D6-A3A2C47E4107}</author>
    <author>tc={02037442-FAFD-443E-880B-D28D563D1642}</author>
    <author>tc={7FDF6FAF-260B-43BF-8CC7-298AE68A5C95}</author>
  </authors>
  <commentList>
    <comment ref="F1" authorId="0" shapeId="0" xr:uid="{62BE4377-BA79-415C-8DFD-8A02B2DC976C}">
      <text>
        <t xml:space="preserve">[Threaded comment]
Your version of Excel allows you to read this threaded comment; however, any edits to it will get removed if the file is opened in a newer version of Excel. Learn more: https://go.microsoft.com/fwlink/?linkid=870924
Comment:
    Do not include 2020 figure due to significant outliers as Covid 19 effect
</t>
      </text>
    </comment>
    <comment ref="F12" authorId="1" shapeId="0" xr:uid="{65F43951-AFA9-4232-9AA3-734242150D58}">
      <text>
        <t xml:space="preserve">[Threaded comment]
Your version of Excel allows you to read this threaded comment; however, any edits to it will get removed if the file is opened in a newer version of Excel. Learn more: https://go.microsoft.com/fwlink/?linkid=870924
Comment:
    Do not include 2020 figure due to significant outliers as Covid 19 effect
</t>
      </text>
    </comment>
    <comment ref="A13" authorId="2" shapeId="0" xr:uid="{63198EDA-DF1B-4C96-A28A-5C328330A6F5}">
      <text>
        <t xml:space="preserve">[Threaded comment]
Your version of Excel allows you to read this threaded comment; however, any edits to it will get removed if the file is opened in a newer version of Excel. Learn more: https://go.microsoft.com/fwlink/?linkid=870924
Comment:
    Include Depreciation to subtract depreciation later
</t>
      </text>
    </comment>
    <comment ref="A14" authorId="3" shapeId="0" xr:uid="{1B853DC4-58D0-43C5-A567-BB375535E004}">
      <text>
        <t xml:space="preserve">[Threaded comment]
Your version of Excel allows you to read this threaded comment; however, any edits to it will get removed if the file is opened in a newer version of Excel. Learn more: https://go.microsoft.com/fwlink/?linkid=870924
Comment:
    DISCARD in projections
</t>
      </text>
    </comment>
    <comment ref="F22" authorId="4" shapeId="0" xr:uid="{4B899FC0-59F8-46CA-82D6-A3A2C47E4107}">
      <text>
        <t xml:space="preserve">[Threaded comment]
Your version of Excel allows you to read this threaded comment; however, any edits to it will get removed if the file is opened in a newer version of Excel. Learn more: https://go.microsoft.com/fwlink/?linkid=870924
Comment:
    Do not include 2020 figure due to significant outliers as Covid 19 effect
</t>
      </text>
    </comment>
    <comment ref="C72" authorId="5" shapeId="0" xr:uid="{02037442-FAFD-443E-880B-D28D563D1642}">
      <text>
        <t xml:space="preserve">[Threaded comment]
Your version of Excel allows you to read this threaded comment; however, any edits to it will get removed if the file is opened in a newer version of Excel. Learn more: https://go.microsoft.com/fwlink/?linkid=870924
Comment:
    Percentage of previous year retained earning that accumulated
</t>
      </text>
    </comment>
    <comment ref="B73" authorId="6" shapeId="0" xr:uid="{7FDF6FAF-260B-43BF-8CC7-298AE68A5C95}">
      <text>
        <t xml:space="preserve">[Threaded comment]
Your version of Excel allows you to read this threaded comment; however, any edits to it will get removed if the file is opened in a newer version of Excel. Learn more: https://go.microsoft.com/fwlink/?linkid=870924
Comment:
    Geomean to minimize outliers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tc={BE2D6051-CD54-423E-9D9A-4009968BD0BE}</author>
    <author>tc={E66DC0C8-DE90-4941-A510-6994422677CC}</author>
    <author>tc={7EEC4D32-1F23-4F6F-A73A-A2BF8B7D0308}</author>
    <author>tc={8D541C1F-E461-4B39-A2E3-4CC22A634754}</author>
    <author>tc={0D04A349-A521-4E14-BD38-C936BA8B0167}</author>
    <author>tc={56499062-A669-45C9-B498-1918D0012F4D}</author>
  </authors>
  <commentList>
    <comment ref="A4" authorId="0" shapeId="0" xr:uid="{BE2D6051-CD54-423E-9D9A-4009968BD0BE}">
      <text>
        <t xml:space="preserve">[Threaded comment]
Your version of Excel allows you to read this threaded comment; however, any edits to it will get removed if the file is opened in a newer version of Excel. Learn more: https://go.microsoft.com/fwlink/?linkid=870924
Comment:
    Include Depreciation to subtract depreciation later
</t>
      </text>
    </comment>
    <comment ref="A6" authorId="1" shapeId="0" xr:uid="{E66DC0C8-DE90-4941-A510-6994422677CC}">
      <text>
        <t xml:space="preserve">[Threaded comment]
Your version of Excel allows you to read this threaded comment; however, any edits to it will get removed if the file is opened in a newer version of Excel. Learn more: https://go.microsoft.com/fwlink/?linkid=870924
Comment:
    DISCARD in projections
</t>
      </text>
    </comment>
    <comment ref="C6" authorId="2" shapeId="0" xr:uid="{7EEC4D32-1F23-4F6F-A73A-A2BF8B7D0308}">
      <text>
        <t xml:space="preserve">[Threaded comment]
Your version of Excel allows you to read this threaded comment; however, any edits to it will get removed if the file is opened in a newer version of Excel. Learn more: https://go.microsoft.com/fwlink/?linkid=870924
Comment:
    Annual statement does not include this number
</t>
      </text>
    </comment>
    <comment ref="A24" authorId="3" shapeId="0" xr:uid="{8D541C1F-E461-4B39-A2E3-4CC22A634754}">
      <text>
        <t xml:space="preserve">[Threaded comment]
Your version of Excel allows you to read this threaded comment; however, any edits to it will get removed if the file is opened in a newer version of Excel. Learn more: https://go.microsoft.com/fwlink/?linkid=870924
Comment:
    Initial NOPAT derive from financial statement. While Calculated NOPAT is calculated but is made sure to arrive at the same number of Initial NOPAT
</t>
      </text>
    </comment>
    <comment ref="A57" authorId="4" shapeId="0" xr:uid="{0D04A349-A521-4E14-BD38-C936BA8B0167}">
      <text>
        <t xml:space="preserve">[Threaded comment]
Your version of Excel allows you to read this threaded comment; however, any edits to it will get removed if the file is opened in a newer version of Excel. Learn more: https://go.microsoft.com/fwlink/?linkid=870924
Comment:
    Historical and Accumulated depreciation are two sides of coins. Both of them added together will be the Fixed assets. Thus, we decide mention only the depreciation and hide the historical cost
</t>
      </text>
    </comment>
    <comment ref="A60" authorId="5" shapeId="0" xr:uid="{56499062-A669-45C9-B498-1918D0012F4D}">
      <text>
        <t xml:space="preserve">[Threaded comment]
Your version of Excel allows you to read this threaded comment; however, any edits to it will get removed if the file is opened in a newer version of Excel. Learn more: https://go.microsoft.com/fwlink/?linkid=870924
Comment:
    Historical and Accumulated depreciation are two sides of coins. Both of them added together will be the Fixed assets. Thus, we decide mention only the depreciation and hide the historical cost
</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Lê Đức</author>
  </authors>
  <commentList>
    <comment ref="E12" authorId="0" shapeId="0" xr:uid="{B4915D48-87BC-46D3-9EB4-B0E2D4A17B92}">
      <text>
        <r>
          <rPr>
            <b/>
            <sz val="9"/>
            <color indexed="81"/>
            <rFont val="Tahoma"/>
            <family val="2"/>
          </rPr>
          <t xml:space="preserve">Lê Đức: Total
</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<sst xmlns="http://schemas.openxmlformats.org/spreadsheetml/2006/main" count="2386" uniqueCount="1620">
  <si>
    <t>Items</t>
  </si>
  <si>
    <t>Average</t>
  </si>
  <si>
    <t>2017</t>
  </si>
  <si>
    <t>2018</t>
  </si>
  <si>
    <t>2019</t>
  </si>
  <si>
    <t>2020</t>
  </si>
  <si>
    <t>2021</t>
  </si>
  <si>
    <t>2022</t>
  </si>
  <si>
    <t>Increased/Decreased in Fixed Assets</t>
  </si>
  <si>
    <t>Depreciation</t>
  </si>
  <si>
    <t>Explain on how to calculating the depreciation</t>
  </si>
  <si>
    <t>Results</t>
  </si>
  <si>
    <t>We can successfully forecast the increased or decreased in fixed assets and based on that to calculate the depreciation value                                              (Limit: Average methods used is sufficient but can not account for sudden investments in big fixed assets such as new factory or new big investments)</t>
  </si>
  <si>
    <t>2016</t>
  </si>
  <si>
    <t>Item</t>
  </si>
  <si>
    <t>Notice:</t>
  </si>
  <si>
    <t>Bút viết</t>
  </si>
  <si>
    <t xml:space="preserve">I. </t>
  </si>
  <si>
    <t>TLG do not report Category propotion in 2022</t>
  </si>
  <si>
    <t>Dụng cụ văn phòng</t>
  </si>
  <si>
    <t>Solution:</t>
  </si>
  <si>
    <t>We opt to use 2016 numbers instead</t>
  </si>
  <si>
    <t>Dụng cụ học sinh</t>
  </si>
  <si>
    <t xml:space="preserve">II. </t>
  </si>
  <si>
    <t>Sales number is calculated by percentage in company report</t>
  </si>
  <si>
    <t>Dụng cụ mỹ thuật</t>
  </si>
  <si>
    <t xml:space="preserve">III. </t>
  </si>
  <si>
    <t xml:space="preserve">Sales projection is calculated based on weighted method </t>
  </si>
  <si>
    <t>Doanh thu khác</t>
  </si>
  <si>
    <t>2023</t>
  </si>
  <si>
    <t>2024</t>
  </si>
  <si>
    <t>2025</t>
  </si>
  <si>
    <t>2026</t>
  </si>
  <si>
    <t>2027</t>
  </si>
  <si>
    <t>Total</t>
  </si>
  <si>
    <t>Market</t>
  </si>
  <si>
    <t>Domestic</t>
  </si>
  <si>
    <t>International</t>
  </si>
  <si>
    <t xml:space="preserve">Market </t>
  </si>
  <si>
    <t xml:space="preserve">Domestic </t>
  </si>
  <si>
    <t>Sales</t>
  </si>
  <si>
    <t xml:space="preserve">Revenue type </t>
  </si>
  <si>
    <t>Weight</t>
  </si>
  <si>
    <t>Reason</t>
  </si>
  <si>
    <t>Category</t>
  </si>
  <si>
    <t>Unreliable because of missing 2022 figures. Incorrectly forecast the total sales of 2022 (H17)</t>
  </si>
  <si>
    <t>Up-to-date information. Reflect the rise of expansion into international business</t>
  </si>
  <si>
    <t>Scenario Analysis</t>
  </si>
  <si>
    <t>Scenario</t>
  </si>
  <si>
    <t>Sales Growth (International)</t>
  </si>
  <si>
    <t>Best</t>
  </si>
  <si>
    <t xml:space="preserve">Base </t>
  </si>
  <si>
    <t>Worst</t>
  </si>
  <si>
    <t>Break even analysis for FCF - WACC (Gordon)</t>
  </si>
  <si>
    <t> </t>
  </si>
  <si>
    <t>Value - Forecast or Assumption</t>
  </si>
  <si>
    <t>Expected value</t>
  </si>
  <si>
    <t>Critical value</t>
  </si>
  <si>
    <t>Percentage change</t>
  </si>
  <si>
    <t>Sales growth rate</t>
  </si>
  <si>
    <t xml:space="preserve">Cost of good sold </t>
  </si>
  <si>
    <t>Gross profit margin</t>
  </si>
  <si>
    <t>Tax rate</t>
  </si>
  <si>
    <t>Base year sales</t>
  </si>
  <si>
    <t>Scenario Analysis Result (Unit: VND)</t>
  </si>
  <si>
    <t>Revenue Summary (Sales - FS)</t>
  </si>
  <si>
    <t xml:space="preserve">Best </t>
  </si>
  <si>
    <t>EBITDA summary (EBITDA - FS)</t>
  </si>
  <si>
    <t>FCF to firms (Firm Free Cash Flow - DCF)</t>
  </si>
  <si>
    <t>Net earning (NOPAT - FS)</t>
  </si>
  <si>
    <t>Scenario Analysis Result (Unit:  Billion VND)</t>
  </si>
  <si>
    <t>WACC</t>
  </si>
  <si>
    <t>Growth rate</t>
  </si>
  <si>
    <t>EBITDA</t>
  </si>
  <si>
    <t>EBITDA Multiply</t>
  </si>
  <si>
    <t>DCF</t>
  </si>
  <si>
    <t>APV</t>
  </si>
  <si>
    <t>WACC Calculation</t>
  </si>
  <si>
    <t>Inputs</t>
  </si>
  <si>
    <t>Value</t>
  </si>
  <si>
    <t>Sources &amp; Calculation</t>
  </si>
  <si>
    <t>Risk free rate</t>
  </si>
  <si>
    <t>Taken from Vietnam 10Y bond yield (Tradingeconomics) (30/6/2023)</t>
  </si>
  <si>
    <t>Inflation</t>
  </si>
  <si>
    <t>Taken from Tradingeconomics.com</t>
  </si>
  <si>
    <t>Equity risk premium (Vietnam)</t>
  </si>
  <si>
    <t>Taken from https://pages.stern.nyu.edu/~adamodar/New_Home_Page/datafile/ctryprem.html</t>
  </si>
  <si>
    <t>Cost of debt (pre-tax)</t>
  </si>
  <si>
    <t>Calculated between interest expenses and short and long-term debt in previous year in historical Income Statement and Balance Sheet</t>
  </si>
  <si>
    <t>Average effective tax rate in Assumptions sheet</t>
  </si>
  <si>
    <t>After-tax cost of debt</t>
  </si>
  <si>
    <t> Calculated (Cost of debt after tax = Cost of debt * (1-Tax rate)</t>
  </si>
  <si>
    <t>Beta</t>
  </si>
  <si>
    <t xml:space="preserve">Calculated by using average unlevered beta of firms in the industry and relevered it </t>
  </si>
  <si>
    <t>Cost of equity</t>
  </si>
  <si>
    <t>Calculated via CAPM</t>
  </si>
  <si>
    <t>Debt/Value</t>
  </si>
  <si>
    <t xml:space="preserve"> Calculated via historial data </t>
  </si>
  <si>
    <t>Equity/Value</t>
  </si>
  <si>
    <t>Calculated via historical data</t>
  </si>
  <si>
    <t xml:space="preserve">Calculated via WACC </t>
  </si>
  <si>
    <t>Multiply</t>
  </si>
  <si>
    <t>Kokuyo Co., Ltd. (Japan)</t>
  </si>
  <si>
    <t>Monami Co., Ltd. (S.Korea)</t>
  </si>
  <si>
    <t>Thien Long Group Corporation</t>
  </si>
  <si>
    <t>Mitsubishi Pencil Co., Ltd. (Japan)</t>
  </si>
  <si>
    <t>Art Vivant Co., Ltd. (Japan)</t>
  </si>
  <si>
    <t>Marketcapitalization</t>
  </si>
  <si>
    <t>EBITDA (Countries' currency)</t>
  </si>
  <si>
    <t>Exchange rate</t>
  </si>
  <si>
    <t>EBITDA (VND)</t>
  </si>
  <si>
    <t>EV/EBITDA</t>
  </si>
  <si>
    <t>*Data taken from Investing.com</t>
  </si>
  <si>
    <t>Reasons</t>
  </si>
  <si>
    <t>I. CATEGORY</t>
  </si>
  <si>
    <t>Average of 5 years</t>
  </si>
  <si>
    <t>II. MARKET</t>
  </si>
  <si>
    <t>INCOME STATEMENT</t>
  </si>
  <si>
    <t xml:space="preserve">Cost of Good Sold </t>
  </si>
  <si>
    <t>Average of percentage of sales</t>
  </si>
  <si>
    <t>Gain or Loss in Joint Venture Associates</t>
  </si>
  <si>
    <t>Selling Expenses</t>
  </si>
  <si>
    <t>General and Administrative Expenses</t>
  </si>
  <si>
    <t>Financial Profit/Loss except interest expenses</t>
  </si>
  <si>
    <t>Other profit/loss</t>
  </si>
  <si>
    <t>Interest Expenses</t>
  </si>
  <si>
    <t>Average of percentage of total debts</t>
  </si>
  <si>
    <t>Tax expenses</t>
  </si>
  <si>
    <t>Average of percentage of EBT</t>
  </si>
  <si>
    <t>Balance Sheet</t>
  </si>
  <si>
    <t>I. Cash and cash equivalents</t>
  </si>
  <si>
    <t>Calculated</t>
  </si>
  <si>
    <t>1. Cash</t>
  </si>
  <si>
    <t>2. Cash equivalents</t>
  </si>
  <si>
    <t>II. Short-term financial investments</t>
  </si>
  <si>
    <t>3. Đầu tư nắm giữ đến ngày đáo hạn</t>
  </si>
  <si>
    <t>III. Short-term receivables</t>
  </si>
  <si>
    <t>1. Short-term trade recievables</t>
  </si>
  <si>
    <t>2. Short-term payments to suppliers</t>
  </si>
  <si>
    <t>6. Other short-term receivables</t>
  </si>
  <si>
    <t>7. Allowance for short-term doubtful debts</t>
  </si>
  <si>
    <t>8. Deficit assets for treatment</t>
  </si>
  <si>
    <t>IV. Inventories</t>
  </si>
  <si>
    <t>1. Inventories</t>
  </si>
  <si>
    <t>2. Allowance for inventories</t>
  </si>
  <si>
    <t>V. Other current assets</t>
  </si>
  <si>
    <t>1. Short-term prepaid expenses</t>
  </si>
  <si>
    <t>2. Deductible VAT</t>
  </si>
  <si>
    <t>3. Taxes and other receivables from the State</t>
  </si>
  <si>
    <t>B. NON-CURRENT ASSETS</t>
  </si>
  <si>
    <t>I. Long-term receivables</t>
  </si>
  <si>
    <t>6. Phải thu dài hạn khác</t>
  </si>
  <si>
    <t>II. Fixed Assets</t>
  </si>
  <si>
    <t>III. Investment property</t>
  </si>
  <si>
    <t>- Nguyên giá</t>
  </si>
  <si>
    <t>IV. Long-term assets in progress</t>
  </si>
  <si>
    <t>V. Long-term financial investments</t>
  </si>
  <si>
    <t>2. Investments in joint ventures and associates</t>
  </si>
  <si>
    <t>3. Investments in other entities</t>
  </si>
  <si>
    <t>4. Provisions for devaluation of long-term financial investments</t>
  </si>
  <si>
    <t>Average of percentage of financial investment</t>
  </si>
  <si>
    <t>VI. Other non-current assets</t>
  </si>
  <si>
    <t>1. Long-term prepaid expenses</t>
  </si>
  <si>
    <t>2. Deferred income tax assets</t>
  </si>
  <si>
    <t>C. LIABILITIES</t>
  </si>
  <si>
    <t>I. Current liabilities</t>
  </si>
  <si>
    <t>1. Short-term trade payables</t>
  </si>
  <si>
    <t>10. Short-term borrowings and financial leases</t>
  </si>
  <si>
    <t>Other current liabilities</t>
  </si>
  <si>
    <t>II. Non-current liabilities</t>
  </si>
  <si>
    <t>7. Other long-term payables</t>
  </si>
  <si>
    <t>12. Provisions for long-term payables</t>
  </si>
  <si>
    <t>D. OWNER'S EQUITY</t>
  </si>
  <si>
    <t>I. Owner's Equity</t>
  </si>
  <si>
    <t>1. Capital</t>
  </si>
  <si>
    <t>Constant</t>
  </si>
  <si>
    <t>2. Share premiums</t>
  </si>
  <si>
    <t>7. Foreign exchange differences</t>
  </si>
  <si>
    <t>Average 3 closest years</t>
  </si>
  <si>
    <t>Average 3 years closet</t>
  </si>
  <si>
    <t>8. Investment and development fund</t>
  </si>
  <si>
    <t>11. Retained earnings</t>
  </si>
  <si>
    <t>- Retained earnings accumulated to the end of the previous period</t>
  </si>
  <si>
    <t>- Retained earnings of the current period</t>
  </si>
  <si>
    <t>13. Benefits of non-controlling shareholders</t>
  </si>
  <si>
    <t>Assume zero</t>
  </si>
  <si>
    <t>1. Doanh thu bán hàng và cung cấp dịch vụ</t>
  </si>
  <si>
    <t>2. Các khoản giảm trừ doanh thu</t>
  </si>
  <si>
    <t>3. Doanh thu thuần về bán hàng và cung cấp dịch vụ (10 = 01 - 02)</t>
  </si>
  <si>
    <t>4. Giá vốn hàng bán</t>
  </si>
  <si>
    <t>5. Lợi nhuận gộp về bán hàng và cung cấp dịch vụ(20=10-11)</t>
  </si>
  <si>
    <t>6. Doanh thu hoạt động tài chính</t>
  </si>
  <si>
    <t>7. Chi phí tài chính</t>
  </si>
  <si>
    <t>- Trong đó: Chi phí lãi vay</t>
  </si>
  <si>
    <t>8. Phần lãi lỗ trong công ty liên doanh, liên kết</t>
  </si>
  <si>
    <t>9. Chi phí bán hàng</t>
  </si>
  <si>
    <t>10. Chi phí quản lý doanh nghiệp</t>
  </si>
  <si>
    <t>11. Lợi nhuận thuần từ hoạt động kinh doanh{30=20+(21-22) + 24 - (25+26)}</t>
  </si>
  <si>
    <t>12. Thu nhập khác</t>
  </si>
  <si>
    <t>13. Chi phí khác</t>
  </si>
  <si>
    <t>14. Lợi nhuận khác(40=31-32)</t>
  </si>
  <si>
    <t>15. Tổng lợi nhuận kế toán trước thuế(50=30+40)</t>
  </si>
  <si>
    <t>16. Chi phí thuế TNDN hiện hành</t>
  </si>
  <si>
    <t>17. Chi phí thuế TNDN hoãn lại</t>
  </si>
  <si>
    <t>18. Lợi nhuận sau thuế thu nhập doanh nghiệp(60=50-51-52)</t>
  </si>
  <si>
    <t>19. Lợi nhuận sau thuế công ty mẹ</t>
  </si>
  <si>
    <t>20. Lợi nhuận sau thuế công ty mẹ không kiểm soát</t>
  </si>
  <si>
    <t>21. Lãi cơ bản trên cổ phiếu(*)</t>
  </si>
  <si>
    <t>22. Lãi suy giảm trên cổ phiếu (*)</t>
  </si>
  <si>
    <t>BALANCE SHEET</t>
  </si>
  <si>
    <t>ASSETS</t>
  </si>
  <si>
    <t>A- TÀI SẢN NGẮN HẠN</t>
  </si>
  <si>
    <t>I. Tiền và các khoản tương đương tiền</t>
  </si>
  <si>
    <t>1. Tiền</t>
  </si>
  <si>
    <t>2. Các khoản tương đương tiền</t>
  </si>
  <si>
    <t>II. Các khoản đầu tư tài chính ngắn hạn</t>
  </si>
  <si>
    <t>1. Chứng khoán kinh doanh</t>
  </si>
  <si>
    <t>2. Dự phòng giảm giá chứng khoán kinh doanh</t>
  </si>
  <si>
    <t>III. Các khoản phải thu ngắn hạn</t>
  </si>
  <si>
    <t>1. Phải thu ngắn hạn của khách hàng</t>
  </si>
  <si>
    <t>2. Trả trước cho người bán ngắn hạn</t>
  </si>
  <si>
    <t>3. Phải thu nội bộ ngắn hạn</t>
  </si>
  <si>
    <t>4. Phải thu theo tiến độ kế hoạch hợp đồng xây dựng</t>
  </si>
  <si>
    <t>5. Phải thu về cho vay ngắn hạn</t>
  </si>
  <si>
    <t>6. Phải thu ngắn hạn khác</t>
  </si>
  <si>
    <t>7. Dự phòng phải thu ngắn hạn khó đòi</t>
  </si>
  <si>
    <t>8. Tài sản Thiếu chờ xử lý</t>
  </si>
  <si>
    <t>IV. Hàng tồn kho</t>
  </si>
  <si>
    <t>1. Hàng tồn kho</t>
  </si>
  <si>
    <t>2. Dự phòng giảm giá hàng tồn kho</t>
  </si>
  <si>
    <t>V.Tài sản ngắn hạn khác</t>
  </si>
  <si>
    <t>1. Chi phí trả trước ngắn hạn</t>
  </si>
  <si>
    <t>2. Thuế GTGT được khấu trừ</t>
  </si>
  <si>
    <t>3. Thuế và các khoản khác phải thu Nhà nước</t>
  </si>
  <si>
    <t>4. Giao dịch mua bán lại trái phiếu Chính phủ</t>
  </si>
  <si>
    <t>5. Tài sản ngắn hạn khác</t>
  </si>
  <si>
    <t>B. TÀI SẢN DÀI HẠN</t>
  </si>
  <si>
    <t>I. Các khoản phải thu dài hạn</t>
  </si>
  <si>
    <t>1. Phải thu dài hạn của khách hàng</t>
  </si>
  <si>
    <t>2. Trả trước cho người bán dài hạn</t>
  </si>
  <si>
    <t>3. Vốn kinh doanh ở đơn vị trực thuộc</t>
  </si>
  <si>
    <t>4. Phải thu nội bộ dài hạn</t>
  </si>
  <si>
    <t>5. Phải thu về cho vay dài hạn</t>
  </si>
  <si>
    <t>7. Dự phòng phải thu dài hạn khó đòi</t>
  </si>
  <si>
    <t>II.Tài sản cố định</t>
  </si>
  <si>
    <t>1. Tài sản cố định hữu hình</t>
  </si>
  <si>
    <t>- Giá trị hao mòn lũy kế</t>
  </si>
  <si>
    <t>2. Tài sản cố định thuê tài chính</t>
  </si>
  <si>
    <t>3. Tài sản cố định vô hình</t>
  </si>
  <si>
    <t>III. Bất động sản đầu tư</t>
  </si>
  <si>
    <t>IV. Tài sản dở dang dài hạn</t>
  </si>
  <si>
    <t>1. Chi phí sản xuất, kinh doanh dở dang dài hạn</t>
  </si>
  <si>
    <t>2. Chi phí xây dựng cơ bản dở dang</t>
  </si>
  <si>
    <t>V. Đầu tư tài chính dài hạn</t>
  </si>
  <si>
    <t>1. Đầu tư vào công ty con</t>
  </si>
  <si>
    <t>2. Đầu tư vào công ty liên kết, liên doanh</t>
  </si>
  <si>
    <t>3. Đầu tư góp vốn vào đơn vị khác</t>
  </si>
  <si>
    <t>4. Dự phòng đầu tư tài chính dài hạn</t>
  </si>
  <si>
    <t>5. Đầu tư nắm giữ đến ngày đáo hạn</t>
  </si>
  <si>
    <t>VI. Tài sản dài hạn khác</t>
  </si>
  <si>
    <t>1. Chi phí trả trước dài hạn</t>
  </si>
  <si>
    <t>2. Tài sản thuế thu nhập hoãn lại</t>
  </si>
  <si>
    <t>3. Thiết bị, vật tư, phụ tùng thay thế dài hạn</t>
  </si>
  <si>
    <t>4. Tài sản dài hạn khác</t>
  </si>
  <si>
    <t>5. Lợi thế thương mại</t>
  </si>
  <si>
    <t>TỔNG CỘNG TÀI SẢN</t>
  </si>
  <si>
    <t>NGUỒN VỐN</t>
  </si>
  <si>
    <t>C. NỢ PHẢI TRẢ</t>
  </si>
  <si>
    <t>I. Nợ ngắn hạn</t>
  </si>
  <si>
    <t>1. Phải trả người bán ngắn hạn</t>
  </si>
  <si>
    <t>2. Người mua trả tiền trước ngắn hạn</t>
  </si>
  <si>
    <t>3. Thuế và các khoản phải nộp nhà nước</t>
  </si>
  <si>
    <t>4. Phải trả người lao động</t>
  </si>
  <si>
    <t>5. Chi phí phải trả ngắn hạn</t>
  </si>
  <si>
    <t>6. Phải trả nội bộ ngắn hạn</t>
  </si>
  <si>
    <t>7. Phải trả theo tiến độ kế hoạch hợp đồng xây dựng</t>
  </si>
  <si>
    <t>8. Doanh thu chưa thực hiện ngắn hạn</t>
  </si>
  <si>
    <t>9. Phải trả ngắn hạn khác</t>
  </si>
  <si>
    <t>10. Vay và nợ thuê tài chính ngắn hạn</t>
  </si>
  <si>
    <t>11. Dự phòng phải trả ngắn hạn</t>
  </si>
  <si>
    <t>12. Quỹ khen thưởng phúc lợi</t>
  </si>
  <si>
    <t>13. Quỹ bình ổn giá</t>
  </si>
  <si>
    <t>14. Giao dịch mua bán lại trái phiếu Chính phủ</t>
  </si>
  <si>
    <t>II. Nợ dài hạn</t>
  </si>
  <si>
    <t>1. Phải trả người bán dài hạn</t>
  </si>
  <si>
    <t>2. Người mua trả tiền trước dài hạn</t>
  </si>
  <si>
    <t>3. Chi phí phải trả dài hạn</t>
  </si>
  <si>
    <t>4. Phải trả nội bộ về vốn kinh doanh</t>
  </si>
  <si>
    <t>5. Phải trả nội bộ dài hạn</t>
  </si>
  <si>
    <t>6. Doanh thu chưa thực hiện dài hạn</t>
  </si>
  <si>
    <t>7. Phải trả dài hạn khác</t>
  </si>
  <si>
    <t>8. Vay và nợ thuê tài chính dài hạn</t>
  </si>
  <si>
    <t>9. Trái phiếu chuyển đổi</t>
  </si>
  <si>
    <t>10. Cổ phiếu ưu đãi</t>
  </si>
  <si>
    <t>11. Thuế thu nhập hoãn lại phải trả</t>
  </si>
  <si>
    <t>12. Dự phòng phải trả dài hạn</t>
  </si>
  <si>
    <t>13. Quỹ phát triển khoa học và công nghệ</t>
  </si>
  <si>
    <t>D.VỐN CHỦ SỞ HỮU</t>
  </si>
  <si>
    <t>I. Vốn chủ sở hữu</t>
  </si>
  <si>
    <t>1. Vốn góp của chủ sở hữu</t>
  </si>
  <si>
    <t>- Cổ phiếu phổ thông có quyền biểu quyết</t>
  </si>
  <si>
    <t>- Cổ phiếu ưu đãi</t>
  </si>
  <si>
    <t>2. Thặng dư vốn cổ phần</t>
  </si>
  <si>
    <t>3. Quyền chọn chuyển đổi trái phiếu</t>
  </si>
  <si>
    <t>4. Vốn khác của chủ sở hữu</t>
  </si>
  <si>
    <t>5. Cổ phiếu quỹ</t>
  </si>
  <si>
    <t>6. Chênh lệch đánh giá lại tài sản</t>
  </si>
  <si>
    <t>7. Chênh lệch tỷ giá hối đoái</t>
  </si>
  <si>
    <t>8. Quỹ đầu tư phát triển</t>
  </si>
  <si>
    <t>9. Quỹ hỗ trợ sắp xếp doanh nghiệp</t>
  </si>
  <si>
    <t>10. Quỹ khác thuộc vốn chủ sở hữu</t>
  </si>
  <si>
    <t>11. Lợi nhuận sau thuế chưa phân phối</t>
  </si>
  <si>
    <t>- LNST chưa phân phối lũy kế đến cuối kỳ trước</t>
  </si>
  <si>
    <t>- LNST chưa phân phối kỳ này</t>
  </si>
  <si>
    <t>12. Nguồn vốn đầu tư XDCB</t>
  </si>
  <si>
    <t>13. Lợi ích cổ đông không kiểm soát</t>
  </si>
  <si>
    <t>II. Nguồn kinh phí và quỹ khác</t>
  </si>
  <si>
    <t>1. Nguồn kinh phí</t>
  </si>
  <si>
    <t>2. Nguồn kinh phí đã hình thành TSCĐ</t>
  </si>
  <si>
    <t>TỔNG CỘNG NGUỒN VỐN</t>
  </si>
  <si>
    <t>CASHFLOW STATEMENT</t>
  </si>
  <si>
    <t>I. Lưu chuyển tiền từ hoạt động kinh doanh</t>
  </si>
  <si>
    <t>1. Lợi nhuận trước thuế</t>
  </si>
  <si>
    <t>2. Điều chỉnh cho các khoản</t>
  </si>
  <si>
    <t>- Khấu hao TSCĐ và BĐSĐT</t>
  </si>
  <si>
    <t>- Các khoản dự phòng</t>
  </si>
  <si>
    <t>- Lãi, lỗ chênh lệch tỷ giá hối đoái do đánh giá lại các khoản mục tiền tệ có gốc ngoại tệ</t>
  </si>
  <si>
    <t>- Lãi, lỗ từ hoạt động đầu tư</t>
  </si>
  <si>
    <t>- Chi phí lãi vay</t>
  </si>
  <si>
    <t>- Các khoản điều chỉnh khác</t>
  </si>
  <si>
    <t>3. Lợi nhuận từ hoạt động kinh doanh trước thay đổi vốn lưu động</t>
  </si>
  <si>
    <t>- Tăng, giảm các khoản phải thu</t>
  </si>
  <si>
    <t>- Tăng, giảm hàng tồn kho</t>
  </si>
  <si>
    <t>- Tăng, giảm các khoản phải trả (Không kể lãi vay phải trả, thuế thu nhập doanh nghiệp phải nộp)</t>
  </si>
  <si>
    <t>- Tăng, giảm chi phí trả trước</t>
  </si>
  <si>
    <t>- Tăng, giảm chứng khoán kinh doanh</t>
  </si>
  <si>
    <t>- Tiền lãi vay đã trả</t>
  </si>
  <si>
    <t>- Thuế thu nhập doanh nghiệp đã nộp</t>
  </si>
  <si>
    <t>- Tiền thu khác từ hoạt động kinh doanh</t>
  </si>
  <si>
    <t>- Tiền chi khác cho hoạt động kinh doanh</t>
  </si>
  <si>
    <t>Lưu chuyển tiền thuần từ hoạt động kinh doanh</t>
  </si>
  <si>
    <t>II. Lưu chuyển tiền từ hoạt động đầu tư</t>
  </si>
  <si>
    <t>1.Tiền chi để mua sắm, xây dựng TSCĐ và các tài sản dài hạn khác</t>
  </si>
  <si>
    <t>2.Tiền thu từ thanh lý, nhượng bán TSCĐ và các tài sản dài hạn khác</t>
  </si>
  <si>
    <t>3.Tiền chi cho vay, mua các công cụ nợ của đơn vị khác</t>
  </si>
  <si>
    <t>4.Tiền thu hồi cho vay, bán lại các công cụ nợ của đơn vị khác</t>
  </si>
  <si>
    <t>5.Tiền chi đầu tư góp vốn vào đơn vị khác</t>
  </si>
  <si>
    <t>6.Tiền thu hồi đầu tư góp vốn vào đơn vị khác</t>
  </si>
  <si>
    <t>7.Tiền thu lãi cho vay, cổ tức và lợi nhuận được chia</t>
  </si>
  <si>
    <t>Lưu chuyển tiền thuần từ hoạt động đầu tư</t>
  </si>
  <si>
    <t>III. Lưu chuyển tiền từ hoạt động tài chính</t>
  </si>
  <si>
    <t>1.Tiền thu từ phát hành cổ phiếu, nhận vốn góp của chủ sở hữu</t>
  </si>
  <si>
    <t>2.Tiền trả lại vón góp cho các chủ sở hữu, mua lại cổ phiếu của doanh nghiệp đã phát hành</t>
  </si>
  <si>
    <t>3.Tiền thu từ đi vay</t>
  </si>
  <si>
    <t>4.Tiền chi trả nợ gốc vay</t>
  </si>
  <si>
    <t>5.Tiền chi trả nợ gốc thuê tài chính</t>
  </si>
  <si>
    <t>6. Cổ tức, lợi nhuận đã trả cho chủ sở hữu</t>
  </si>
  <si>
    <t>7. Tiền thu từ vốn góp của cổ đông không kiểm soát</t>
  </si>
  <si>
    <t>Lưu chuyển tiền thuần từ hoạt động tài chính</t>
  </si>
  <si>
    <t>Lưu chuyển tiền thuần trong kỳ (50 = 20+30+40)</t>
  </si>
  <si>
    <t>Tiền và tương đương tiền đầu kỳ</t>
  </si>
  <si>
    <t>Ảnh hưởng của thay đổi tỷ giá hối đoái quy đổi ngoại tệ</t>
  </si>
  <si>
    <t>Tiền và tương đương tiền cuối kỳ (70 = 50+60+61)</t>
  </si>
  <si>
    <t>Net Revenue</t>
  </si>
  <si>
    <t>Cost of Good Sold</t>
  </si>
  <si>
    <t>Cost of Good Sold (Modified)</t>
  </si>
  <si>
    <t>Gross profit</t>
  </si>
  <si>
    <t>Financial income</t>
  </si>
  <si>
    <t>Financial cost</t>
  </si>
  <si>
    <t>Other income</t>
  </si>
  <si>
    <t>Other expenses</t>
  </si>
  <si>
    <t>Depreciation and Ammotization</t>
  </si>
  <si>
    <t>EBIT</t>
  </si>
  <si>
    <t>EBT</t>
  </si>
  <si>
    <t>Current Income Tax</t>
  </si>
  <si>
    <t>Deferred Income Tax</t>
  </si>
  <si>
    <t>Calculated NOPAT</t>
  </si>
  <si>
    <t>Initial NOPAT</t>
  </si>
  <si>
    <t>Basic earning per share</t>
  </si>
  <si>
    <t>Diluted earning per share</t>
  </si>
  <si>
    <t>NOPAT unrestricted</t>
  </si>
  <si>
    <t>Share outstanding</t>
  </si>
  <si>
    <t>Calculated earning per share</t>
  </si>
  <si>
    <t>A - CURRENT ASSETS</t>
  </si>
  <si>
    <t>II. Fixed assets</t>
  </si>
  <si>
    <t>Accumulated Depreciation</t>
  </si>
  <si>
    <t>1. Tangible fixed assets</t>
  </si>
  <si>
    <t>- Historical cost</t>
  </si>
  <si>
    <t>- Accumulated depreciation</t>
  </si>
  <si>
    <t>3. Intangible fixed assets</t>
  </si>
  <si>
    <t>TOTAL ASSETS</t>
  </si>
  <si>
    <t>2. Short-term advances from customers</t>
  </si>
  <si>
    <t>3. Taxes and other obligations to the State Budget</t>
  </si>
  <si>
    <t>4. Payables to employees</t>
  </si>
  <si>
    <t>5. Short-term accrued expenses</t>
  </si>
  <si>
    <t>9. Other short-term payables</t>
  </si>
  <si>
    <t>2. Short-term borrowings and financial leases</t>
  </si>
  <si>
    <t>12. Bonus and welfare funds</t>
  </si>
  <si>
    <t>3. Other current liabilities</t>
  </si>
  <si>
    <t>8. Long-term borrowings and financial leases</t>
  </si>
  <si>
    <t>- Ordinary shares carrying voting rights</t>
  </si>
  <si>
    <t>TOTAL LIBILITES AND OWNER'S EQUITY</t>
  </si>
  <si>
    <t>I. Cash flow from operating activities</t>
  </si>
  <si>
    <t>1. Profit/(loss) before tax</t>
  </si>
  <si>
    <t>2. Adjustments</t>
  </si>
  <si>
    <t>- Depreciation of fixed assets and investment properties</t>
  </si>
  <si>
    <t>- Provisions and allowances</t>
  </si>
  <si>
    <t>- Exchange gain/(loss) due to revaluation of monetary items in foreign currencies</t>
  </si>
  <si>
    <t>Average of previous 5 years</t>
  </si>
  <si>
    <t>- Gain/(loss) from investing activities</t>
  </si>
  <si>
    <t>- Interest expenses</t>
  </si>
  <si>
    <t>3. Operating profit/(loss) before changes of working capital</t>
  </si>
  <si>
    <t>- Increase/decrease of receivables</t>
  </si>
  <si>
    <t>- Increase/decrease of inventories</t>
  </si>
  <si>
    <t>- Increase/decrease of payables</t>
  </si>
  <si>
    <t>- Increase/decrease of prepaid expenses</t>
  </si>
  <si>
    <t>- Interest paid</t>
  </si>
  <si>
    <t>- Corporate income tax paid</t>
  </si>
  <si>
    <t>- Other cash inflows from operating activites</t>
  </si>
  <si>
    <t>- Other cash outflows from operating activities</t>
  </si>
  <si>
    <t>Net cash flows from operating activities</t>
  </si>
  <si>
    <t>II. Cash flow from investing activities</t>
  </si>
  <si>
    <t>1. Purchases and construction of fixed assets and other non-current assets</t>
  </si>
  <si>
    <t>2. Proceeds from disposals od fixed assets and other non-current assets</t>
  </si>
  <si>
    <t>3. Cash outflow for lending, buying debt instruments of other entities</t>
  </si>
  <si>
    <t>4. Cash recovered from lending, sellling debt instruments</t>
  </si>
  <si>
    <t>5. Investments into other entities</t>
  </si>
  <si>
    <t>7. Interest earned, dividends and profit received</t>
  </si>
  <si>
    <t>Net cash flows from investing activities</t>
  </si>
  <si>
    <t>III. Cash flows from financing activities</t>
  </si>
  <si>
    <t>1. Proceeds from issuing stocks, and capital contributions from owners</t>
  </si>
  <si>
    <t>2. Repayment for capital contributions and re-purchases</t>
  </si>
  <si>
    <t>3. Proceeds from borrowings</t>
  </si>
  <si>
    <t>4. Repayment for loan principal</t>
  </si>
  <si>
    <t>6. Dividends, and profits paid to the owner</t>
  </si>
  <si>
    <t>Net cash flows from financing activities</t>
  </si>
  <si>
    <t xml:space="preserve">Net cash flow during the year </t>
  </si>
  <si>
    <t>Beginning cash and cash equivalents</t>
  </si>
  <si>
    <t>Effects of fluctuations in foreign exchange rates</t>
  </si>
  <si>
    <t xml:space="preserve">Ending cash and cash equivalents </t>
  </si>
  <si>
    <t>Levered Beta - Inputs (Recorded in 30/06/2023)</t>
  </si>
  <si>
    <t>Date</t>
  </si>
  <si>
    <t>TLG</t>
  </si>
  <si>
    <t>VN-Index</t>
  </si>
  <si>
    <t>Changes in stock price</t>
  </si>
  <si>
    <t>Changes in VNINDEX</t>
  </si>
  <si>
    <t>E(rTLG)</t>
  </si>
  <si>
    <t>E(rVNINDEX)</t>
  </si>
  <si>
    <t>No.</t>
  </si>
  <si>
    <t>Firm name</t>
  </si>
  <si>
    <t>Ticker</t>
  </si>
  <si>
    <t>Book value of Debt</t>
  </si>
  <si>
    <t xml:space="preserve">Share price </t>
  </si>
  <si>
    <t>Share outstandings</t>
  </si>
  <si>
    <t>Levered beta</t>
  </si>
  <si>
    <t>7984.T</t>
  </si>
  <si>
    <t>31/05/2023</t>
  </si>
  <si>
    <t>30/05/2023</t>
  </si>
  <si>
    <t>005360.KS</t>
  </si>
  <si>
    <t>29/05/2023</t>
  </si>
  <si>
    <t>7976.T</t>
  </si>
  <si>
    <t>26/05/2023</t>
  </si>
  <si>
    <t>Expected rate of return</t>
  </si>
  <si>
    <t>7523.T</t>
  </si>
  <si>
    <t>25/05/2023</t>
  </si>
  <si>
    <t>Variance</t>
  </si>
  <si>
    <t>24/05/2023</t>
  </si>
  <si>
    <t>Standard variance</t>
  </si>
  <si>
    <t>Unlevered Beta - Outputs</t>
  </si>
  <si>
    <t>23/05/2023</t>
  </si>
  <si>
    <t>Market capitalization</t>
  </si>
  <si>
    <t>D/E ratio</t>
  </si>
  <si>
    <t>Debt beta</t>
  </si>
  <si>
    <t>Unlevered beta</t>
  </si>
  <si>
    <t>22/05/2023</t>
  </si>
  <si>
    <t>19/05/2023</t>
  </si>
  <si>
    <t>18/05/2023</t>
  </si>
  <si>
    <t>17/05/2023</t>
  </si>
  <si>
    <t>16/05/2023</t>
  </si>
  <si>
    <t>15/05/2023</t>
  </si>
  <si>
    <t xml:space="preserve">Average </t>
  </si>
  <si>
    <t>Share price (30/06/2023)</t>
  </si>
  <si>
    <t xml:space="preserve">Exchange rate </t>
  </si>
  <si>
    <t>Book value of Debt (VND)</t>
  </si>
  <si>
    <t>Share price (VND)</t>
  </si>
  <si>
    <t>28/04/2023</t>
  </si>
  <si>
    <t>Used to convert other currency into VND</t>
  </si>
  <si>
    <t>Sources: Exchange Rate Org</t>
  </si>
  <si>
    <t>27/04/2023</t>
  </si>
  <si>
    <t>26/04/2023</t>
  </si>
  <si>
    <t>25/04/2023</t>
  </si>
  <si>
    <t>TLG Beta Calculation</t>
  </si>
  <si>
    <t>24/04/2023</t>
  </si>
  <si>
    <t>Explain</t>
  </si>
  <si>
    <t>Average unlevered beta</t>
  </si>
  <si>
    <t>Re-levered beta</t>
  </si>
  <si>
    <t>21/04/2023</t>
  </si>
  <si>
    <t>I.</t>
  </si>
  <si>
    <t>Calculate beta based on 5 years stock price</t>
  </si>
  <si>
    <t>20/04/2023</t>
  </si>
  <si>
    <t>II.</t>
  </si>
  <si>
    <t xml:space="preserve">Unlevered beta of 5 comparable firms </t>
  </si>
  <si>
    <t>19/04/2023</t>
  </si>
  <si>
    <t>III.</t>
  </si>
  <si>
    <t>To avoid beta fluctuations of one company</t>
  </si>
  <si>
    <t>18/04/2023</t>
  </si>
  <si>
    <t xml:space="preserve">IV. </t>
  </si>
  <si>
    <t>Levered TLG's beta to used in calculation</t>
  </si>
  <si>
    <t>17/04/2023</t>
  </si>
  <si>
    <t>14/04/2023</t>
  </si>
  <si>
    <t>13/04/2023</t>
  </si>
  <si>
    <t>31/03/2023</t>
  </si>
  <si>
    <t>30/03/2023</t>
  </si>
  <si>
    <t>29/03/2023</t>
  </si>
  <si>
    <t>28/03/2023</t>
  </si>
  <si>
    <t>27/03/2023</t>
  </si>
  <si>
    <t>24/03/2023</t>
  </si>
  <si>
    <t>23/03/2023</t>
  </si>
  <si>
    <t>22/03/2023</t>
  </si>
  <si>
    <t>21/03/2023</t>
  </si>
  <si>
    <t>20/03/2023</t>
  </si>
  <si>
    <t>17/03/2023</t>
  </si>
  <si>
    <t>16/03/2023</t>
  </si>
  <si>
    <t>15/03/2023</t>
  </si>
  <si>
    <t>14/03/2023</t>
  </si>
  <si>
    <t>13/03/2023</t>
  </si>
  <si>
    <t>28/02/2023</t>
  </si>
  <si>
    <t>27/02/2023</t>
  </si>
  <si>
    <t>24/02/2023</t>
  </si>
  <si>
    <t>23/02/2023</t>
  </si>
  <si>
    <t>22/02/2023</t>
  </si>
  <si>
    <t>21/02/2023</t>
  </si>
  <si>
    <t>20/02/2023</t>
  </si>
  <si>
    <t>17/02/2023</t>
  </si>
  <si>
    <t>16/02/2023</t>
  </si>
  <si>
    <t>15/02/2023</t>
  </si>
  <si>
    <t>14/02/2023</t>
  </si>
  <si>
    <t>13/02/2023</t>
  </si>
  <si>
    <t>31/01/2023</t>
  </si>
  <si>
    <t>30/01/2023</t>
  </si>
  <si>
    <t>27/01/2023</t>
  </si>
  <si>
    <t>19/01/2023</t>
  </si>
  <si>
    <t>18/01/2023</t>
  </si>
  <si>
    <t>17/01/2023</t>
  </si>
  <si>
    <t>16/01/2023</t>
  </si>
  <si>
    <t>13/01/2023</t>
  </si>
  <si>
    <t>30/12/2022</t>
  </si>
  <si>
    <t>29/12/2022</t>
  </si>
  <si>
    <t>28/12/2022</t>
  </si>
  <si>
    <t>27/12/2022</t>
  </si>
  <si>
    <t>26/12/2022</t>
  </si>
  <si>
    <t>23/12/2022</t>
  </si>
  <si>
    <t>22/12/2022</t>
  </si>
  <si>
    <t>21/12/2022</t>
  </si>
  <si>
    <t>20/12/2022</t>
  </si>
  <si>
    <t>19/12/2022</t>
  </si>
  <si>
    <t>16/12/2022</t>
  </si>
  <si>
    <t>15/12/2022</t>
  </si>
  <si>
    <t>14/12/2022</t>
  </si>
  <si>
    <t>13/12/2022</t>
  </si>
  <si>
    <t>30/11/2022</t>
  </si>
  <si>
    <t>29/11/2022</t>
  </si>
  <si>
    <t>28/11/2022</t>
  </si>
  <si>
    <t>25/11/2022</t>
  </si>
  <si>
    <t>24/11/2022</t>
  </si>
  <si>
    <t>23/11/2022</t>
  </si>
  <si>
    <t>22/11/2022</t>
  </si>
  <si>
    <t>21/11/2022</t>
  </si>
  <si>
    <t>18/11/2022</t>
  </si>
  <si>
    <t>17/11/2022</t>
  </si>
  <si>
    <t>16/11/2022</t>
  </si>
  <si>
    <t>15/11/2022</t>
  </si>
  <si>
    <t>14/11/2022</t>
  </si>
  <si>
    <t>31/10/2022</t>
  </si>
  <si>
    <t>28/10/2022</t>
  </si>
  <si>
    <t>27/10/2022</t>
  </si>
  <si>
    <t>26/10/2022</t>
  </si>
  <si>
    <t>25/10/2022</t>
  </si>
  <si>
    <t>24/10/2022</t>
  </si>
  <si>
    <t>21/10/2022</t>
  </si>
  <si>
    <t>20/10/2022</t>
  </si>
  <si>
    <t>19/10/2022</t>
  </si>
  <si>
    <t>18/10/2022</t>
  </si>
  <si>
    <t>17/10/2022</t>
  </si>
  <si>
    <t>14/10/2022</t>
  </si>
  <si>
    <t>13/10/2022</t>
  </si>
  <si>
    <t>30/09/2022</t>
  </si>
  <si>
    <t>29/09/2022</t>
  </si>
  <si>
    <t>28/09/2022</t>
  </si>
  <si>
    <t>27/09/2022</t>
  </si>
  <si>
    <t>26/09/2022</t>
  </si>
  <si>
    <t>23/09/2022</t>
  </si>
  <si>
    <t>22/09/2022</t>
  </si>
  <si>
    <t>21/09/2022</t>
  </si>
  <si>
    <t>20/09/2022</t>
  </si>
  <si>
    <t>19/09/2022</t>
  </si>
  <si>
    <t>16/09/2022</t>
  </si>
  <si>
    <t>15/09/2022</t>
  </si>
  <si>
    <t>14/09/2022</t>
  </si>
  <si>
    <t>13/09/2022</t>
  </si>
  <si>
    <t>31/08/2022</t>
  </si>
  <si>
    <t>30/08/2022</t>
  </si>
  <si>
    <t>29/08/2022</t>
  </si>
  <si>
    <t>26/08/2022</t>
  </si>
  <si>
    <t>25/08/2022</t>
  </si>
  <si>
    <t>24/08/2022</t>
  </si>
  <si>
    <t>23/08/2022</t>
  </si>
  <si>
    <t>22/08/2022</t>
  </si>
  <si>
    <t>19/08/2022</t>
  </si>
  <si>
    <t>18/08/2022</t>
  </si>
  <si>
    <t>17/08/2022</t>
  </si>
  <si>
    <t>16/08/2022</t>
  </si>
  <si>
    <t>15/08/2022</t>
  </si>
  <si>
    <t>29/07/2022</t>
  </si>
  <si>
    <t>28/07/2022</t>
  </si>
  <si>
    <t>27/07/2022</t>
  </si>
  <si>
    <t>26/07/2022</t>
  </si>
  <si>
    <t>25/07/2022</t>
  </si>
  <si>
    <t>22/07/2022</t>
  </si>
  <si>
    <t>21/07/2022</t>
  </si>
  <si>
    <t>20/07/2022</t>
  </si>
  <si>
    <t>19/07/2022</t>
  </si>
  <si>
    <t>18/07/2022</t>
  </si>
  <si>
    <t>15/07/2022</t>
  </si>
  <si>
    <t>14/07/2022</t>
  </si>
  <si>
    <t>13/07/2022</t>
  </si>
  <si>
    <t>30/06/2022</t>
  </si>
  <si>
    <t>29/06/2022</t>
  </si>
  <si>
    <t>28/06/2022</t>
  </si>
  <si>
    <t>27/06/2022</t>
  </si>
  <si>
    <t>24/06/2022</t>
  </si>
  <si>
    <t>23/06/2022</t>
  </si>
  <si>
    <t>22/06/2022</t>
  </si>
  <si>
    <t>21/06/2022</t>
  </si>
  <si>
    <t>20/06/2022</t>
  </si>
  <si>
    <t>17/06/2022</t>
  </si>
  <si>
    <t>16/06/2022</t>
  </si>
  <si>
    <t>15/06/2022</t>
  </si>
  <si>
    <t>14/06/2022</t>
  </si>
  <si>
    <t>13/06/2022</t>
  </si>
  <si>
    <t>31/05/2022</t>
  </si>
  <si>
    <t>30/05/2022</t>
  </si>
  <si>
    <t>27/05/2022</t>
  </si>
  <si>
    <t>26/05/2022</t>
  </si>
  <si>
    <t>25/05/2022</t>
  </si>
  <si>
    <t>24/05/2022</t>
  </si>
  <si>
    <t>23/05/2022</t>
  </si>
  <si>
    <t>20/05/2022</t>
  </si>
  <si>
    <t>19/05/2022</t>
  </si>
  <si>
    <t>18/05/2022</t>
  </si>
  <si>
    <t>17/05/2022</t>
  </si>
  <si>
    <t>16/05/2022</t>
  </si>
  <si>
    <t>13/05/2022</t>
  </si>
  <si>
    <t>29/04/2022</t>
  </si>
  <si>
    <t>28/04/2022</t>
  </si>
  <si>
    <t>27/04/2022</t>
  </si>
  <si>
    <t>26/04/2022</t>
  </si>
  <si>
    <t>25/04/2022</t>
  </si>
  <si>
    <t>22/04/2022</t>
  </si>
  <si>
    <t>21/04/2022</t>
  </si>
  <si>
    <t>20/04/2022</t>
  </si>
  <si>
    <t>19/04/2022</t>
  </si>
  <si>
    <t>18/04/2022</t>
  </si>
  <si>
    <t>15/04/2022</t>
  </si>
  <si>
    <t>14/04/2022</t>
  </si>
  <si>
    <t>13/04/2022</t>
  </si>
  <si>
    <t>31/03/2022</t>
  </si>
  <si>
    <t>30/03/2022</t>
  </si>
  <si>
    <t>29/03/2022</t>
  </si>
  <si>
    <t>28/03/2022</t>
  </si>
  <si>
    <t>25/03/2022</t>
  </si>
  <si>
    <t>24/03/2022</t>
  </si>
  <si>
    <t>23/03/2022</t>
  </si>
  <si>
    <t>22/03/2022</t>
  </si>
  <si>
    <t>21/03/2022</t>
  </si>
  <si>
    <t>18/03/2022</t>
  </si>
  <si>
    <t>17/03/2022</t>
  </si>
  <si>
    <t>16/03/2022</t>
  </si>
  <si>
    <t>15/03/2022</t>
  </si>
  <si>
    <t>14/03/2022</t>
  </si>
  <si>
    <t>28/02/2022</t>
  </si>
  <si>
    <t>25/02/2022</t>
  </si>
  <si>
    <t>24/02/2022</t>
  </si>
  <si>
    <t>23/02/2022</t>
  </si>
  <si>
    <t>22/02/2022</t>
  </si>
  <si>
    <t>21/02/2022</t>
  </si>
  <si>
    <t>18/02/2022</t>
  </si>
  <si>
    <t>17/02/2022</t>
  </si>
  <si>
    <t>16/02/2022</t>
  </si>
  <si>
    <t>15/02/2022</t>
  </si>
  <si>
    <t>14/02/2022</t>
  </si>
  <si>
    <t>28/01/2022</t>
  </si>
  <si>
    <t>27/01/2022</t>
  </si>
  <si>
    <t>26/01/2022</t>
  </si>
  <si>
    <t>25/01/2022</t>
  </si>
  <si>
    <t>24/01/2022</t>
  </si>
  <si>
    <t>21/01/2022</t>
  </si>
  <si>
    <t>20/01/2022</t>
  </si>
  <si>
    <t>19/01/2022</t>
  </si>
  <si>
    <t>18/01/2022</t>
  </si>
  <si>
    <t>17/01/2022</t>
  </si>
  <si>
    <t>14/01/2022</t>
  </si>
  <si>
    <t>13/01/2022</t>
  </si>
  <si>
    <t>31/12/2021</t>
  </si>
  <si>
    <t>30/12/2021</t>
  </si>
  <si>
    <t>29/12/2021</t>
  </si>
  <si>
    <t>28/12/2021</t>
  </si>
  <si>
    <t>27/12/2021</t>
  </si>
  <si>
    <t>24/12/2021</t>
  </si>
  <si>
    <t>23/12/2021</t>
  </si>
  <si>
    <t>22/12/2021</t>
  </si>
  <si>
    <t>21/12/2021</t>
  </si>
  <si>
    <t>20/12/2021</t>
  </si>
  <si>
    <t>17/12/2021</t>
  </si>
  <si>
    <t>16/12/2021</t>
  </si>
  <si>
    <t>15/12/2021</t>
  </si>
  <si>
    <t>14/12/2021</t>
  </si>
  <si>
    <t>13/12/2021</t>
  </si>
  <si>
    <t>30/11/2021</t>
  </si>
  <si>
    <t>29/11/2021</t>
  </si>
  <si>
    <t>26/11/2021</t>
  </si>
  <si>
    <t>25/11/2021</t>
  </si>
  <si>
    <t>24/11/2021</t>
  </si>
  <si>
    <t>23/11/2021</t>
  </si>
  <si>
    <t>22/11/2021</t>
  </si>
  <si>
    <t>19/11/2021</t>
  </si>
  <si>
    <t>18/11/2021</t>
  </si>
  <si>
    <t>17/11/2021</t>
  </si>
  <si>
    <t>16/11/2021</t>
  </si>
  <si>
    <t>15/11/2021</t>
  </si>
  <si>
    <t>29/10/2021</t>
  </si>
  <si>
    <t>28/10/2021</t>
  </si>
  <si>
    <t>27/10/2021</t>
  </si>
  <si>
    <t>26/10/2021</t>
  </si>
  <si>
    <t>25/10/2021</t>
  </si>
  <si>
    <t>22/10/2021</t>
  </si>
  <si>
    <t>21/10/2021</t>
  </si>
  <si>
    <t>20/10/2021</t>
  </si>
  <si>
    <t>19/10/2021</t>
  </si>
  <si>
    <t>18/10/2021</t>
  </si>
  <si>
    <t>15/10/2021</t>
  </si>
  <si>
    <t>14/10/2021</t>
  </si>
  <si>
    <t>13/10/2021</t>
  </si>
  <si>
    <t>30/09/2021</t>
  </si>
  <si>
    <t>29/09/2021</t>
  </si>
  <si>
    <t>28/09/2021</t>
  </si>
  <si>
    <t>27/09/2021</t>
  </si>
  <si>
    <t>24/09/2021</t>
  </si>
  <si>
    <t>23/09/2021</t>
  </si>
  <si>
    <t>22/09/2021</t>
  </si>
  <si>
    <t>21/09/2021</t>
  </si>
  <si>
    <t>20/09/2021</t>
  </si>
  <si>
    <t>17/09/2021</t>
  </si>
  <si>
    <t>16/09/2021</t>
  </si>
  <si>
    <t>15/09/2021</t>
  </si>
  <si>
    <t>14/09/2021</t>
  </si>
  <si>
    <t>13/09/2021</t>
  </si>
  <si>
    <t>31/08/2021</t>
  </si>
  <si>
    <t>30/08/2021</t>
  </si>
  <si>
    <t>27/08/2021</t>
  </si>
  <si>
    <t>26/08/2021</t>
  </si>
  <si>
    <t>25/08/2021</t>
  </si>
  <si>
    <t>24/08/2021</t>
  </si>
  <si>
    <t>23/08/2021</t>
  </si>
  <si>
    <t>20/08/2021</t>
  </si>
  <si>
    <t>19/08/2021</t>
  </si>
  <si>
    <t>18/08/2021</t>
  </si>
  <si>
    <t>17/08/2021</t>
  </si>
  <si>
    <t>16/08/2021</t>
  </si>
  <si>
    <t>13/08/2021</t>
  </si>
  <si>
    <t>30/07/2021</t>
  </si>
  <si>
    <t>29/07/2021</t>
  </si>
  <si>
    <t>28/07/2021</t>
  </si>
  <si>
    <t>27/07/2021</t>
  </si>
  <si>
    <t>26/07/2021</t>
  </si>
  <si>
    <t>23/07/2021</t>
  </si>
  <si>
    <t>22/07/2021</t>
  </si>
  <si>
    <t>21/07/2021</t>
  </si>
  <si>
    <t>20/07/2021</t>
  </si>
  <si>
    <t>19/07/2021</t>
  </si>
  <si>
    <t>16/07/2021</t>
  </si>
  <si>
    <t>15/07/2021</t>
  </si>
  <si>
    <t>14/07/2021</t>
  </si>
  <si>
    <t>13/07/2021</t>
  </si>
  <si>
    <t>30/06/2021</t>
  </si>
  <si>
    <t>29/06/2021</t>
  </si>
  <si>
    <t>28/06/2021</t>
  </si>
  <si>
    <t>25/06/2021</t>
  </si>
  <si>
    <t>24/06/2021</t>
  </si>
  <si>
    <t>23/06/2021</t>
  </si>
  <si>
    <t>22/06/2021</t>
  </si>
  <si>
    <t>21/06/2021</t>
  </si>
  <si>
    <t>18/06/2021</t>
  </si>
  <si>
    <t>17/06/2021</t>
  </si>
  <si>
    <t>16/06/2021</t>
  </si>
  <si>
    <t>15/06/2021</t>
  </si>
  <si>
    <t>14/06/2021</t>
  </si>
  <si>
    <t>31/05/2021</t>
  </si>
  <si>
    <t>28/05/2021</t>
  </si>
  <si>
    <t>27/05/2021</t>
  </si>
  <si>
    <t>26/05/2021</t>
  </si>
  <si>
    <t>25/05/2021</t>
  </si>
  <si>
    <t>24/05/2021</t>
  </si>
  <si>
    <t>21/05/2021</t>
  </si>
  <si>
    <t>20/05/2021</t>
  </si>
  <si>
    <t>19/05/2021</t>
  </si>
  <si>
    <t>18/05/2021</t>
  </si>
  <si>
    <t>17/05/2021</t>
  </si>
  <si>
    <t>14/05/2021</t>
  </si>
  <si>
    <t>13/05/2021</t>
  </si>
  <si>
    <t>29/04/2021</t>
  </si>
  <si>
    <t>28/04/2021</t>
  </si>
  <si>
    <t>27/04/2021</t>
  </si>
  <si>
    <t>26/04/2021</t>
  </si>
  <si>
    <t>23/04/2021</t>
  </si>
  <si>
    <t>22/04/2021</t>
  </si>
  <si>
    <t>20/04/2021</t>
  </si>
  <si>
    <t>19/04/2021</t>
  </si>
  <si>
    <t>16/04/2021</t>
  </si>
  <si>
    <t>15/04/2021</t>
  </si>
  <si>
    <t>14/04/2021</t>
  </si>
  <si>
    <t>13/04/2021</t>
  </si>
  <si>
    <t>31/03/2021</t>
  </si>
  <si>
    <t>30/03/2021</t>
  </si>
  <si>
    <t>29/03/2021</t>
  </si>
  <si>
    <t>26/03/2021</t>
  </si>
  <si>
    <t>25/03/2021</t>
  </si>
  <si>
    <t>24/03/2021</t>
  </si>
  <si>
    <t>23/03/2021</t>
  </si>
  <si>
    <t>22/03/2021</t>
  </si>
  <si>
    <t>19/03/2021</t>
  </si>
  <si>
    <t>18/03/2021</t>
  </si>
  <si>
    <t>17/03/2021</t>
  </si>
  <si>
    <t>16/03/2021</t>
  </si>
  <si>
    <t>15/03/2021</t>
  </si>
  <si>
    <t>26/02/2021</t>
  </si>
  <si>
    <t>25/02/2021</t>
  </si>
  <si>
    <t>24/02/2021</t>
  </si>
  <si>
    <t>23/02/2021</t>
  </si>
  <si>
    <t>22/02/2021</t>
  </si>
  <si>
    <t>19/02/2021</t>
  </si>
  <si>
    <t>18/02/2021</t>
  </si>
  <si>
    <t>17/02/2021</t>
  </si>
  <si>
    <t>29/01/2021</t>
  </si>
  <si>
    <t>28/01/2021</t>
  </si>
  <si>
    <t>27/01/2021</t>
  </si>
  <si>
    <t>26/01/2021</t>
  </si>
  <si>
    <t>25/01/2021</t>
  </si>
  <si>
    <t>22/01/2021</t>
  </si>
  <si>
    <t>21/01/2021</t>
  </si>
  <si>
    <t>20/01/2021</t>
  </si>
  <si>
    <t>19/01/2021</t>
  </si>
  <si>
    <t>18/01/2021</t>
  </si>
  <si>
    <t>15/01/2021</t>
  </si>
  <si>
    <t>14/01/2021</t>
  </si>
  <si>
    <t>13/01/2021</t>
  </si>
  <si>
    <t>31/12/2020</t>
  </si>
  <si>
    <t>30/12/2020</t>
  </si>
  <si>
    <t>29/12/2020</t>
  </si>
  <si>
    <t>28/12/2020</t>
  </si>
  <si>
    <t>25/12/2020</t>
  </si>
  <si>
    <t>24/12/2020</t>
  </si>
  <si>
    <t>23/12/2020</t>
  </si>
  <si>
    <t>22/12/2020</t>
  </si>
  <si>
    <t>21/12/2020</t>
  </si>
  <si>
    <t>18/12/2020</t>
  </si>
  <si>
    <t>17/12/2020</t>
  </si>
  <si>
    <t>16/12/2020</t>
  </si>
  <si>
    <t>15/12/2020</t>
  </si>
  <si>
    <t>14/12/2020</t>
  </si>
  <si>
    <t>30/11/2020</t>
  </si>
  <si>
    <t>27/11/2020</t>
  </si>
  <si>
    <t>26/11/2020</t>
  </si>
  <si>
    <t>25/11/2020</t>
  </si>
  <si>
    <t>24/11/2020</t>
  </si>
  <si>
    <t>23/11/2020</t>
  </si>
  <si>
    <t>20/11/2020</t>
  </si>
  <si>
    <t>19/11/2020</t>
  </si>
  <si>
    <t>18/11/2020</t>
  </si>
  <si>
    <t>17/11/2020</t>
  </si>
  <si>
    <t>16/11/2020</t>
  </si>
  <si>
    <t>13/11/2020</t>
  </si>
  <si>
    <t>30/10/2020</t>
  </si>
  <si>
    <t>29/10/2020</t>
  </si>
  <si>
    <t>28/10/2020</t>
  </si>
  <si>
    <t>27/10/2020</t>
  </si>
  <si>
    <t>26/10/2020</t>
  </si>
  <si>
    <t>23/10/2020</t>
  </si>
  <si>
    <t>22/10/2020</t>
  </si>
  <si>
    <t>21/10/2020</t>
  </si>
  <si>
    <t>20/10/2020</t>
  </si>
  <si>
    <t>19/10/2020</t>
  </si>
  <si>
    <t>16/10/2020</t>
  </si>
  <si>
    <t>15/10/2020</t>
  </si>
  <si>
    <t>14/10/2020</t>
  </si>
  <si>
    <t>13/10/2020</t>
  </si>
  <si>
    <t>30/09/2020</t>
  </si>
  <si>
    <t>29/09/2020</t>
  </si>
  <si>
    <t>28/09/2020</t>
  </si>
  <si>
    <t>25/09/2020</t>
  </si>
  <si>
    <t>24/09/2020</t>
  </si>
  <si>
    <t>23/09/2020</t>
  </si>
  <si>
    <t>22/09/2020</t>
  </si>
  <si>
    <t>21/09/2020</t>
  </si>
  <si>
    <t>18/09/2020</t>
  </si>
  <si>
    <t>17/09/2020</t>
  </si>
  <si>
    <t>16/09/2020</t>
  </si>
  <si>
    <t>15/09/2020</t>
  </si>
  <si>
    <t>14/09/2020</t>
  </si>
  <si>
    <t>31/08/2020</t>
  </si>
  <si>
    <t>28/08/2020</t>
  </si>
  <si>
    <t>27/08/2020</t>
  </si>
  <si>
    <t>26/08/2020</t>
  </si>
  <si>
    <t>25/08/2020</t>
  </si>
  <si>
    <t>24/08/2020</t>
  </si>
  <si>
    <t>21/08/2020</t>
  </si>
  <si>
    <t>20/08/2020</t>
  </si>
  <si>
    <t>19/08/2020</t>
  </si>
  <si>
    <t>18/08/2020</t>
  </si>
  <si>
    <t>17/08/2020</t>
  </si>
  <si>
    <t>14/08/2020</t>
  </si>
  <si>
    <t>13/08/2020</t>
  </si>
  <si>
    <t>31/07/2020</t>
  </si>
  <si>
    <t>30/07/2020</t>
  </si>
  <si>
    <t>29/07/2020</t>
  </si>
  <si>
    <t>28/07/2020</t>
  </si>
  <si>
    <t>27/07/2020</t>
  </si>
  <si>
    <t>24/07/2020</t>
  </si>
  <si>
    <t>23/07/2020</t>
  </si>
  <si>
    <t>22/07/2020</t>
  </si>
  <si>
    <t>21/07/2020</t>
  </si>
  <si>
    <t>20/07/2020</t>
  </si>
  <si>
    <t>17/07/2020</t>
  </si>
  <si>
    <t>16/07/2020</t>
  </si>
  <si>
    <t>15/07/2020</t>
  </si>
  <si>
    <t>14/07/2020</t>
  </si>
  <si>
    <t>13/07/2020</t>
  </si>
  <si>
    <t>30/06/2020</t>
  </si>
  <si>
    <t>29/06/2020</t>
  </si>
  <si>
    <t>26/06/2020</t>
  </si>
  <si>
    <t>25/06/2020</t>
  </si>
  <si>
    <t>24/06/2020</t>
  </si>
  <si>
    <t>23/06/2020</t>
  </si>
  <si>
    <t>22/06/2020</t>
  </si>
  <si>
    <t>19/06/2020</t>
  </si>
  <si>
    <t>18/06/2020</t>
  </si>
  <si>
    <t>17/06/2020</t>
  </si>
  <si>
    <t>16/06/2020</t>
  </si>
  <si>
    <t>15/06/2020</t>
  </si>
  <si>
    <t>29/05/2020</t>
  </si>
  <si>
    <t>28/05/2020</t>
  </si>
  <si>
    <t>27/05/2020</t>
  </si>
  <si>
    <t>26/05/2020</t>
  </si>
  <si>
    <t>25/05/2020</t>
  </si>
  <si>
    <t>22/05/2020</t>
  </si>
  <si>
    <t>21/05/2020</t>
  </si>
  <si>
    <t>20/05/2020</t>
  </si>
  <si>
    <t>19/05/2020</t>
  </si>
  <si>
    <t>18/05/2020</t>
  </si>
  <si>
    <t>15/05/2020</t>
  </si>
  <si>
    <t>14/05/2020</t>
  </si>
  <si>
    <t>13/05/2020</t>
  </si>
  <si>
    <t>29/04/2020</t>
  </si>
  <si>
    <t>28/04/2020</t>
  </si>
  <si>
    <t>27/04/2020</t>
  </si>
  <si>
    <t>24/04/2020</t>
  </si>
  <si>
    <t>23/04/2020</t>
  </si>
  <si>
    <t>22/04/2020</t>
  </si>
  <si>
    <t>21/04/2020</t>
  </si>
  <si>
    <t>20/04/2020</t>
  </si>
  <si>
    <t>17/04/2020</t>
  </si>
  <si>
    <t>16/04/2020</t>
  </si>
  <si>
    <t>15/04/2020</t>
  </si>
  <si>
    <t>14/04/2020</t>
  </si>
  <si>
    <t>13/04/2020</t>
  </si>
  <si>
    <t>31/03/2020</t>
  </si>
  <si>
    <t>30/03/2020</t>
  </si>
  <si>
    <t>27/03/2020</t>
  </si>
  <si>
    <t>26/03/2020</t>
  </si>
  <si>
    <t>25/03/2020</t>
  </si>
  <si>
    <t>24/03/2020</t>
  </si>
  <si>
    <t>23/03/2020</t>
  </si>
  <si>
    <t>20/03/2020</t>
  </si>
  <si>
    <t>19/03/2020</t>
  </si>
  <si>
    <t>18/03/2020</t>
  </si>
  <si>
    <t>17/03/2020</t>
  </si>
  <si>
    <t>16/03/2020</t>
  </si>
  <si>
    <t>13/03/2020</t>
  </si>
  <si>
    <t>28/02/2020</t>
  </si>
  <si>
    <t>27/02/2020</t>
  </si>
  <si>
    <t>26/02/2020</t>
  </si>
  <si>
    <t>25/02/2020</t>
  </si>
  <si>
    <t>24/02/2020</t>
  </si>
  <si>
    <t>21/02/2020</t>
  </si>
  <si>
    <t>20/02/2020</t>
  </si>
  <si>
    <t>19/02/2020</t>
  </si>
  <si>
    <t>18/02/2020</t>
  </si>
  <si>
    <t>17/02/2020</t>
  </si>
  <si>
    <t>14/02/2020</t>
  </si>
  <si>
    <t>13/02/2020</t>
  </si>
  <si>
    <t>31/01/2020</t>
  </si>
  <si>
    <t>30/01/2020</t>
  </si>
  <si>
    <t>22/01/2020</t>
  </si>
  <si>
    <t>21/01/2020</t>
  </si>
  <si>
    <t>20/01/2020</t>
  </si>
  <si>
    <t>17/01/2020</t>
  </si>
  <si>
    <t>16/01/2020</t>
  </si>
  <si>
    <t>15/01/2020</t>
  </si>
  <si>
    <t>14/01/2020</t>
  </si>
  <si>
    <t>13/01/2020</t>
  </si>
  <si>
    <t>31/12/2019</t>
  </si>
  <si>
    <t>30/12/2019</t>
  </si>
  <si>
    <t>27/12/2019</t>
  </si>
  <si>
    <t>26/12/2019</t>
  </si>
  <si>
    <t>25/12/2019</t>
  </si>
  <si>
    <t>24/12/2019</t>
  </si>
  <si>
    <t>23/12/2019</t>
  </si>
  <si>
    <t>20/12/2019</t>
  </si>
  <si>
    <t>19/12/2019</t>
  </si>
  <si>
    <t>18/12/2019</t>
  </si>
  <si>
    <t>17/12/2019</t>
  </si>
  <si>
    <t>16/12/2019</t>
  </si>
  <si>
    <t>13/12/2019</t>
  </si>
  <si>
    <t>29/11/2019</t>
  </si>
  <si>
    <t>28/11/2019</t>
  </si>
  <si>
    <t>27/11/2019</t>
  </si>
  <si>
    <t>26/11/2019</t>
  </si>
  <si>
    <t>25/11/2019</t>
  </si>
  <si>
    <t>22/11/2019</t>
  </si>
  <si>
    <t>21/11/2019</t>
  </si>
  <si>
    <t>20/11/2019</t>
  </si>
  <si>
    <t>19/11/2019</t>
  </si>
  <si>
    <t>18/11/2019</t>
  </si>
  <si>
    <t>15/11/2019</t>
  </si>
  <si>
    <t>14/11/2019</t>
  </si>
  <si>
    <t>13/11/2019</t>
  </si>
  <si>
    <t>31/10/2019</t>
  </si>
  <si>
    <t>30/10/2019</t>
  </si>
  <si>
    <t>29/10/2019</t>
  </si>
  <si>
    <t>28/10/2019</t>
  </si>
  <si>
    <t>25/10/2019</t>
  </si>
  <si>
    <t>24/10/2019</t>
  </si>
  <si>
    <t>23/10/2019</t>
  </si>
  <si>
    <t>22/10/2019</t>
  </si>
  <si>
    <t>21/10/2019</t>
  </si>
  <si>
    <t>18/10/2019</t>
  </si>
  <si>
    <t>17/10/2019</t>
  </si>
  <si>
    <t>16/10/2019</t>
  </si>
  <si>
    <t>15/10/2019</t>
  </si>
  <si>
    <t>14/10/2019</t>
  </si>
  <si>
    <t>30/09/2019</t>
  </si>
  <si>
    <t>27/09/2019</t>
  </si>
  <si>
    <t>26/09/2019</t>
  </si>
  <si>
    <t>25/09/2019</t>
  </si>
  <si>
    <t>24/09/2019</t>
  </si>
  <si>
    <t>23/09/2019</t>
  </si>
  <si>
    <t>20/09/2019</t>
  </si>
  <si>
    <t>19/09/2019</t>
  </si>
  <si>
    <t>18/09/2019</t>
  </si>
  <si>
    <t>17/09/2019</t>
  </si>
  <si>
    <t>16/09/2019</t>
  </si>
  <si>
    <t>13/09/2019</t>
  </si>
  <si>
    <t>30/08/2019</t>
  </si>
  <si>
    <t>29/08/2019</t>
  </si>
  <si>
    <t>28/08/2019</t>
  </si>
  <si>
    <t>27/08/2019</t>
  </si>
  <si>
    <t>26/08/2019</t>
  </si>
  <si>
    <t>23/08/2019</t>
  </si>
  <si>
    <t>22/08/2019</t>
  </si>
  <si>
    <t>21/08/2019</t>
  </si>
  <si>
    <t>20/08/2019</t>
  </si>
  <si>
    <t>19/08/2019</t>
  </si>
  <si>
    <t>16/08/2019</t>
  </si>
  <si>
    <t>15/08/2019</t>
  </si>
  <si>
    <t>14/08/2019</t>
  </si>
  <si>
    <t>13/08/2019</t>
  </si>
  <si>
    <t>31/07/2019</t>
  </si>
  <si>
    <t>30/07/2019</t>
  </si>
  <si>
    <t>29/07/2019</t>
  </si>
  <si>
    <t>26/07/2019</t>
  </si>
  <si>
    <t>25/07/2019</t>
  </si>
  <si>
    <t>24/07/2019</t>
  </si>
  <si>
    <t>23/07/2019</t>
  </si>
  <si>
    <t>22/07/2019</t>
  </si>
  <si>
    <t>19/07/2019</t>
  </si>
  <si>
    <t>18/07/2019</t>
  </si>
  <si>
    <t>17/07/2019</t>
  </si>
  <si>
    <t>16/07/2019</t>
  </si>
  <si>
    <t>15/07/2019</t>
  </si>
  <si>
    <t>28/06/2019</t>
  </si>
  <si>
    <t>27/06/2019</t>
  </si>
  <si>
    <t>26/06/2019</t>
  </si>
  <si>
    <t>25/06/2019</t>
  </si>
  <si>
    <t>24/06/2019</t>
  </si>
  <si>
    <t>21/06/2019</t>
  </si>
  <si>
    <t>20/06/2019</t>
  </si>
  <si>
    <t>19/06/2019</t>
  </si>
  <si>
    <t>18/06/2019</t>
  </si>
  <si>
    <t>17/06/2019</t>
  </si>
  <si>
    <t>14/06/2019</t>
  </si>
  <si>
    <t>13/06/2019</t>
  </si>
  <si>
    <t>31/05/2019</t>
  </si>
  <si>
    <t>30/05/2019</t>
  </si>
  <si>
    <t>29/05/2019</t>
  </si>
  <si>
    <t>28/05/2019</t>
  </si>
  <si>
    <t>27/05/2019</t>
  </si>
  <si>
    <t>24/05/2019</t>
  </si>
  <si>
    <t>23/05/2019</t>
  </si>
  <si>
    <t>22/05/2019</t>
  </si>
  <si>
    <t>21/05/2019</t>
  </si>
  <si>
    <t>20/05/2019</t>
  </si>
  <si>
    <t>17/05/2019</t>
  </si>
  <si>
    <t>16/05/2019</t>
  </si>
  <si>
    <t>15/05/2019</t>
  </si>
  <si>
    <t>14/05/2019</t>
  </si>
  <si>
    <t>13/05/2019</t>
  </si>
  <si>
    <t>26/04/2019</t>
  </si>
  <si>
    <t>25/04/2019</t>
  </si>
  <si>
    <t>24/04/2019</t>
  </si>
  <si>
    <t>23/04/2019</t>
  </si>
  <si>
    <t>22/04/2019</t>
  </si>
  <si>
    <t>19/04/2019</t>
  </si>
  <si>
    <t>18/04/2019</t>
  </si>
  <si>
    <t>17/04/2019</t>
  </si>
  <si>
    <t>16/04/2019</t>
  </si>
  <si>
    <t>29/03/2019</t>
  </si>
  <si>
    <t>28/03/2019</t>
  </si>
  <si>
    <t>27/03/2019</t>
  </si>
  <si>
    <t>26/03/2019</t>
  </si>
  <si>
    <t>25/03/2019</t>
  </si>
  <si>
    <t>22/03/2019</t>
  </si>
  <si>
    <t>21/03/2019</t>
  </si>
  <si>
    <t>20/03/2019</t>
  </si>
  <si>
    <t>19/03/2019</t>
  </si>
  <si>
    <t>18/03/2019</t>
  </si>
  <si>
    <t>15/03/2019</t>
  </si>
  <si>
    <t>14/03/2019</t>
  </si>
  <si>
    <t>13/03/2019</t>
  </si>
  <si>
    <t>28/02/2019</t>
  </si>
  <si>
    <t>27/02/2019</t>
  </si>
  <si>
    <t>26/02/2019</t>
  </si>
  <si>
    <t>25/02/2019</t>
  </si>
  <si>
    <t>22/02/2019</t>
  </si>
  <si>
    <t>21/02/2019</t>
  </si>
  <si>
    <t>20/02/2019</t>
  </si>
  <si>
    <t>19/02/2019</t>
  </si>
  <si>
    <t>18/02/2019</t>
  </si>
  <si>
    <t>15/02/2019</t>
  </si>
  <si>
    <t>14/02/2019</t>
  </si>
  <si>
    <t>13/02/2019</t>
  </si>
  <si>
    <t>31/01/2019</t>
  </si>
  <si>
    <t>30/01/2019</t>
  </si>
  <si>
    <t>29/01/2019</t>
  </si>
  <si>
    <t>28/01/2019</t>
  </si>
  <si>
    <t>25/01/2019</t>
  </si>
  <si>
    <t>24/01/2019</t>
  </si>
  <si>
    <t>23/01/2019</t>
  </si>
  <si>
    <t>22/01/2019</t>
  </si>
  <si>
    <t>21/01/2019</t>
  </si>
  <si>
    <t>18/01/2019</t>
  </si>
  <si>
    <t>17/01/2019</t>
  </si>
  <si>
    <t>16/01/2019</t>
  </si>
  <si>
    <t>15/01/2019</t>
  </si>
  <si>
    <t>14/01/2019</t>
  </si>
  <si>
    <t>28/12/2018</t>
  </si>
  <si>
    <t>27/12/2018</t>
  </si>
  <si>
    <t>26/12/2018</t>
  </si>
  <si>
    <t>25/12/2018</t>
  </si>
  <si>
    <t>24/12/2018</t>
  </si>
  <si>
    <t>21/12/2018</t>
  </si>
  <si>
    <t>20/12/2018</t>
  </si>
  <si>
    <t>19/12/2018</t>
  </si>
  <si>
    <t>18/12/2018</t>
  </si>
  <si>
    <t>17/12/2018</t>
  </si>
  <si>
    <t>14/12/2018</t>
  </si>
  <si>
    <t>13/12/2018</t>
  </si>
  <si>
    <t>30/11/2018</t>
  </si>
  <si>
    <t>29/11/2018</t>
  </si>
  <si>
    <t>28/11/2018</t>
  </si>
  <si>
    <t>27/11/2018</t>
  </si>
  <si>
    <t>26/11/2018</t>
  </si>
  <si>
    <t>23/11/2018</t>
  </si>
  <si>
    <t>22/11/2018</t>
  </si>
  <si>
    <t>21/11/2018</t>
  </si>
  <si>
    <t>20/11/2018</t>
  </si>
  <si>
    <t>19/11/2018</t>
  </si>
  <si>
    <t>16/11/2018</t>
  </si>
  <si>
    <t>15/11/2018</t>
  </si>
  <si>
    <t>14/11/2018</t>
  </si>
  <si>
    <t>13/11/2018</t>
  </si>
  <si>
    <t>31/10/2018</t>
  </si>
  <si>
    <t>30/10/2018</t>
  </si>
  <si>
    <t>29/10/2018</t>
  </si>
  <si>
    <t>26/10/2018</t>
  </si>
  <si>
    <t>25/10/2018</t>
  </si>
  <si>
    <t>24/10/2018</t>
  </si>
  <si>
    <t>23/10/2018</t>
  </si>
  <si>
    <t>22/10/2018</t>
  </si>
  <si>
    <t>19/10/2018</t>
  </si>
  <si>
    <t>18/10/2018</t>
  </si>
  <si>
    <t>17/10/2018</t>
  </si>
  <si>
    <t>16/10/2018</t>
  </si>
  <si>
    <t>15/10/2018</t>
  </si>
  <si>
    <t>28/09/2018</t>
  </si>
  <si>
    <t>27/09/2018</t>
  </si>
  <si>
    <t>26/09/2018</t>
  </si>
  <si>
    <t>25/09/2018</t>
  </si>
  <si>
    <t>24/09/2018</t>
  </si>
  <si>
    <t>21/09/2018</t>
  </si>
  <si>
    <t>20/09/2018</t>
  </si>
  <si>
    <t>19/09/2018</t>
  </si>
  <si>
    <t>18/09/2018</t>
  </si>
  <si>
    <t>17/09/2018</t>
  </si>
  <si>
    <t>14/09/2018</t>
  </si>
  <si>
    <t>13/09/2018</t>
  </si>
  <si>
    <t>31/08/2018</t>
  </si>
  <si>
    <t>30/08/2018</t>
  </si>
  <si>
    <t>29/08/2018</t>
  </si>
  <si>
    <t>28/08/2018</t>
  </si>
  <si>
    <t>27/08/2018</t>
  </si>
  <si>
    <t>24/08/2018</t>
  </si>
  <si>
    <t>23/08/2018</t>
  </si>
  <si>
    <t>22/08/2018</t>
  </si>
  <si>
    <t>21/08/2018</t>
  </si>
  <si>
    <t>20/08/2018</t>
  </si>
  <si>
    <t>17/08/2018</t>
  </si>
  <si>
    <t>16/08/2018</t>
  </si>
  <si>
    <t>15/08/2018</t>
  </si>
  <si>
    <t>14/08/2018</t>
  </si>
  <si>
    <t>13/08/2018</t>
  </si>
  <si>
    <t>31/07/2018</t>
  </si>
  <si>
    <t>30/07/2018</t>
  </si>
  <si>
    <t>27/07/2018</t>
  </si>
  <si>
    <t>26/07/2018</t>
  </si>
  <si>
    <t>25/07/2018</t>
  </si>
  <si>
    <t>24/07/2018</t>
  </si>
  <si>
    <t>23/07/2018</t>
  </si>
  <si>
    <t>20/07/2018</t>
  </si>
  <si>
    <t>19/07/2018</t>
  </si>
  <si>
    <t>18/07/2018</t>
  </si>
  <si>
    <t>17/07/2018</t>
  </si>
  <si>
    <t>16/07/2018</t>
  </si>
  <si>
    <t>13/07/2018</t>
  </si>
  <si>
    <t>Summary</t>
  </si>
  <si>
    <t>Percentage</t>
  </si>
  <si>
    <t>Lowest value from 6.65% to 6.69% during the period 2023-2027 (Statista) to reflect the looming global recession</t>
  </si>
  <si>
    <t>Effective tax rate</t>
  </si>
  <si>
    <t>Average inflation rate</t>
  </si>
  <si>
    <t>Highest value from 4% to 4.25% during the period 2023-2027 (Statista) to reflect the looming global recession</t>
  </si>
  <si>
    <t xml:space="preserve">Because GDP's growth rate includes the inflation rate. Thus, by subtracting inflation out of GDP, we will derive the true terminal growth rate required. </t>
  </si>
  <si>
    <t>EV/EBITDA multiply</t>
  </si>
  <si>
    <t>Discounted Cash Flow (Gordon)</t>
  </si>
  <si>
    <t>Discounted period</t>
  </si>
  <si>
    <t>Net Operating Income</t>
  </si>
  <si>
    <t>Less: Taxes on operating income</t>
  </si>
  <si>
    <t>Net Operating Income After Tax (NOPAT)</t>
  </si>
  <si>
    <t>Plus: Depreciation expenses</t>
  </si>
  <si>
    <t>Less: Changes in net working capital</t>
  </si>
  <si>
    <t>Less: CAPEX</t>
  </si>
  <si>
    <t>Firm Free Operating Cash Flow</t>
  </si>
  <si>
    <t>Non-operating income</t>
  </si>
  <si>
    <t>Less: Taxes on non-operating income</t>
  </si>
  <si>
    <t>Non-operating income after taxes</t>
  </si>
  <si>
    <t>Firm Free Cash Flow</t>
  </si>
  <si>
    <t>Method 1: Gordon growth model (GGM)</t>
  </si>
  <si>
    <t>Method 2: EBITDA multiply</t>
  </si>
  <si>
    <t xml:space="preserve">Accummulated present value </t>
  </si>
  <si>
    <t>Accummulated PV of FCF</t>
  </si>
  <si>
    <t xml:space="preserve">Terminal value </t>
  </si>
  <si>
    <t>EBITDA 2027</t>
  </si>
  <si>
    <t>PV of Terminal value</t>
  </si>
  <si>
    <t>EBITDA multiply</t>
  </si>
  <si>
    <t>% of enterprise value</t>
  </si>
  <si>
    <t>Terminal Value</t>
  </si>
  <si>
    <t>Enterprise Value</t>
  </si>
  <si>
    <t>PV of terminal value</t>
  </si>
  <si>
    <t xml:space="preserve">Less: Net debt </t>
  </si>
  <si>
    <t>Equity Value</t>
  </si>
  <si>
    <t>Price per share</t>
  </si>
  <si>
    <t>Enterprise value</t>
  </si>
  <si>
    <t>Less: Net debt</t>
  </si>
  <si>
    <t>Method 3: Average method 1 and 2</t>
  </si>
  <si>
    <t>Equity value</t>
  </si>
  <si>
    <t>Owner's equity value</t>
  </si>
  <si>
    <t>Unlevered TLG beta</t>
  </si>
  <si>
    <t>Risk equity premium</t>
  </si>
  <si>
    <t>Cost of unlevered equity</t>
  </si>
  <si>
    <t>Interest rate</t>
  </si>
  <si>
    <t>FCF</t>
  </si>
  <si>
    <t>Terminal of Gordon</t>
  </si>
  <si>
    <t>Interest expenses</t>
  </si>
  <si>
    <t>Interest tax saving</t>
  </si>
  <si>
    <t>Method 1: APV</t>
  </si>
  <si>
    <t>PV of FCF</t>
  </si>
  <si>
    <t>PV of interest tax saving</t>
  </si>
  <si>
    <t xml:space="preserve">PV of terminal </t>
  </si>
  <si>
    <t>Percentage of terminal</t>
  </si>
  <si>
    <t xml:space="preserve">Terminal </t>
  </si>
  <si>
    <t xml:space="preserve">Enterprise value </t>
  </si>
  <si>
    <t>Method 3: Averge of method 1 and 2</t>
  </si>
  <si>
    <t>Average enterprise value</t>
  </si>
  <si>
    <t>KEY FINANCIAL RATIOS</t>
  </si>
  <si>
    <t xml:space="preserve">Dupont Analysis </t>
  </si>
  <si>
    <t xml:space="preserve">Gross Margin </t>
  </si>
  <si>
    <t>EBITDA Margin</t>
  </si>
  <si>
    <t xml:space="preserve">Net Profit Margin </t>
  </si>
  <si>
    <t xml:space="preserve">Asset Turnover </t>
  </si>
  <si>
    <t>Return on Assets</t>
  </si>
  <si>
    <t xml:space="preserve">Equity Multiplier </t>
  </si>
  <si>
    <t xml:space="preserve">Return on Equity </t>
  </si>
  <si>
    <t>Liquidity Indicators</t>
  </si>
  <si>
    <t xml:space="preserve">Current Ratio </t>
  </si>
  <si>
    <t xml:space="preserve">Quick Ratio </t>
  </si>
  <si>
    <t>Leverage Indicators</t>
  </si>
  <si>
    <t xml:space="preserve">Debt/Assets </t>
  </si>
  <si>
    <t xml:space="preserve">Debt/Equity </t>
  </si>
  <si>
    <t xml:space="preserve">Net Debt/Equity </t>
  </si>
  <si>
    <t xml:space="preserve">EBIT/Interest expense </t>
  </si>
  <si>
    <t>Operating Efficiency Indicators</t>
  </si>
  <si>
    <t xml:space="preserve">Inventory Turnover </t>
  </si>
  <si>
    <t>Operating Cycle (Days)</t>
  </si>
  <si>
    <t>Inventory Period</t>
  </si>
  <si>
    <t>Receivables Turnover</t>
  </si>
  <si>
    <t>Accounts Receivable Period</t>
  </si>
  <si>
    <t>Cash Conversion Cycle (Days)</t>
  </si>
  <si>
    <t>Days Inventory Outstanding</t>
  </si>
  <si>
    <t>Days Sales Outstanding</t>
  </si>
  <si>
    <t>Days Payable Outstanding</t>
  </si>
  <si>
    <t>Shareholder Indicators</t>
  </si>
  <si>
    <t>EPS (Php/sh)</t>
  </si>
  <si>
    <t>Dividend payout</t>
  </si>
  <si>
    <t>Gross Profit</t>
  </si>
  <si>
    <t xml:space="preserve">   - % Gross profit / Net revenue</t>
  </si>
  <si>
    <t>NOPAT of parent company</t>
  </si>
  <si>
    <t>Owner's Equity</t>
  </si>
  <si>
    <t>ROE</t>
  </si>
  <si>
    <t>EPS</t>
  </si>
  <si>
    <t>Revenue growth rate</t>
  </si>
  <si>
    <t>Growth rate of NOPAT</t>
  </si>
  <si>
    <t xml:space="preserve">   - Net profit margin</t>
  </si>
  <si>
    <t>P/E (Vietstock)</t>
  </si>
  <si>
    <t>P/E</t>
  </si>
  <si>
    <t>NET REVENUE</t>
  </si>
  <si>
    <t>Revenue growth over the same period</t>
  </si>
  <si>
    <t>Profit growth over the same period</t>
  </si>
  <si>
    <t>Accumulated EPS over 4 periods</t>
  </si>
  <si>
    <t>Number of shares outstanding</t>
  </si>
  <si>
    <t>Production and Office Stationery</t>
  </si>
  <si>
    <t>Q1</t>
  </si>
  <si>
    <t>Q2</t>
  </si>
  <si>
    <t>Q3</t>
  </si>
  <si>
    <t>Q4</t>
  </si>
  <si>
    <t>Average EV/EBITDA of TLG</t>
  </si>
  <si>
    <t>Valuation</t>
  </si>
  <si>
    <t xml:space="preserve">Less: Net Debt </t>
  </si>
  <si>
    <t>Share price</t>
  </si>
  <si>
    <t>P/E Average</t>
  </si>
  <si>
    <t>Average share price</t>
  </si>
  <si>
    <t>Sensitivity</t>
  </si>
  <si>
    <t xml:space="preserve">   - Revenue growth </t>
  </si>
  <si>
    <t>Net income</t>
  </si>
  <si>
    <t>Year</t>
  </si>
  <si>
    <t>Retention rate</t>
  </si>
  <si>
    <t>ROA</t>
  </si>
  <si>
    <t>Internal growth rate</t>
  </si>
  <si>
    <t xml:space="preserve">   - NOPAT Growth rate</t>
  </si>
  <si>
    <t>Total dividend value</t>
  </si>
  <si>
    <t xml:space="preserve">Share outstanding </t>
  </si>
  <si>
    <t>Current price (30/6/2023)</t>
  </si>
  <si>
    <t>% Differences</t>
  </si>
  <si>
    <t>Base case</t>
  </si>
  <si>
    <t>Best case</t>
  </si>
  <si>
    <t>Worst case</t>
  </si>
  <si>
    <t xml:space="preserve">Sensitivity </t>
  </si>
  <si>
    <t>Altman Z-Score = 1.2X1+1.4X2+3.3X3+0.6X4+1X5</t>
  </si>
  <si>
    <t>Working capital</t>
  </si>
  <si>
    <t>Total assets</t>
  </si>
  <si>
    <t>Retained earnings</t>
  </si>
  <si>
    <t>Earnings before interest and taxes</t>
  </si>
  <si>
    <t>Market value of equity</t>
  </si>
  <si>
    <t>Book value of total liabilities</t>
  </si>
  <si>
    <t>2023 GOAL</t>
  </si>
  <si>
    <t>Average 5 years P/E (2018-2022)</t>
  </si>
  <si>
    <t>Calculated by 5 years' average</t>
  </si>
  <si>
    <t>Field of operation</t>
  </si>
  <si>
    <t>Field P/E (Vietstock)</t>
  </si>
  <si>
    <t>Average Valuation</t>
  </si>
  <si>
    <r>
      <t>X</t>
    </r>
    <r>
      <rPr>
        <sz val="11"/>
        <color rgb="FF231F20"/>
        <rFont val="Calibri"/>
        <family val="2"/>
        <scheme val="minor"/>
      </rPr>
      <t xml:space="preserve">1 = Working capital / Total assets </t>
    </r>
  </si>
  <si>
    <r>
      <t>X</t>
    </r>
    <r>
      <rPr>
        <sz val="11"/>
        <color rgb="FF231F20"/>
        <rFont val="Calibri"/>
        <family val="2"/>
        <scheme val="minor"/>
      </rPr>
      <t xml:space="preserve">2 = Retained earnings / Total assets </t>
    </r>
  </si>
  <si>
    <r>
      <t>X</t>
    </r>
    <r>
      <rPr>
        <sz val="11"/>
        <color rgb="FF231F20"/>
        <rFont val="Calibri"/>
        <family val="2"/>
        <scheme val="minor"/>
      </rPr>
      <t>3 = Earnings before interest and taxes / Total assets</t>
    </r>
  </si>
  <si>
    <r>
      <t>X</t>
    </r>
    <r>
      <rPr>
        <sz val="11"/>
        <color rgb="FF231F20"/>
        <rFont val="Calibri"/>
        <family val="2"/>
        <scheme val="minor"/>
      </rPr>
      <t>4 = Market value of equity / Book value of total liabilities</t>
    </r>
  </si>
  <si>
    <r>
      <t>X</t>
    </r>
    <r>
      <rPr>
        <sz val="11"/>
        <color rgb="FF231F20"/>
        <rFont val="Calibri"/>
        <family val="2"/>
        <scheme val="minor"/>
      </rPr>
      <t>5 = Sales / Total assets</t>
    </r>
  </si>
  <si>
    <t>Created by Lê Đức on 7/11/2023</t>
  </si>
  <si>
    <t>Created by Lê Đức on 7/11/2023
Modified by Lê Đức on 7/11/2023</t>
  </si>
  <si>
    <t>Scenario Summary</t>
  </si>
  <si>
    <t>Changing Cells:</t>
  </si>
  <si>
    <t>Result Cells:</t>
  </si>
  <si>
    <t>Notes:  Current Values column represents values of changing cells at</t>
  </si>
  <si>
    <t>time Scenario Summary Report was created.  Changing cells for each</t>
  </si>
  <si>
    <t>scenario are highlighted in gray.</t>
  </si>
  <si>
    <t>Retention ratio</t>
  </si>
  <si>
    <t>$B$10</t>
  </si>
  <si>
    <t>Worst case Retention Rate</t>
  </si>
  <si>
    <t>Best case Retention rate</t>
  </si>
  <si>
    <t>Best case Cost of equity</t>
  </si>
  <si>
    <t>Worst case Cost of equity</t>
  </si>
  <si>
    <t>Best case Internal growth rate</t>
  </si>
  <si>
    <t>Worst case Internal growth rate</t>
  </si>
  <si>
    <t>Base value</t>
  </si>
  <si>
    <t>Current Values:</t>
  </si>
  <si>
    <t>3. Held-to-maturity investments</t>
  </si>
  <si>
    <t>- Historical price</t>
  </si>
  <si>
    <t>P/B</t>
  </si>
  <si>
    <t>Best WACC</t>
  </si>
  <si>
    <t>Worst WACC</t>
  </si>
  <si>
    <t>Worst growth rate</t>
  </si>
  <si>
    <t>10-year coupon rate</t>
  </si>
  <si>
    <t>Credit rating</t>
  </si>
  <si>
    <t>Corporate default spread</t>
  </si>
  <si>
    <t>Best growth rate</t>
  </si>
  <si>
    <t>B3/B-</t>
  </si>
  <si>
    <t>B2/B</t>
  </si>
  <si>
    <t>B1/B+</t>
  </si>
  <si>
    <t>Ba2/BB</t>
  </si>
  <si>
    <t>Ba1/BB+</t>
  </si>
  <si>
    <t>Baa2/BBB</t>
  </si>
  <si>
    <t>A3/A-</t>
  </si>
  <si>
    <t>A2/A</t>
  </si>
  <si>
    <t>A1/A+</t>
  </si>
  <si>
    <t>Aa2/AA</t>
  </si>
  <si>
    <t>Aaa/AAA</t>
  </si>
  <si>
    <t>ICRL</t>
  </si>
  <si>
    <t>ICRH</t>
  </si>
  <si>
    <t>Rating</t>
  </si>
  <si>
    <t>Default spread</t>
  </si>
  <si>
    <t>Best cost of unlevered equity</t>
  </si>
  <si>
    <t>Interest coverage ratio</t>
  </si>
  <si>
    <t>NOPAT</t>
  </si>
  <si>
    <t xml:space="preserve">average </t>
  </si>
  <si>
    <t>average</t>
  </si>
  <si>
    <t>nhan (1-retention ratio) với nopat</t>
  </si>
  <si>
    <t>sum</t>
  </si>
  <si>
    <t>Equity risk premium</t>
  </si>
  <si>
    <t>Pre-tax cost of debt</t>
  </si>
  <si>
    <t>30/06/2023</t>
  </si>
  <si>
    <t>29/06/2023</t>
  </si>
  <si>
    <t>28/06/2023</t>
  </si>
  <si>
    <t>27/06/2023</t>
  </si>
  <si>
    <t>26/06/2023</t>
  </si>
  <si>
    <t>23/06/2023</t>
  </si>
  <si>
    <t>22/06/2023</t>
  </si>
  <si>
    <t>21/06/2023</t>
  </si>
  <si>
    <t>20/06/2023</t>
  </si>
  <si>
    <t>19/06/2023</t>
  </si>
  <si>
    <t>16/06/2023</t>
  </si>
  <si>
    <t>15/06/2023</t>
  </si>
  <si>
    <t>14/06/2023</t>
  </si>
  <si>
    <t>13/06/2023</t>
  </si>
  <si>
    <t xml:space="preserve">  </t>
  </si>
  <si>
    <t>BVPS (Vietstock, VND)</t>
  </si>
  <si>
    <t>percentile</t>
  </si>
  <si>
    <t>cum</t>
  </si>
  <si>
    <t>Expected Shorfall</t>
  </si>
  <si>
    <t>Cum ES</t>
  </si>
  <si>
    <t>Current price</t>
  </si>
  <si>
    <t>S.D.</t>
  </si>
  <si>
    <t>Historical Approach</t>
  </si>
  <si>
    <t>Accuracy (Hull 3rd, p.309)</t>
  </si>
  <si>
    <t>1 day VaR at 99%</t>
  </si>
  <si>
    <t>The 99th percentile</t>
  </si>
  <si>
    <t>S.E. of the estimate</t>
  </si>
  <si>
    <t>The 95th percentile</t>
  </si>
  <si>
    <t>1 day VaR at 95%</t>
  </si>
  <si>
    <t>f(x)</t>
  </si>
  <si>
    <t>95% confident interval</t>
  </si>
  <si>
    <t>Model building approach</t>
  </si>
  <si>
    <t>2-tailed Back testing (Hull 3rd, p.199) (Lec 3 Slide 44)</t>
  </si>
  <si>
    <t>Test statistic (1 day Var at 99%)</t>
  </si>
  <si>
    <t>Exceptions</t>
  </si>
  <si>
    <t>&gt;3.84</t>
  </si>
  <si>
    <t>Reject model at 95%</t>
  </si>
  <si>
    <t>&gt;6.64</t>
  </si>
  <si>
    <t>Test statistic (1 day VaR at 95%)</t>
  </si>
  <si>
    <t>1 week VaR at 99%</t>
  </si>
  <si>
    <t>1 week VaR at 95%</t>
  </si>
  <si>
    <t>Expected shortfall</t>
  </si>
  <si>
    <t>ES at 99%</t>
  </si>
  <si>
    <t>ES at 95%</t>
  </si>
  <si>
    <t>Loss sce</t>
  </si>
  <si>
    <t>Reject model at 99%</t>
  </si>
  <si>
    <t>Accept model at 95%</t>
  </si>
  <si>
    <t>Accept model at 99%</t>
  </si>
  <si>
    <t>CCC</t>
  </si>
  <si>
    <t>CC</t>
  </si>
  <si>
    <t>C</t>
  </si>
  <si>
    <t>D</t>
  </si>
  <si>
    <t>Best EV/EBITDA</t>
  </si>
  <si>
    <t>Created by Lê Đức on 7/15/2023</t>
  </si>
  <si>
    <t>Worst EV/EBITDA</t>
  </si>
  <si>
    <t>Worst Case</t>
  </si>
  <si>
    <t>Created by Lê Đức on 7/15/2023
Modified by Lê Đức on 7/15/2023</t>
  </si>
  <si>
    <t>Input Value</t>
  </si>
  <si>
    <t>Best Case</t>
  </si>
  <si>
    <t>Input value</t>
  </si>
  <si>
    <t>Output value</t>
  </si>
  <si>
    <t xml:space="preserve">Best case </t>
  </si>
  <si>
    <t>Range</t>
  </si>
  <si>
    <t>Variable</t>
  </si>
  <si>
    <t>Worst cost of equity</t>
  </si>
  <si>
    <t>Input</t>
  </si>
  <si>
    <t>Output</t>
  </si>
  <si>
    <t>Base</t>
  </si>
  <si>
    <t xml:space="preserve">Range </t>
  </si>
  <si>
    <t>Best retention rate</t>
  </si>
  <si>
    <t>Best cost of equity</t>
  </si>
  <si>
    <t>Variables</t>
  </si>
  <si>
    <t>P/E Ratio</t>
  </si>
  <si>
    <t>Source: Investing.com</t>
  </si>
  <si>
    <t>Net income 2023</t>
  </si>
  <si>
    <t>Average EV/EBITDA</t>
  </si>
  <si>
    <t>Average P/E Ratio</t>
  </si>
  <si>
    <t>PV of dividend</t>
  </si>
  <si>
    <t>Total value</t>
  </si>
  <si>
    <t>Conclusion</t>
  </si>
  <si>
    <t>Best ROA</t>
  </si>
  <si>
    <t>Worst ROA</t>
  </si>
  <si>
    <t>Worst retention rate</t>
  </si>
  <si>
    <t>Cases</t>
  </si>
  <si>
    <t>SENSITIVITY ANALYSIS</t>
  </si>
  <si>
    <t>Vietnam GDP's rate</t>
  </si>
  <si>
    <t>Long-run rates</t>
  </si>
  <si>
    <t>Terminal growth rate</t>
  </si>
  <si>
    <t xml:space="preserve">Cost of unlevered equity </t>
  </si>
  <si>
    <t>Created by Lê Đức on 7/19/2023</t>
  </si>
  <si>
    <t xml:space="preserve">Value </t>
  </si>
  <si>
    <t>Worst cost of unlevered equity</t>
  </si>
  <si>
    <t>Created by Lê Đức on 7/19/2023
Modified by Lê Đức on 7/19/2023</t>
  </si>
  <si>
    <t>Valuation Summary</t>
  </si>
  <si>
    <t>Relative</t>
  </si>
  <si>
    <t>DDM</t>
  </si>
  <si>
    <t>GGM</t>
  </si>
  <si>
    <t>Others</t>
  </si>
  <si>
    <t>Valuation Methods</t>
  </si>
  <si>
    <t>Valuation Result</t>
  </si>
  <si>
    <t>Current share price</t>
  </si>
  <si>
    <t>Differences</t>
  </si>
  <si>
    <t>Current Price (30th June, 2023)</t>
  </si>
  <si>
    <t>The future NOPAT of company is forecasted based on TLG's business plan, in which revenue of 2023 is 400 million VND ~ 13.61% growth rate.</t>
  </si>
  <si>
    <t>Assumed that number of shares oustanding is constant, we can calculate EPS by taking NOPAT divided by share number.</t>
  </si>
  <si>
    <t>Share price = PE*accumulated EPS in 4 periods</t>
  </si>
  <si>
    <t>Current P/E (Investing.com)</t>
  </si>
  <si>
    <t>We take 3 PE as representative - Field PE / Average PE of company 5 years in the past / Current PE</t>
  </si>
  <si>
    <t>Last price is the average of 3 valuation in quarter 4/2023.</t>
  </si>
  <si>
    <t>Net Sales</t>
  </si>
  <si>
    <t>&lt;3.84</t>
  </si>
  <si>
    <t>&lt;6.64</t>
  </si>
  <si>
    <t>Sales GROWTH</t>
  </si>
  <si>
    <t>Link</t>
  </si>
  <si>
    <t>Sheets</t>
  </si>
  <si>
    <t>Source of information</t>
  </si>
  <si>
    <t>Information</t>
  </si>
  <si>
    <t>T4OuDa5Yi8dh4LCFCfjx7cb0NTUf72ipnlrdzNk5.pdf (thienlonggroup.com)</t>
  </si>
  <si>
    <t>Dividend distribution 2022 - 2nd:
Ratio of payment:  15%/par value (1,500 VND/share)
Payment method: Cash
Source of payment: the Company's undistributed earnings
Time of payment: 11/01/2023</t>
  </si>
  <si>
    <t>UGBr00gZZ2hyT9Jv5OAlq2QanVj4pYM9IufXCYPA.pdf (thienlonggroup.com)</t>
  </si>
  <si>
    <t>Dividend distribution 2021 - 2nd:
Ratio of payment:  5%/par value (500 VND/share)
Payment method: Cash
Source of payment: the Company's undistributed earnings
Time of payment: 20/01/2022</t>
  </si>
  <si>
    <t>PIKRYlxnk6260Z8tjBV5iusExh9M53hSKf0CZRbx.pdf (thienlonggroup.com)</t>
  </si>
  <si>
    <t>Dividend distribution 2020 - 2nd:
Ratio of payment:  10%/par value (1,000 VND/share)
Payment method: Cash
Source of payment: the Company's undistributed earnings
Time of payment: 27/01/2021</t>
  </si>
  <si>
    <t>5oYg6oThBPDPB7vwq7AWBl7yRQhzy0aNwx0mfNBw.pdf (thienlonggroup.com)</t>
  </si>
  <si>
    <t>TLG-Nghi-quyet-HDQT-vv-tam-ung-co-tuc-dot-2-nam-2019_signed.pdf (thienlonggroup.com)</t>
  </si>
  <si>
    <t>Dividend distribution 2019 - 2nd:
Ratio of payment:  5%/par value (500 VND/share)
Payment method: Cash
Source of payment: the Company's undistributed earnings
Time of payment: 20/03/2020</t>
  </si>
  <si>
    <t>CBTT-NQHDQT-11-2019.pdf (thienlonggroup.com)</t>
  </si>
  <si>
    <t>Dividend distribution 2018 - 1st
Dividend: 10%/par value (1,000 VND/share)
Payment method in cash
Source of payment: the Company's undistributed earnings
Time of payment: 22/05/2019</t>
  </si>
  <si>
    <t>Dividend distribution 2018 - 2nd:
Dividend: 5%/par value (500 VND/share)
Payment method in cash
Source of payment: the Company's undistributed earnings
Time of payment: 23/10/2019</t>
  </si>
  <si>
    <t>20190403_NQHDQT004.pdf (thienlonggroup.com)</t>
  </si>
  <si>
    <t>Dividend distribution 2021 - 1st:
Ratio of payment:  15%/par value (1,500 VND/share)
Payment method: Cash
Source of payment: the Company's undistributed earnings
Time of payment: 12/08/2021</t>
  </si>
  <si>
    <t>Group</t>
  </si>
  <si>
    <t>Data</t>
  </si>
  <si>
    <t>Raw data</t>
  </si>
  <si>
    <t>Data clean</t>
  </si>
  <si>
    <t>Financial Ratios</t>
  </si>
  <si>
    <t>Calculation</t>
  </si>
  <si>
    <t>Revenue Detail</t>
  </si>
  <si>
    <t>Assumption</t>
  </si>
  <si>
    <t xml:space="preserve">Forecast </t>
  </si>
  <si>
    <t>FS</t>
  </si>
  <si>
    <t>Ratio</t>
  </si>
  <si>
    <t>WACC&amp;EBITDA Multiply</t>
  </si>
  <si>
    <t xml:space="preserve">P/E </t>
  </si>
  <si>
    <t>Scenario analysis</t>
  </si>
  <si>
    <t>DDM Scenario</t>
  </si>
  <si>
    <t>DDM Tornado</t>
  </si>
  <si>
    <t>DCF Scenario</t>
  </si>
  <si>
    <t>DCF Tornado</t>
  </si>
  <si>
    <t>APV Scenario</t>
  </si>
  <si>
    <t>APV Tornado</t>
  </si>
  <si>
    <t>Valuation summary</t>
  </si>
  <si>
    <t>Z-score</t>
  </si>
  <si>
    <t>Var</t>
  </si>
  <si>
    <t>Risk</t>
  </si>
  <si>
    <t>Description</t>
  </si>
  <si>
    <t>Raw data downloaded</t>
  </si>
  <si>
    <t>Data cleaning</t>
  </si>
  <si>
    <t>Dividend</t>
  </si>
  <si>
    <t>Dividend information</t>
  </si>
  <si>
    <t>Projected revenue growth</t>
  </si>
  <si>
    <t>Projected depreciation growth</t>
  </si>
  <si>
    <t>Projected growth for others items</t>
  </si>
  <si>
    <t>Pro Forma</t>
  </si>
  <si>
    <t>Beta calculation</t>
  </si>
  <si>
    <t>WACC &amp; EBITDA Multiply calculation</t>
  </si>
  <si>
    <t>Valuation method</t>
  </si>
  <si>
    <t>Analysis</t>
  </si>
  <si>
    <t>Latest Valuation number</t>
  </si>
  <si>
    <t xml:space="preserve">The depreciation was calculated based on 2 parts:                                  1.  Calculating the increased/decreased in Fixed Assets of company in the cash flow from investing activities in Cash Flow statements to DETERMINE the fixed assets increase/decrease                                                                                                                                                                                  </t>
  </si>
  <si>
    <t>2. Calculate the percentage of depreciation based on fixed assets in that year to derive the average depreciation percentage</t>
  </si>
  <si>
    <t>Please read the notice</t>
  </si>
  <si>
    <t>Average of past retained earning ratio</t>
  </si>
  <si>
    <t>Retained earning: It is hard to figure out how much the company will keep its retained earning to next year</t>
  </si>
  <si>
    <t>Expected Shorfall at 95%</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</si>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</sst>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8" formatCode="&quot;$&quot;#,##0.00_);[Red]\(&quot;$&quot;#,##0.00\)"/>
    <numFmt numFmtId="44" formatCode="_(&quot;$&quot;* #,##0.00_);_(&quot;$&quot;* \(#,##0.00\);_(&quot;$&quot;* &quot;-&quot;??_);_(@_)"/>
    <numFmt numFmtId="43" formatCode="_(* #,##0.00_);_(* \(#,##0.00\);_(* &quot;-&quot;??_);_(@_)"/>
    <numFmt numFmtId="164" formatCode="#,##0.00\ &quot;₫&quot;;[Red]\-#,##0.00\ &quot;₫&quot;"/>
    <numFmt numFmtId="165" formatCode="_-* #,##0.00_-;\-* #,##0.00_-;_-* &quot;-&quot;??_-;_-@_-"/>
    <numFmt numFmtId="166" formatCode="_(* #,##0_);_(* \(#,##0\);_(* &quot;-&quot;??_);_(@_)"/>
    <numFmt numFmtId="167" formatCode="_(* #,##0.000_);_(* \(#,##0.000\);_(* &quot;-&quot;??_);_(@_)"/>
    <numFmt numFmtId="168" formatCode="0.000"/>
    <numFmt numFmtId="169" formatCode="0.0000"/>
    <numFmt numFmtId="170" formatCode="0.0%"/>
    <numFmt numFmtId="171" formatCode="0.000%"/>
    <numFmt numFmtId="172" formatCode="0.0000%"/>
    <numFmt numFmtId="173" formatCode="_-* #,##0_-;\-* #,##0_-;_-* &quot;-&quot;??_-;_-@_-"/>
    <numFmt numFmtId="174" formatCode="[$KRW]\ #,##0"/>
    <numFmt numFmtId="175" formatCode="[$JPY]\ #,##0"/>
    <numFmt numFmtId="176" formatCode="[$VND]\ #,##0"/>
    <numFmt numFmtId="177" formatCode="#,##0.000"/>
    <numFmt numFmtId="178" formatCode="_([$VND]\ * #,##0_);_([$VND]\ * \(#,##0\);_([$VND]\ * &quot;-&quot;??_);_(@_)"/>
    <numFmt numFmtId="179" formatCode="_-* #,##0.0000000000000_-;\-* #,##0.0000000000000_-;_-* &quot;-&quot;??_-;_-@_-"/>
    <numFmt numFmtId="180" formatCode="_(* #,##0.000_);_(* \(#,##0.000\);_(* &quot;-&quot;???_);_(@_)"/>
    <numFmt numFmtId="181" formatCode="_(* #,##0.0000_);_(* \(#,##0.0000\);_(* &quot;-&quot;????_);_(@_)"/>
    <numFmt numFmtId="182" formatCode="_(* #,##0.000000_);_(* \(#,##0.000000\);_(* &quot;-&quot;??_);_(@_)"/>
    <numFmt numFmtId="183" formatCode="_-* #,##0.00000000000_-;\-* #,##0.00000000000_-;_-* &quot;-&quot;??_-;_-@_-"/>
    <numFmt numFmtId="184" formatCode="0.00000000000000%"/>
  </numFmts>
  <fonts count="77" x14ac:knownFonts="1">
    <font>
      <sz val="11"/>
      <color theme="1"/>
      <name val="Calibri"/>
      <family val="2"/>
      <scheme val="minor"/>
    </font>
    <font>
      <sz val="12"/>
      <color theme="1"/>
      <name val="Calibri"/>
      <family val="2"/>
      <scheme val="minor"/>
    </font>
    <font>
      <sz val="12"/>
      <color theme="1"/>
      <name val="Calibri"/>
      <family val="2"/>
      <scheme val="minor"/>
    </font>
    <font>
      <b/>
      <sz val="12"/>
      <color theme="1"/>
      <name val="Calibri"/>
      <family val="2"/>
      <scheme val="minor"/>
    </font>
    <font>
      <sz val="11"/>
      <color theme="1"/>
      <name val="Calibri"/>
      <family val="2"/>
      <scheme val="minor"/>
    </font>
    <font>
      <b/>
      <sz val="11"/>
      <color theme="0"/>
      <name val="Calibri"/>
      <family val="2"/>
      <scheme val="minor"/>
    </font>
    <font>
      <b/>
      <sz val="12"/>
      <color theme="0"/>
      <name val="Calibri"/>
      <family val="2"/>
      <scheme val="minor"/>
    </font>
    <font>
      <sz val="8"/>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0"/>
      <color theme="0"/>
      <name val="Arial"/>
      <family val="2"/>
    </font>
    <font>
      <b/>
      <sz val="10"/>
      <name val="Arial"/>
      <family val="2"/>
    </font>
    <font>
      <sz val="10"/>
      <color rgb="FF000000"/>
      <name val="Arial"/>
      <family val="2"/>
    </font>
    <font>
      <b/>
      <sz val="10"/>
      <color rgb="FFC00000"/>
      <name val="Arial"/>
      <family val="2"/>
    </font>
    <font>
      <b/>
      <sz val="10"/>
      <color rgb="FF000000"/>
      <name val="Arial"/>
      <family val="2"/>
    </font>
    <font>
      <b/>
      <sz val="10"/>
      <color rgb="FFFF0000"/>
      <name val="Arial"/>
      <family val="2"/>
    </font>
    <font>
      <sz val="11"/>
      <color rgb="FFFFFFFF"/>
      <name val="Calibri"/>
      <family val="2"/>
      <scheme val="minor"/>
    </font>
    <font>
      <b/>
      <sz val="11"/>
      <color rgb="FFFF0000"/>
      <name val="Calibri"/>
      <family val="2"/>
      <scheme val="minor"/>
    </font>
    <font>
      <sz val="12"/>
      <color rgb="FFFF0000"/>
      <name val="Calibri"/>
      <family val="2"/>
      <scheme val="minor"/>
    </font>
    <font>
      <b/>
      <sz val="11"/>
      <color rgb="FFFFFFFF"/>
      <name val="Calibri"/>
      <family val="2"/>
    </font>
    <font>
      <sz val="11"/>
      <name val="Calibri"/>
      <family val="2"/>
      <scheme val="minor"/>
    </font>
    <font>
      <b/>
      <sz val="11"/>
      <name val="Calibri"/>
      <family val="2"/>
      <scheme val="minor"/>
    </font>
    <font>
      <b/>
      <sz val="11"/>
      <color theme="0"/>
      <name val="Calibri"/>
      <family val="2"/>
    </font>
    <font>
      <sz val="11"/>
      <color rgb="FF000000"/>
      <name val="Calibri"/>
      <family val="2"/>
    </font>
    <font>
      <sz val="11"/>
      <color rgb="FFFFFFFF"/>
      <name val="Calibri"/>
      <family val="2"/>
    </font>
    <font>
      <b/>
      <sz val="10"/>
      <color rgb="FF990000"/>
      <name val="Arial"/>
      <family val="2"/>
    </font>
    <font>
      <b/>
      <sz val="10"/>
      <color theme="1"/>
      <name val="Arial"/>
      <family val="2"/>
    </font>
    <font>
      <sz val="10"/>
      <color theme="1"/>
      <name val="Arial"/>
      <family val="2"/>
    </font>
    <font>
      <i/>
      <sz val="10"/>
      <color theme="1"/>
      <name val="Arial"/>
      <family val="2"/>
    </font>
    <font>
      <b/>
      <sz val="12"/>
      <color rgb="FFFFFFFF"/>
      <name val="Calibri"/>
      <family val="2"/>
      <scheme val="minor"/>
    </font>
    <font>
      <sz val="12"/>
      <color rgb="FF000000"/>
      <name val="Calibri"/>
      <family val="2"/>
      <scheme val="minor"/>
    </font>
    <font>
      <sz val="11"/>
      <color rgb="FF000000"/>
      <name val="Calibri"/>
      <family val="2"/>
      <scheme val="minor"/>
    </font>
    <font>
      <b/>
      <sz val="12"/>
      <color rgb="FF000000"/>
      <name val="Calibri"/>
      <family val="2"/>
      <scheme val="minor"/>
    </font>
    <font>
      <sz val="12"/>
      <color theme="0"/>
      <name val="Calibri"/>
      <family val="2"/>
      <scheme val="minor"/>
    </font>
    <font>
      <sz val="11"/>
      <color indexed="8"/>
      <name val="Calibri"/>
      <family val="2"/>
    </font>
    <font>
      <sz val="10"/>
      <color theme="1"/>
      <name val="Arial"/>
      <family val="2"/>
    </font>
    <font>
      <sz val="10"/>
      <color rgb="FF333333"/>
      <name val="Arial"/>
      <family val="2"/>
    </font>
    <font>
      <sz val="10"/>
      <color rgb="FF374151"/>
      <name val="Arial"/>
      <family val="2"/>
    </font>
    <font>
      <u/>
      <sz val="12"/>
      <color rgb="FF0563C1"/>
      <name val="Calibri"/>
      <family val="2"/>
      <scheme val="minor"/>
    </font>
    <font>
      <b/>
      <sz val="12"/>
      <color theme="0"/>
      <name val="Arial"/>
      <family val="2"/>
    </font>
    <font>
      <b/>
      <sz val="12"/>
      <color rgb="FF000000"/>
      <name val="Arial"/>
      <family val="2"/>
    </font>
    <font>
      <sz val="12"/>
      <color rgb="FF000000"/>
      <name val="Arial"/>
      <family val="2"/>
    </font>
    <font>
      <sz val="12"/>
      <color theme="1"/>
      <name val="Arial"/>
      <family val="2"/>
    </font>
    <font>
      <sz val="12"/>
      <color rgb="FF232A31"/>
      <name val="Arial"/>
      <family val="2"/>
    </font>
    <font>
      <sz val="12"/>
      <color rgb="FF333333"/>
      <name val="Arial"/>
      <family val="2"/>
    </font>
    <font>
      <b/>
      <sz val="12"/>
      <name val="Arial"/>
      <family val="2"/>
    </font>
    <font>
      <b/>
      <sz val="11"/>
      <color indexed="9"/>
      <name val="Calibri"/>
      <family val="2"/>
    </font>
    <font>
      <sz val="11"/>
      <color rgb="FF231F20"/>
      <name val="Calibri"/>
      <family val="2"/>
      <scheme val="minor"/>
    </font>
    <font>
      <i/>
      <sz val="11"/>
      <color rgb="FF231F2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i/>
      <sz val="10"/>
      <name val="Times New Roman"/>
      <family val="1"/>
    </font>
    <font>
      <sz val="10"/>
      <name val="Times New Roman"/>
      <family val="1"/>
    </font>
    <font>
      <sz val="10"/>
      <name val="Calibri"/>
      <family val="2"/>
    </font>
    <font>
      <sz val="11"/>
      <color rgb="FF202124"/>
      <name val="Arial"/>
      <family val="2"/>
    </font>
    <font>
      <sz val="11"/>
      <color indexed="8"/>
      <name val="Calibri"/>
      <family val="2"/>
    </font>
    <font>
      <sz val="10"/>
      <color indexed="8"/>
      <name val="Arial"/>
      <family val="2"/>
    </font>
    <font>
      <b/>
      <sz val="11"/>
      <color indexed="10"/>
      <name val="Calibri"/>
      <family val="2"/>
    </font>
    <font>
      <sz val="11"/>
      <color indexed="10"/>
      <name val="Calibri"/>
      <family val="2"/>
    </font>
    <font>
      <b/>
      <sz val="11"/>
      <color indexed="63"/>
      <name val="Calibri"/>
      <family val="2"/>
    </font>
    <font>
      <u/>
      <sz val="11"/>
      <color indexed="8"/>
      <name val="Calibri"/>
      <family val="2"/>
    </font>
    <font>
      <sz val="9"/>
      <color indexed="8"/>
      <name val="Arial"/>
      <family val="2"/>
    </font>
    <font>
      <b/>
      <sz val="11"/>
      <color indexed="8"/>
      <name val="Calibri"/>
      <family val="2"/>
    </font>
    <font>
      <sz val="10"/>
      <color theme="1"/>
      <name val="Arial"/>
      <family val="2"/>
    </font>
    <font>
      <sz val="10"/>
      <name val="Arial"/>
      <family val="2"/>
    </font>
    <font>
      <b/>
      <sz val="9"/>
      <color indexed="81"/>
      <name val="Tahoma"/>
      <family val="2"/>
    </font>
    <font>
      <sz val="9"/>
      <color indexed="81"/>
      <name val="Tahoma"/>
      <family val="2"/>
    </font>
    <font>
      <b/>
      <sz val="10"/>
      <color theme="1"/>
      <name val="Arial"/>
    </font>
    <font>
      <b/>
      <sz val="11"/>
      <color rgb="FFFFFFFF"/>
      <name val="Calibri"/>
    </font>
    <font>
      <sz val="10"/>
      <color rgb="FFFF0000"/>
      <name val="Arial"/>
      <family val="2"/>
    </font>
    <font>
      <u/>
      <sz val="11"/>
      <color theme="10"/>
      <name val="Calibri"/>
      <family val="2"/>
      <scheme val="minor"/>
    </font>
    <font>
      <b/>
      <sz val="11"/>
      <name val="Calibri"/>
      <family val="2"/>
    </font>
    <font>
      <b/>
      <sz val="11"/>
      <name val="Calibri"/>
    </font>
  </fonts>
  <fills count="35">
    <fill>
      <patternFill patternType="none"/>
    </fill>
    <fill>
      <patternFill patternType="gray125"/>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9"/>
        <bgColor rgb="FF000000"/>
      </patternFill>
    </fill>
    <fill>
      <patternFill patternType="solid">
        <fgColor theme="9" tint="0.79998168889431442"/>
        <bgColor indexed="64"/>
      </patternFill>
    </fill>
    <fill>
      <patternFill patternType="solid">
        <fgColor theme="0"/>
        <bgColor indexed="64"/>
      </patternFill>
    </fill>
    <fill>
      <patternFill patternType="solid">
        <fgColor theme="7" tint="0.39997558519241921"/>
        <bgColor rgb="FF000000"/>
      </patternFill>
    </fill>
    <fill>
      <patternFill patternType="solid">
        <fgColor theme="9" tint="0.79998168889431442"/>
        <bgColor rgb="FF000000"/>
      </patternFill>
    </fill>
    <fill>
      <patternFill patternType="solid">
        <fgColor rgb="FF000000"/>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rgb="FFFFFFFF"/>
        <bgColor indexed="64"/>
      </patternFill>
    </fill>
    <fill>
      <patternFill patternType="solid">
        <fgColor theme="9" tint="-0.249977111117893"/>
        <bgColor rgb="FF000000"/>
      </patternFill>
    </fill>
    <fill>
      <patternFill patternType="solid">
        <fgColor theme="9" tint="0.59999389629810485"/>
        <bgColor rgb="FF000000"/>
      </patternFill>
    </fill>
    <fill>
      <patternFill patternType="solid">
        <fgColor theme="9" tint="-0.249977111117893"/>
        <bgColor indexed="64"/>
      </patternFill>
    </fill>
    <fill>
      <patternFill patternType="solid">
        <fgColor rgb="FF548235"/>
        <bgColor rgb="FF000000"/>
      </patternFill>
    </fill>
    <fill>
      <patternFill patternType="solid">
        <fgColor rgb="FF70AD47"/>
        <bgColor rgb="FF000000"/>
      </patternFill>
    </fill>
    <fill>
      <patternFill patternType="solid">
        <fgColor rgb="FFC6E0B4"/>
        <bgColor rgb="FF000000"/>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solid">
        <fgColor theme="8" tint="0.79998168889431442"/>
        <bgColor indexed="64"/>
      </patternFill>
    </fill>
    <fill>
      <patternFill patternType="solid">
        <fgColor theme="4"/>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99">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thin">
        <color indexed="64"/>
      </right>
      <top/>
      <bottom/>
      <diagonal/>
    </border>
    <border>
      <left/>
      <right style="thin">
        <color indexed="64"/>
      </right>
      <top style="thin">
        <color theme="4" tint="0.39997558519241921"/>
      </top>
      <bottom style="thin">
        <color theme="4" tint="0.39997558519241921"/>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rgb="FF000000"/>
      </bottom>
      <diagonal/>
    </border>
    <border>
      <left/>
      <right style="thin">
        <color indexed="64"/>
      </right>
      <top style="thin">
        <color indexed="64"/>
      </top>
      <bottom/>
      <diagonal/>
    </border>
    <border>
      <left style="thin">
        <color indexed="64"/>
      </left>
      <right/>
      <top style="thin">
        <color rgb="FF000000"/>
      </top>
      <bottom/>
      <diagonal/>
    </border>
    <border>
      <left/>
      <right/>
      <top style="thin">
        <color rgb="FF000000"/>
      </top>
      <bottom/>
      <diagonal/>
    </border>
    <border>
      <left/>
      <right style="thin">
        <color indexed="64"/>
      </right>
      <top style="thin">
        <color rgb="FF000000"/>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rgb="FF000000"/>
      </bottom>
      <diagonal/>
    </border>
    <border>
      <left/>
      <right/>
      <top/>
      <bottom style="thin">
        <color rgb="FF000000"/>
      </bottom>
      <diagonal/>
    </border>
    <border>
      <left/>
      <right style="thin">
        <color indexed="64"/>
      </right>
      <top/>
      <bottom style="thin">
        <color rgb="FF000000"/>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indexed="64"/>
      </bottom>
      <diagonal/>
    </border>
    <border>
      <left/>
      <right style="thin">
        <color rgb="FF000000"/>
      </right>
      <top style="thin">
        <color rgb="FF000000"/>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rgb="FF000000"/>
      </left>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medium">
        <color indexed="64"/>
      </bottom>
      <diagonal/>
    </border>
    <border>
      <left style="thin">
        <color rgb="FF000000"/>
      </left>
      <right style="thin">
        <color indexed="64"/>
      </right>
      <top style="thin">
        <color rgb="FF000000"/>
      </top>
      <bottom style="thin">
        <color rgb="FF000000"/>
      </bottom>
      <diagonal/>
    </border>
    <border>
      <left/>
      <right style="thin">
        <color rgb="FF000000"/>
      </right>
      <top/>
      <bottom style="thin">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style="thin">
        <color rgb="FF000000"/>
      </top>
      <bottom style="thin">
        <color indexed="64"/>
      </bottom>
      <diagonal/>
    </border>
    <border>
      <left/>
      <right style="thin">
        <color rgb="FF000000"/>
      </right>
      <top style="thin">
        <color rgb="FF000000"/>
      </top>
      <bottom style="thin">
        <color indexed="64"/>
      </bottom>
      <diagonal/>
    </border>
    <border>
      <left/>
      <right/>
      <top style="thin">
        <color theme="4" tint="0.39997558519241921"/>
      </top>
      <bottom/>
      <diagonal/>
    </border>
    <border>
      <left style="thin">
        <color theme="4" tint="0.39997558519241921"/>
      </left>
      <right/>
      <top/>
      <bottom/>
      <diagonal/>
    </border>
    <border>
      <left style="thin">
        <color indexed="64"/>
      </left>
      <right/>
      <top style="thin">
        <color rgb="FF000000"/>
      </top>
      <bottom style="thin">
        <color indexed="64"/>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top style="thin">
        <color theme="4" tint="0.39997558519241921"/>
      </top>
      <bottom style="thin">
        <color theme="4" tint="0.39997558519241921"/>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thin">
        <color theme="4" tint="0.39997558519241921"/>
      </bottom>
      <diagonal/>
    </border>
    <border>
      <left/>
      <right style="thin">
        <color indexed="64"/>
      </right>
      <top/>
      <bottom style="thin">
        <color theme="4" tint="0.39997558519241921"/>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rgb="FF000000"/>
      </left>
      <right style="thin">
        <color rgb="FF000000"/>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000000"/>
      </top>
      <bottom style="medium">
        <color rgb="FF000000"/>
      </bottom>
      <diagonal/>
    </border>
    <border>
      <left style="thin">
        <color rgb="FF000000"/>
      </left>
      <right/>
      <top/>
      <bottom style="medium">
        <color rgb="FF000000"/>
      </bottom>
      <diagonal/>
    </border>
    <border>
      <left/>
      <right style="thin">
        <color rgb="FF000000"/>
      </right>
      <top/>
      <bottom style="medium">
        <color rgb="FF000000"/>
      </bottom>
      <diagonal/>
    </border>
    <border>
      <left style="thin">
        <color rgb="FF000000"/>
      </left>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right/>
      <top/>
      <bottom style="double">
        <color indexed="64"/>
      </bottom>
      <diagonal/>
    </border>
    <border>
      <left/>
      <right/>
      <top style="double">
        <color indexed="64"/>
      </top>
      <bottom style="medium">
        <color indexed="64"/>
      </bottom>
      <diagonal/>
    </border>
    <border>
      <left/>
      <right/>
      <top style="double">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style="medium">
        <color indexed="64"/>
      </right>
      <top style="double">
        <color indexed="64"/>
      </top>
      <bottom/>
      <diagonal/>
    </border>
  </borders>
  <cellStyleXfs count="5">
    <xf numFmtId="0" fontId="0" fillId="0" borderId="0"/>
    <xf numFmtId="165"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74" fillId="0" borderId="0" applyNumberFormat="0" applyFill="0" applyBorder="0" applyAlignment="0" applyProtection="0"/>
  </cellStyleXfs>
  <cellXfs count="706">
    <xf numFmtId="0" fontId="0" fillId="0" borderId="0" xfId="0"/>
    <xf numFmtId="3" fontId="0" fillId="0" borderId="0" xfId="0" applyNumberFormat="1"/>
    <xf numFmtId="0" fontId="2" fillId="0" borderId="0" xfId="0" applyFont="1"/>
    <xf numFmtId="3" fontId="2" fillId="0" borderId="0" xfId="0" applyNumberFormat="1" applyFont="1"/>
    <xf numFmtId="0" fontId="3" fillId="2" borderId="0" xfId="0" applyFont="1" applyFill="1"/>
    <xf numFmtId="3" fontId="3" fillId="2" borderId="0" xfId="0" applyNumberFormat="1" applyFont="1" applyFill="1"/>
    <xf numFmtId="10" fontId="2" fillId="0" borderId="0" xfId="0" applyNumberFormat="1" applyFont="1"/>
    <xf numFmtId="0" fontId="2" fillId="0" borderId="0" xfId="0" quotePrefix="1" applyFont="1"/>
    <xf numFmtId="166" fontId="2" fillId="0" borderId="0" xfId="1" applyNumberFormat="1" applyFont="1" applyBorder="1"/>
    <xf numFmtId="10" fontId="0" fillId="0" borderId="0" xfId="0" applyNumberFormat="1"/>
    <xf numFmtId="9" fontId="0" fillId="0" borderId="0" xfId="0" applyNumberFormat="1"/>
    <xf numFmtId="10" fontId="0" fillId="0" borderId="0" xfId="2" applyNumberFormat="1" applyFont="1"/>
    <xf numFmtId="0" fontId="5" fillId="3" borderId="6" xfId="0" applyFont="1" applyFill="1" applyBorder="1"/>
    <xf numFmtId="0" fontId="5" fillId="3" borderId="7" xfId="0" applyFont="1" applyFill="1" applyBorder="1"/>
    <xf numFmtId="0" fontId="0" fillId="0" borderId="8" xfId="0" applyBorder="1"/>
    <xf numFmtId="9" fontId="0" fillId="0" borderId="8" xfId="0" applyNumberFormat="1" applyBorder="1"/>
    <xf numFmtId="166" fontId="0" fillId="0" borderId="8" xfId="1" applyNumberFormat="1" applyFont="1" applyBorder="1"/>
    <xf numFmtId="166" fontId="0" fillId="0" borderId="0" xfId="0" applyNumberFormat="1"/>
    <xf numFmtId="0" fontId="5" fillId="3" borderId="9" xfId="0" applyFont="1" applyFill="1" applyBorder="1"/>
    <xf numFmtId="0" fontId="2" fillId="0" borderId="8" xfId="0" applyFont="1" applyBorder="1"/>
    <xf numFmtId="166" fontId="2" fillId="0" borderId="0" xfId="0" applyNumberFormat="1" applyFont="1"/>
    <xf numFmtId="0" fontId="12" fillId="6" borderId="1" xfId="0" applyFont="1" applyFill="1" applyBorder="1" applyAlignment="1">
      <alignment horizontal="center"/>
    </xf>
    <xf numFmtId="0" fontId="12" fillId="6" borderId="12" xfId="0" applyFont="1" applyFill="1" applyBorder="1" applyAlignment="1">
      <alignment horizontal="center"/>
    </xf>
    <xf numFmtId="0" fontId="13" fillId="0" borderId="3" xfId="0" applyFont="1" applyBorder="1"/>
    <xf numFmtId="10" fontId="13" fillId="0" borderId="5" xfId="0" applyNumberFormat="1" applyFont="1" applyBorder="1"/>
    <xf numFmtId="2" fontId="13" fillId="0" borderId="5" xfId="0" applyNumberFormat="1" applyFont="1" applyBorder="1"/>
    <xf numFmtId="0" fontId="14" fillId="0" borderId="10" xfId="0" applyFont="1" applyBorder="1"/>
    <xf numFmtId="10" fontId="14" fillId="0" borderId="1" xfId="0" applyNumberFormat="1" applyFont="1" applyBorder="1"/>
    <xf numFmtId="0" fontId="5" fillId="5" borderId="13" xfId="0" applyFont="1" applyFill="1" applyBorder="1"/>
    <xf numFmtId="0" fontId="5" fillId="5" borderId="14" xfId="0" applyFont="1" applyFill="1" applyBorder="1"/>
    <xf numFmtId="0" fontId="0" fillId="0" borderId="17" xfId="0" applyBorder="1"/>
    <xf numFmtId="0" fontId="0" fillId="0" borderId="20" xfId="0" applyBorder="1"/>
    <xf numFmtId="0" fontId="0" fillId="0" borderId="21" xfId="0" applyBorder="1"/>
    <xf numFmtId="0" fontId="13" fillId="0" borderId="0" xfId="0" applyFont="1"/>
    <xf numFmtId="0" fontId="13" fillId="0" borderId="21" xfId="0" applyFont="1" applyBorder="1"/>
    <xf numFmtId="0" fontId="15" fillId="12" borderId="28" xfId="0" applyFont="1" applyFill="1" applyBorder="1"/>
    <xf numFmtId="0" fontId="15" fillId="12" borderId="29" xfId="0" applyFont="1" applyFill="1" applyBorder="1"/>
    <xf numFmtId="0" fontId="15" fillId="12" borderId="30" xfId="0" applyFont="1" applyFill="1" applyBorder="1"/>
    <xf numFmtId="10" fontId="13" fillId="0" borderId="22" xfId="0" applyNumberFormat="1" applyFont="1" applyBorder="1"/>
    <xf numFmtId="0" fontId="17" fillId="13" borderId="0" xfId="0" applyFont="1" applyFill="1"/>
    <xf numFmtId="0" fontId="0" fillId="0" borderId="1" xfId="0" applyBorder="1"/>
    <xf numFmtId="10" fontId="0" fillId="0" borderId="24" xfId="0" applyNumberFormat="1" applyBorder="1" applyAlignment="1">
      <alignment horizontal="right"/>
    </xf>
    <xf numFmtId="0" fontId="0" fillId="0" borderId="13" xfId="0" applyBorder="1"/>
    <xf numFmtId="0" fontId="0" fillId="0" borderId="14" xfId="0" applyBorder="1"/>
    <xf numFmtId="0" fontId="0" fillId="0" borderId="22" xfId="0" applyBorder="1"/>
    <xf numFmtId="0" fontId="0" fillId="0" borderId="23" xfId="0" applyBorder="1"/>
    <xf numFmtId="165" fontId="2" fillId="0" borderId="0" xfId="1" applyFont="1"/>
    <xf numFmtId="165" fontId="0" fillId="0" borderId="14" xfId="0" applyNumberFormat="1" applyBorder="1"/>
    <xf numFmtId="0" fontId="5" fillId="3" borderId="36" xfId="0" applyFont="1" applyFill="1" applyBorder="1"/>
    <xf numFmtId="0" fontId="5" fillId="3" borderId="37" xfId="0" applyFont="1" applyFill="1" applyBorder="1"/>
    <xf numFmtId="0" fontId="5" fillId="3" borderId="38" xfId="0" applyFont="1" applyFill="1" applyBorder="1"/>
    <xf numFmtId="165" fontId="0" fillId="0" borderId="0" xfId="0" applyNumberFormat="1"/>
    <xf numFmtId="0" fontId="0" fillId="0" borderId="10" xfId="0" applyBorder="1"/>
    <xf numFmtId="10" fontId="0" fillId="2" borderId="1" xfId="0" applyNumberFormat="1" applyFill="1" applyBorder="1"/>
    <xf numFmtId="0" fontId="9" fillId="0" borderId="20" xfId="0" applyFont="1" applyBorder="1"/>
    <xf numFmtId="10" fontId="0" fillId="0" borderId="1" xfId="0" applyNumberFormat="1" applyBorder="1"/>
    <xf numFmtId="165" fontId="0" fillId="0" borderId="1" xfId="0" applyNumberFormat="1" applyBorder="1"/>
    <xf numFmtId="0" fontId="9" fillId="0" borderId="0" xfId="0" applyFont="1"/>
    <xf numFmtId="37" fontId="0" fillId="0" borderId="0" xfId="0" applyNumberFormat="1"/>
    <xf numFmtId="165" fontId="9" fillId="0" borderId="0" xfId="1" applyFont="1"/>
    <xf numFmtId="0" fontId="21" fillId="0" borderId="0" xfId="0" applyFont="1"/>
    <xf numFmtId="165" fontId="0" fillId="0" borderId="0" xfId="1" applyFont="1"/>
    <xf numFmtId="0" fontId="0" fillId="0" borderId="42" xfId="0" applyBorder="1"/>
    <xf numFmtId="165" fontId="21" fillId="0" borderId="0" xfId="1" applyFont="1"/>
    <xf numFmtId="0" fontId="18" fillId="0" borderId="0" xfId="0" applyFont="1"/>
    <xf numFmtId="165" fontId="0" fillId="0" borderId="8" xfId="0" applyNumberFormat="1" applyBorder="1"/>
    <xf numFmtId="165" fontId="0" fillId="0" borderId="20" xfId="0" applyNumberFormat="1" applyBorder="1"/>
    <xf numFmtId="165" fontId="0" fillId="16" borderId="8" xfId="0" applyNumberFormat="1" applyFill="1" applyBorder="1"/>
    <xf numFmtId="165" fontId="0" fillId="0" borderId="21" xfId="0" applyNumberFormat="1" applyBorder="1"/>
    <xf numFmtId="170" fontId="0" fillId="0" borderId="0" xfId="0" applyNumberFormat="1"/>
    <xf numFmtId="165" fontId="0" fillId="0" borderId="0" xfId="1" applyFont="1" applyFill="1" applyBorder="1"/>
    <xf numFmtId="2" fontId="0" fillId="0" borderId="0" xfId="0" applyNumberFormat="1"/>
    <xf numFmtId="10" fontId="0" fillId="0" borderId="43" xfId="0" applyNumberFormat="1" applyBorder="1"/>
    <xf numFmtId="10" fontId="0" fillId="0" borderId="4" xfId="0" applyNumberFormat="1" applyBorder="1"/>
    <xf numFmtId="3" fontId="13" fillId="0" borderId="43" xfId="0" applyNumberFormat="1" applyFont="1" applyBorder="1"/>
    <xf numFmtId="170" fontId="0" fillId="0" borderId="43" xfId="0" applyNumberFormat="1" applyBorder="1"/>
    <xf numFmtId="10" fontId="0" fillId="0" borderId="44" xfId="0" applyNumberFormat="1" applyBorder="1"/>
    <xf numFmtId="0" fontId="0" fillId="0" borderId="12" xfId="0" applyBorder="1"/>
    <xf numFmtId="165" fontId="0" fillId="0" borderId="45" xfId="0" applyNumberFormat="1" applyBorder="1"/>
    <xf numFmtId="0" fontId="0" fillId="5" borderId="46" xfId="0" applyFill="1" applyBorder="1"/>
    <xf numFmtId="0" fontId="5" fillId="5" borderId="16" xfId="0" applyFont="1" applyFill="1" applyBorder="1"/>
    <xf numFmtId="0" fontId="0" fillId="9" borderId="47" xfId="0" applyFill="1" applyBorder="1"/>
    <xf numFmtId="1" fontId="0" fillId="9" borderId="0" xfId="0" applyNumberFormat="1" applyFill="1"/>
    <xf numFmtId="1" fontId="0" fillId="9" borderId="8" xfId="0" applyNumberFormat="1" applyFill="1" applyBorder="1"/>
    <xf numFmtId="0" fontId="0" fillId="0" borderId="48" xfId="0" applyBorder="1"/>
    <xf numFmtId="165" fontId="0" fillId="0" borderId="2" xfId="0" applyNumberFormat="1" applyBorder="1"/>
    <xf numFmtId="0" fontId="0" fillId="0" borderId="47" xfId="0" applyBorder="1"/>
    <xf numFmtId="0" fontId="8" fillId="0" borderId="25" xfId="0" applyFont="1" applyBorder="1"/>
    <xf numFmtId="165" fontId="8" fillId="0" borderId="27" xfId="0" applyNumberFormat="1" applyFont="1" applyBorder="1"/>
    <xf numFmtId="0" fontId="0" fillId="0" borderId="50" xfId="0" applyBorder="1"/>
    <xf numFmtId="165" fontId="0" fillId="0" borderId="51" xfId="0" applyNumberFormat="1" applyBorder="1"/>
    <xf numFmtId="165" fontId="0" fillId="0" borderId="12" xfId="0" applyNumberFormat="1" applyBorder="1"/>
    <xf numFmtId="165" fontId="18" fillId="0" borderId="0" xfId="0" applyNumberFormat="1" applyFont="1" applyAlignment="1">
      <alignment horizontal="left"/>
    </xf>
    <xf numFmtId="164" fontId="0" fillId="0" borderId="1" xfId="0" applyNumberFormat="1" applyBorder="1"/>
    <xf numFmtId="37" fontId="0" fillId="0" borderId="1" xfId="0" applyNumberFormat="1" applyBorder="1"/>
    <xf numFmtId="0" fontId="9" fillId="7" borderId="21" xfId="0" applyFont="1" applyFill="1" applyBorder="1"/>
    <xf numFmtId="0" fontId="24" fillId="6" borderId="1" xfId="0" applyFont="1" applyFill="1" applyBorder="1"/>
    <xf numFmtId="0" fontId="24" fillId="0" borderId="1" xfId="0" applyFont="1" applyBorder="1"/>
    <xf numFmtId="9" fontId="24" fillId="0" borderId="1" xfId="0" applyNumberFormat="1" applyFont="1" applyBorder="1"/>
    <xf numFmtId="10" fontId="24" fillId="0" borderId="1" xfId="0" applyNumberFormat="1" applyFont="1" applyBorder="1"/>
    <xf numFmtId="0" fontId="24" fillId="0" borderId="0" xfId="0" applyFont="1"/>
    <xf numFmtId="0" fontId="24" fillId="18" borderId="1" xfId="0" applyFont="1" applyFill="1" applyBorder="1"/>
    <xf numFmtId="0" fontId="24" fillId="0" borderId="3" xfId="0" applyFont="1" applyBorder="1"/>
    <xf numFmtId="166" fontId="24" fillId="0" borderId="1" xfId="0" applyNumberFormat="1" applyFont="1" applyBorder="1"/>
    <xf numFmtId="10" fontId="24" fillId="0" borderId="0" xfId="0" applyNumberFormat="1" applyFont="1"/>
    <xf numFmtId="0" fontId="10" fillId="5" borderId="13" xfId="0" applyFont="1" applyFill="1" applyBorder="1"/>
    <xf numFmtId="0" fontId="0" fillId="6" borderId="13" xfId="0" applyFill="1" applyBorder="1"/>
    <xf numFmtId="0" fontId="0" fillId="6" borderId="14" xfId="0" applyFill="1" applyBorder="1"/>
    <xf numFmtId="0" fontId="0" fillId="6" borderId="16" xfId="0" applyFill="1" applyBorder="1"/>
    <xf numFmtId="37" fontId="0" fillId="0" borderId="0" xfId="0" applyNumberFormat="1" applyAlignment="1">
      <alignment horizontal="right"/>
    </xf>
    <xf numFmtId="37" fontId="0" fillId="0" borderId="8" xfId="0" applyNumberFormat="1" applyBorder="1" applyAlignment="1">
      <alignment horizontal="right"/>
    </xf>
    <xf numFmtId="37" fontId="0" fillId="0" borderId="22" xfId="0" applyNumberFormat="1" applyBorder="1" applyAlignment="1">
      <alignment horizontal="right"/>
    </xf>
    <xf numFmtId="37" fontId="0" fillId="0" borderId="23" xfId="0" applyNumberFormat="1" applyBorder="1" applyAlignment="1">
      <alignment horizontal="right"/>
    </xf>
    <xf numFmtId="37" fontId="0" fillId="0" borderId="8" xfId="0" applyNumberFormat="1" applyBorder="1"/>
    <xf numFmtId="166" fontId="24" fillId="0" borderId="29" xfId="0" applyNumberFormat="1" applyFont="1" applyBorder="1" applyAlignment="1">
      <alignment horizontal="right"/>
    </xf>
    <xf numFmtId="3" fontId="24" fillId="0" borderId="29" xfId="0" applyNumberFormat="1" applyFont="1" applyBorder="1" applyAlignment="1">
      <alignment horizontal="right"/>
    </xf>
    <xf numFmtId="3" fontId="24" fillId="0" borderId="30" xfId="0" applyNumberFormat="1" applyFont="1" applyBorder="1" applyAlignment="1">
      <alignment horizontal="right"/>
    </xf>
    <xf numFmtId="0" fontId="0" fillId="6" borderId="20" xfId="0" applyFill="1" applyBorder="1"/>
    <xf numFmtId="0" fontId="0" fillId="6" borderId="0" xfId="0" applyFill="1"/>
    <xf numFmtId="0" fontId="0" fillId="6" borderId="8" xfId="0" applyFill="1" applyBorder="1"/>
    <xf numFmtId="3" fontId="24" fillId="0" borderId="0" xfId="0" applyNumberFormat="1" applyFont="1"/>
    <xf numFmtId="3" fontId="24" fillId="0" borderId="8" xfId="0" applyNumberFormat="1" applyFont="1" applyBorder="1"/>
    <xf numFmtId="3" fontId="24" fillId="0" borderId="29" xfId="0" applyNumberFormat="1" applyFont="1" applyBorder="1"/>
    <xf numFmtId="3" fontId="24" fillId="0" borderId="30" xfId="0" applyNumberFormat="1" applyFont="1" applyBorder="1"/>
    <xf numFmtId="0" fontId="25" fillId="21" borderId="20" xfId="0" applyFont="1" applyFill="1" applyBorder="1"/>
    <xf numFmtId="0" fontId="20" fillId="21" borderId="0" xfId="0" applyFont="1" applyFill="1"/>
    <xf numFmtId="0" fontId="20" fillId="21" borderId="8" xfId="0" applyFont="1" applyFill="1" applyBorder="1"/>
    <xf numFmtId="0" fontId="24" fillId="22" borderId="13" xfId="0" applyFont="1" applyFill="1" applyBorder="1"/>
    <xf numFmtId="0" fontId="24" fillId="22" borderId="14" xfId="0" applyFont="1" applyFill="1" applyBorder="1"/>
    <xf numFmtId="0" fontId="24" fillId="22" borderId="16" xfId="0" applyFont="1" applyFill="1" applyBorder="1"/>
    <xf numFmtId="0" fontId="24" fillId="0" borderId="20" xfId="0" applyFont="1" applyBorder="1"/>
    <xf numFmtId="0" fontId="24" fillId="0" borderId="4" xfId="0" applyFont="1" applyBorder="1"/>
    <xf numFmtId="0" fontId="24" fillId="0" borderId="21" xfId="0" applyFont="1" applyBorder="1"/>
    <xf numFmtId="0" fontId="24" fillId="0" borderId="29" xfId="0" applyFont="1" applyBorder="1"/>
    <xf numFmtId="0" fontId="24" fillId="0" borderId="41" xfId="0" applyFont="1" applyBorder="1"/>
    <xf numFmtId="0" fontId="24" fillId="0" borderId="8" xfId="0" applyFont="1" applyBorder="1"/>
    <xf numFmtId="0" fontId="24" fillId="22" borderId="20" xfId="0" applyFont="1" applyFill="1" applyBorder="1"/>
    <xf numFmtId="0" fontId="24" fillId="22" borderId="0" xfId="0" applyFont="1" applyFill="1"/>
    <xf numFmtId="0" fontId="24" fillId="22" borderId="8" xfId="0" applyFont="1" applyFill="1" applyBorder="1"/>
    <xf numFmtId="165" fontId="0" fillId="19" borderId="13" xfId="0" applyNumberFormat="1" applyFill="1" applyBorder="1"/>
    <xf numFmtId="165" fontId="0" fillId="19" borderId="14" xfId="0" applyNumberFormat="1" applyFill="1" applyBorder="1"/>
    <xf numFmtId="165" fontId="18" fillId="6" borderId="0" xfId="0" applyNumberFormat="1" applyFont="1" applyFill="1"/>
    <xf numFmtId="10" fontId="0" fillId="0" borderId="8" xfId="0" applyNumberFormat="1" applyBorder="1"/>
    <xf numFmtId="165" fontId="0" fillId="0" borderId="0" xfId="1" applyFont="1" applyBorder="1"/>
    <xf numFmtId="165" fontId="0" fillId="0" borderId="8" xfId="1" applyFont="1" applyBorder="1"/>
    <xf numFmtId="170" fontId="0" fillId="0" borderId="22" xfId="0" applyNumberFormat="1" applyBorder="1"/>
    <xf numFmtId="165" fontId="0" fillId="0" borderId="22" xfId="1" applyFont="1" applyBorder="1"/>
    <xf numFmtId="165" fontId="0" fillId="0" borderId="23" xfId="1" applyFont="1" applyBorder="1"/>
    <xf numFmtId="2" fontId="0" fillId="0" borderId="8" xfId="0" applyNumberFormat="1" applyBorder="1"/>
    <xf numFmtId="0" fontId="8" fillId="0" borderId="0" xfId="0" applyFont="1"/>
    <xf numFmtId="10" fontId="0" fillId="0" borderId="22" xfId="0" applyNumberFormat="1" applyBorder="1"/>
    <xf numFmtId="165" fontId="0" fillId="0" borderId="22" xfId="0" applyNumberFormat="1" applyBorder="1"/>
    <xf numFmtId="0" fontId="26" fillId="0" borderId="0" xfId="0" applyFont="1"/>
    <xf numFmtId="10" fontId="0" fillId="0" borderId="0" xfId="2" applyNumberFormat="1" applyFont="1" applyBorder="1"/>
    <xf numFmtId="2" fontId="0" fillId="0" borderId="0" xfId="2" applyNumberFormat="1" applyFont="1" applyFill="1" applyBorder="1"/>
    <xf numFmtId="166" fontId="0" fillId="0" borderId="0" xfId="1" applyNumberFormat="1" applyFont="1" applyFill="1" applyBorder="1"/>
    <xf numFmtId="166" fontId="0" fillId="0" borderId="0" xfId="1" applyNumberFormat="1" applyFont="1" applyBorder="1"/>
    <xf numFmtId="10" fontId="0" fillId="0" borderId="23" xfId="2" applyNumberFormat="1" applyFont="1" applyBorder="1"/>
    <xf numFmtId="0" fontId="32" fillId="0" borderId="0" xfId="0" applyFont="1" applyAlignment="1">
      <alignment vertical="center"/>
    </xf>
    <xf numFmtId="166" fontId="2" fillId="0" borderId="0" xfId="1" applyNumberFormat="1" applyFont="1"/>
    <xf numFmtId="166" fontId="2" fillId="0" borderId="8" xfId="1" applyNumberFormat="1" applyFont="1" applyBorder="1"/>
    <xf numFmtId="166" fontId="2" fillId="0" borderId="0" xfId="1" applyNumberFormat="1" applyFont="1" applyFill="1"/>
    <xf numFmtId="166" fontId="0" fillId="0" borderId="14" xfId="1" applyNumberFormat="1" applyFont="1" applyBorder="1"/>
    <xf numFmtId="0" fontId="19" fillId="0" borderId="0" xfId="0" applyFont="1"/>
    <xf numFmtId="166" fontId="19" fillId="0" borderId="0" xfId="1" applyNumberFormat="1" applyFont="1" applyBorder="1"/>
    <xf numFmtId="165" fontId="2" fillId="0" borderId="0" xfId="0" applyNumberFormat="1" applyFont="1"/>
    <xf numFmtId="166" fontId="0" fillId="0" borderId="52" xfId="1" applyNumberFormat="1" applyFont="1" applyBorder="1"/>
    <xf numFmtId="9" fontId="0" fillId="0" borderId="22" xfId="0" applyNumberFormat="1" applyBorder="1"/>
    <xf numFmtId="9" fontId="0" fillId="0" borderId="23" xfId="0" applyNumberFormat="1" applyBorder="1"/>
    <xf numFmtId="3" fontId="2" fillId="25" borderId="0" xfId="0" applyNumberFormat="1" applyFont="1" applyFill="1"/>
    <xf numFmtId="3" fontId="2" fillId="2" borderId="0" xfId="0" applyNumberFormat="1" applyFont="1" applyFill="1"/>
    <xf numFmtId="9" fontId="0" fillId="0" borderId="0" xfId="2" applyFont="1"/>
    <xf numFmtId="171" fontId="0" fillId="0" borderId="0" xfId="0" applyNumberFormat="1"/>
    <xf numFmtId="172" fontId="0" fillId="0" borderId="0" xfId="0" applyNumberFormat="1"/>
    <xf numFmtId="0" fontId="2" fillId="2" borderId="0" xfId="0" applyFont="1" applyFill="1"/>
    <xf numFmtId="173" fontId="2" fillId="0" borderId="0" xfId="1" applyNumberFormat="1" applyFont="1"/>
    <xf numFmtId="10" fontId="13" fillId="2" borderId="5" xfId="0" applyNumberFormat="1" applyFont="1" applyFill="1" applyBorder="1"/>
    <xf numFmtId="9" fontId="13" fillId="2" borderId="5" xfId="0" applyNumberFormat="1" applyFont="1" applyFill="1" applyBorder="1"/>
    <xf numFmtId="0" fontId="17" fillId="13" borderId="16" xfId="0" applyFont="1" applyFill="1" applyBorder="1" applyAlignment="1">
      <alignment horizontal="center"/>
    </xf>
    <xf numFmtId="0" fontId="17" fillId="13" borderId="46" xfId="0" applyFont="1" applyFill="1" applyBorder="1" applyAlignment="1">
      <alignment horizontal="center"/>
    </xf>
    <xf numFmtId="0" fontId="0" fillId="0" borderId="24" xfId="0" applyBorder="1"/>
    <xf numFmtId="0" fontId="9" fillId="0" borderId="16" xfId="0" applyFont="1" applyBorder="1" applyAlignment="1">
      <alignment horizontal="center"/>
    </xf>
    <xf numFmtId="2" fontId="0" fillId="0" borderId="0" xfId="2" applyNumberFormat="1" applyFont="1"/>
    <xf numFmtId="0" fontId="9" fillId="0" borderId="14" xfId="0" applyFont="1" applyBorder="1"/>
    <xf numFmtId="0" fontId="16" fillId="0" borderId="32" xfId="0" applyFont="1" applyBorder="1"/>
    <xf numFmtId="0" fontId="0" fillId="0" borderId="0" xfId="0" applyAlignment="1">
      <alignment horizontal="center"/>
    </xf>
    <xf numFmtId="165" fontId="5" fillId="0" borderId="0" xfId="0" applyNumberFormat="1" applyFont="1"/>
    <xf numFmtId="174" fontId="38" fillId="0" borderId="4" xfId="0" applyNumberFormat="1" applyFont="1" applyBorder="1"/>
    <xf numFmtId="0" fontId="11" fillId="0" borderId="0" xfId="0" applyFont="1"/>
    <xf numFmtId="175" fontId="36" fillId="10" borderId="24" xfId="0" applyNumberFormat="1" applyFont="1" applyFill="1" applyBorder="1"/>
    <xf numFmtId="0" fontId="13" fillId="0" borderId="24" xfId="0" applyFont="1" applyBorder="1"/>
    <xf numFmtId="176" fontId="37" fillId="2" borderId="24" xfId="3" applyNumberFormat="1" applyFont="1" applyFill="1" applyBorder="1"/>
    <xf numFmtId="177" fontId="0" fillId="0" borderId="24" xfId="0" applyNumberFormat="1" applyBorder="1"/>
    <xf numFmtId="178" fontId="0" fillId="0" borderId="24" xfId="0" applyNumberFormat="1" applyBorder="1"/>
    <xf numFmtId="172" fontId="13" fillId="0" borderId="5" xfId="0" applyNumberFormat="1" applyFont="1" applyBorder="1"/>
    <xf numFmtId="0" fontId="0" fillId="2" borderId="0" xfId="0" applyFill="1"/>
    <xf numFmtId="0" fontId="9" fillId="7" borderId="57" xfId="0" applyFont="1" applyFill="1" applyBorder="1"/>
    <xf numFmtId="167" fontId="9" fillId="7" borderId="57" xfId="0" applyNumberFormat="1" applyFont="1" applyFill="1" applyBorder="1"/>
    <xf numFmtId="177" fontId="0" fillId="0" borderId="0" xfId="0" applyNumberFormat="1"/>
    <xf numFmtId="167" fontId="0" fillId="0" borderId="0" xfId="0" applyNumberFormat="1"/>
    <xf numFmtId="166" fontId="13" fillId="0" borderId="0" xfId="0" applyNumberFormat="1" applyFont="1"/>
    <xf numFmtId="0" fontId="3" fillId="0" borderId="0" xfId="0" applyFont="1"/>
    <xf numFmtId="3" fontId="3" fillId="0" borderId="0" xfId="0" applyNumberFormat="1" applyFont="1"/>
    <xf numFmtId="165" fontId="0" fillId="0" borderId="16" xfId="0" applyNumberFormat="1" applyBorder="1"/>
    <xf numFmtId="173" fontId="2" fillId="0" borderId="0" xfId="1" applyNumberFormat="1" applyFont="1" applyBorder="1"/>
    <xf numFmtId="0" fontId="2" fillId="0" borderId="20" xfId="0" applyFont="1" applyBorder="1"/>
    <xf numFmtId="166" fontId="2" fillId="0" borderId="20" xfId="0" applyNumberFormat="1" applyFont="1" applyBorder="1"/>
    <xf numFmtId="165" fontId="2" fillId="0" borderId="20" xfId="0" applyNumberFormat="1" applyFont="1" applyBorder="1"/>
    <xf numFmtId="3" fontId="2" fillId="0" borderId="20" xfId="0" applyNumberFormat="1" applyFont="1" applyBorder="1"/>
    <xf numFmtId="173" fontId="2" fillId="0" borderId="20" xfId="1" applyNumberFormat="1" applyFont="1" applyBorder="1"/>
    <xf numFmtId="165" fontId="2" fillId="0" borderId="20" xfId="1" applyFont="1" applyBorder="1"/>
    <xf numFmtId="166" fontId="0" fillId="0" borderId="20" xfId="1" applyNumberFormat="1" applyFont="1" applyBorder="1"/>
    <xf numFmtId="0" fontId="19" fillId="0" borderId="20" xfId="0" applyFont="1" applyBorder="1"/>
    <xf numFmtId="166" fontId="2" fillId="0" borderId="20" xfId="1" applyNumberFormat="1" applyFont="1" applyBorder="1"/>
    <xf numFmtId="173" fontId="2" fillId="0" borderId="21" xfId="1" applyNumberFormat="1" applyFont="1" applyBorder="1"/>
    <xf numFmtId="166" fontId="2" fillId="0" borderId="0" xfId="1" applyNumberFormat="1" applyFont="1" applyFill="1" applyBorder="1"/>
    <xf numFmtId="0" fontId="2" fillId="0" borderId="42" xfId="0" applyFont="1" applyBorder="1"/>
    <xf numFmtId="166" fontId="2" fillId="0" borderId="42" xfId="1" applyNumberFormat="1" applyFont="1" applyBorder="1"/>
    <xf numFmtId="165" fontId="2" fillId="0" borderId="59" xfId="1" applyFont="1" applyBorder="1"/>
    <xf numFmtId="165" fontId="2" fillId="0" borderId="42" xfId="1" applyFont="1" applyBorder="1"/>
    <xf numFmtId="165" fontId="2" fillId="0" borderId="59" xfId="0" applyNumberFormat="1" applyFont="1" applyBorder="1"/>
    <xf numFmtId="165" fontId="2" fillId="0" borderId="42" xfId="0" applyNumberFormat="1" applyFont="1" applyBorder="1"/>
    <xf numFmtId="3" fontId="2" fillId="0" borderId="59" xfId="0" applyNumberFormat="1" applyFont="1" applyBorder="1"/>
    <xf numFmtId="3" fontId="2" fillId="0" borderId="42" xfId="0" applyNumberFormat="1" applyFont="1" applyBorder="1"/>
    <xf numFmtId="3" fontId="31" fillId="0" borderId="0" xfId="0" applyNumberFormat="1" applyFont="1"/>
    <xf numFmtId="0" fontId="31" fillId="24" borderId="0" xfId="0" applyFont="1" applyFill="1"/>
    <xf numFmtId="3" fontId="31" fillId="24" borderId="0" xfId="0" applyNumberFormat="1" applyFont="1" applyFill="1"/>
    <xf numFmtId="0" fontId="31" fillId="0" borderId="0" xfId="0" applyFont="1"/>
    <xf numFmtId="0" fontId="33" fillId="0" borderId="0" xfId="0" applyFont="1"/>
    <xf numFmtId="0" fontId="30" fillId="23" borderId="0" xfId="0" applyFont="1" applyFill="1"/>
    <xf numFmtId="3" fontId="33" fillId="0" borderId="0" xfId="0" applyNumberFormat="1" applyFont="1"/>
    <xf numFmtId="0" fontId="39" fillId="24" borderId="0" xfId="0" applyFont="1" applyFill="1"/>
    <xf numFmtId="166" fontId="3" fillId="4" borderId="6" xfId="1" applyNumberFormat="1" applyFont="1" applyFill="1" applyBorder="1"/>
    <xf numFmtId="166" fontId="3" fillId="4" borderId="37" xfId="1" applyNumberFormat="1" applyFont="1" applyFill="1" applyBorder="1"/>
    <xf numFmtId="166" fontId="3" fillId="0" borderId="42" xfId="1" applyNumberFormat="1" applyFont="1" applyBorder="1"/>
    <xf numFmtId="0" fontId="2" fillId="0" borderId="14" xfId="0" applyFont="1" applyBorder="1"/>
    <xf numFmtId="0" fontId="2" fillId="0" borderId="16" xfId="0" applyFont="1" applyBorder="1"/>
    <xf numFmtId="166" fontId="3" fillId="0" borderId="0" xfId="1" applyNumberFormat="1" applyFont="1" applyBorder="1"/>
    <xf numFmtId="166" fontId="3" fillId="0" borderId="8" xfId="1" applyNumberFormat="1" applyFont="1" applyBorder="1"/>
    <xf numFmtId="0" fontId="9" fillId="0" borderId="59" xfId="0" applyFont="1" applyBorder="1"/>
    <xf numFmtId="166" fontId="3" fillId="0" borderId="60" xfId="1" applyNumberFormat="1" applyFont="1" applyBorder="1"/>
    <xf numFmtId="0" fontId="9" fillId="4" borderId="61" xfId="0" applyFont="1" applyFill="1" applyBorder="1"/>
    <xf numFmtId="166" fontId="3" fillId="4" borderId="62" xfId="1" applyNumberFormat="1" applyFont="1" applyFill="1" applyBorder="1"/>
    <xf numFmtId="0" fontId="31" fillId="0" borderId="20" xfId="0" applyFont="1" applyBorder="1"/>
    <xf numFmtId="166" fontId="31" fillId="0" borderId="0" xfId="1" applyNumberFormat="1" applyFont="1" applyBorder="1"/>
    <xf numFmtId="166" fontId="31" fillId="0" borderId="8" xfId="1" applyNumberFormat="1" applyFont="1" applyBorder="1"/>
    <xf numFmtId="0" fontId="31" fillId="24" borderId="20" xfId="0" applyFont="1" applyFill="1" applyBorder="1"/>
    <xf numFmtId="166" fontId="31" fillId="24" borderId="0" xfId="1" applyNumberFormat="1" applyFont="1" applyFill="1" applyBorder="1"/>
    <xf numFmtId="166" fontId="31" fillId="24" borderId="8" xfId="1" applyNumberFormat="1" applyFont="1" applyFill="1" applyBorder="1"/>
    <xf numFmtId="166" fontId="31" fillId="0" borderId="0" xfId="1" applyNumberFormat="1" applyFont="1" applyFill="1" applyBorder="1"/>
    <xf numFmtId="166" fontId="31" fillId="0" borderId="8" xfId="1" applyNumberFormat="1" applyFont="1" applyFill="1" applyBorder="1"/>
    <xf numFmtId="166" fontId="3" fillId="4" borderId="58" xfId="1" applyNumberFormat="1" applyFont="1" applyFill="1" applyBorder="1"/>
    <xf numFmtId="166" fontId="3" fillId="4" borderId="9" xfId="1" applyNumberFormat="1" applyFont="1" applyFill="1" applyBorder="1"/>
    <xf numFmtId="0" fontId="33" fillId="0" borderId="21" xfId="0" applyFont="1" applyBorder="1"/>
    <xf numFmtId="166" fontId="33" fillId="0" borderId="22" xfId="1" applyNumberFormat="1" applyFont="1" applyFill="1" applyBorder="1"/>
    <xf numFmtId="166" fontId="33" fillId="0" borderId="23" xfId="1" applyNumberFormat="1" applyFont="1" applyFill="1" applyBorder="1"/>
    <xf numFmtId="0" fontId="3" fillId="0" borderId="42" xfId="0" applyFont="1" applyBorder="1"/>
    <xf numFmtId="3" fontId="3" fillId="0" borderId="42" xfId="0" applyNumberFormat="1" applyFont="1" applyBorder="1"/>
    <xf numFmtId="0" fontId="0" fillId="0" borderId="0" xfId="0" applyAlignment="1">
      <alignment wrapText="1"/>
    </xf>
    <xf numFmtId="0" fontId="6" fillId="3" borderId="42" xfId="0" applyFont="1" applyFill="1" applyBorder="1"/>
    <xf numFmtId="0" fontId="34" fillId="3" borderId="0" xfId="0" applyFont="1" applyFill="1"/>
    <xf numFmtId="0" fontId="10" fillId="3" borderId="0" xfId="0" applyFont="1" applyFill="1"/>
    <xf numFmtId="1" fontId="0" fillId="0" borderId="0" xfId="0" applyNumberFormat="1"/>
    <xf numFmtId="1" fontId="0" fillId="0" borderId="22" xfId="1" applyNumberFormat="1" applyFont="1" applyBorder="1"/>
    <xf numFmtId="1" fontId="0" fillId="0" borderId="22" xfId="0" applyNumberFormat="1" applyBorder="1"/>
    <xf numFmtId="166" fontId="0" fillId="0" borderId="8" xfId="0" applyNumberFormat="1" applyBorder="1"/>
    <xf numFmtId="166" fontId="0" fillId="2" borderId="8" xfId="0" applyNumberFormat="1" applyFill="1" applyBorder="1"/>
    <xf numFmtId="0" fontId="5" fillId="3" borderId="34" xfId="0" applyFont="1" applyFill="1" applyBorder="1"/>
    <xf numFmtId="0" fontId="0" fillId="4" borderId="33" xfId="0" applyFill="1" applyBorder="1" applyAlignment="1">
      <alignment wrapText="1"/>
    </xf>
    <xf numFmtId="0" fontId="0" fillId="0" borderId="24" xfId="0" applyBorder="1" applyAlignment="1">
      <alignment wrapText="1"/>
    </xf>
    <xf numFmtId="0" fontId="0" fillId="0" borderId="0" xfId="0" applyAlignment="1">
      <alignment horizontal="center" vertical="center"/>
    </xf>
    <xf numFmtId="9" fontId="0" fillId="0" borderId="0" xfId="0" applyNumberFormat="1" applyAlignment="1">
      <alignment horizontal="center" vertical="center"/>
    </xf>
    <xf numFmtId="10" fontId="0" fillId="2" borderId="0" xfId="2" applyNumberFormat="1" applyFont="1" applyFill="1"/>
    <xf numFmtId="172" fontId="0" fillId="2" borderId="0" xfId="0" applyNumberFormat="1" applyFill="1"/>
    <xf numFmtId="3" fontId="2" fillId="2" borderId="20" xfId="0" applyNumberFormat="1" applyFont="1" applyFill="1" applyBorder="1"/>
    <xf numFmtId="0" fontId="41" fillId="9" borderId="20" xfId="0" applyFont="1" applyFill="1" applyBorder="1"/>
    <xf numFmtId="0" fontId="41" fillId="9" borderId="0" xfId="0" applyFont="1" applyFill="1"/>
    <xf numFmtId="0" fontId="41" fillId="9" borderId="29" xfId="0" applyFont="1" applyFill="1" applyBorder="1" applyAlignment="1">
      <alignment wrapText="1"/>
    </xf>
    <xf numFmtId="0" fontId="41" fillId="9" borderId="29" xfId="0" applyFont="1" applyFill="1" applyBorder="1"/>
    <xf numFmtId="0" fontId="41" fillId="9" borderId="30" xfId="0" applyFont="1" applyFill="1" applyBorder="1"/>
    <xf numFmtId="0" fontId="42" fillId="0" borderId="1" xfId="0" applyFont="1" applyBorder="1"/>
    <xf numFmtId="0" fontId="43" fillId="0" borderId="1" xfId="0" applyFont="1" applyBorder="1"/>
    <xf numFmtId="0" fontId="44" fillId="0" borderId="1" xfId="0" applyFont="1" applyBorder="1"/>
    <xf numFmtId="165" fontId="43" fillId="10" borderId="2" xfId="1" applyFont="1" applyFill="1" applyBorder="1"/>
    <xf numFmtId="3" fontId="42" fillId="0" borderId="29" xfId="0" applyNumberFormat="1" applyFont="1" applyBorder="1"/>
    <xf numFmtId="0" fontId="42" fillId="0" borderId="30" xfId="0" applyFont="1" applyBorder="1"/>
    <xf numFmtId="0" fontId="42" fillId="0" borderId="49" xfId="0" applyFont="1" applyBorder="1"/>
    <xf numFmtId="3" fontId="42" fillId="0" borderId="0" xfId="0" applyNumberFormat="1" applyFont="1"/>
    <xf numFmtId="0" fontId="42" fillId="0" borderId="8" xfId="0" applyFont="1" applyBorder="1"/>
    <xf numFmtId="3" fontId="42" fillId="0" borderId="31" xfId="0" applyNumberFormat="1" applyFont="1" applyBorder="1"/>
    <xf numFmtId="0" fontId="42" fillId="0" borderId="32" xfId="0" applyFont="1" applyBorder="1"/>
    <xf numFmtId="0" fontId="41" fillId="9" borderId="17" xfId="0" applyFont="1" applyFill="1" applyBorder="1"/>
    <xf numFmtId="0" fontId="41" fillId="9" borderId="18" xfId="0" applyFont="1" applyFill="1" applyBorder="1"/>
    <xf numFmtId="0" fontId="41" fillId="9" borderId="19" xfId="0" applyFont="1" applyFill="1" applyBorder="1"/>
    <xf numFmtId="0" fontId="42" fillId="0" borderId="17" xfId="0" applyFont="1" applyBorder="1"/>
    <xf numFmtId="0" fontId="43" fillId="0" borderId="39" xfId="0" applyFont="1" applyBorder="1"/>
    <xf numFmtId="10" fontId="42" fillId="0" borderId="39" xfId="0" applyNumberFormat="1" applyFont="1" applyBorder="1"/>
    <xf numFmtId="0" fontId="42" fillId="0" borderId="18" xfId="0" applyFont="1" applyBorder="1"/>
    <xf numFmtId="0" fontId="42" fillId="0" borderId="19" xfId="0" applyFont="1" applyBorder="1"/>
    <xf numFmtId="0" fontId="42" fillId="0" borderId="39" xfId="0" applyFont="1" applyBorder="1"/>
    <xf numFmtId="0" fontId="46" fillId="11" borderId="54" xfId="0" applyFont="1" applyFill="1" applyBorder="1"/>
    <xf numFmtId="0" fontId="46" fillId="11" borderId="31" xfId="0" applyFont="1" applyFill="1" applyBorder="1"/>
    <xf numFmtId="0" fontId="46" fillId="11" borderId="32" xfId="0" applyFont="1" applyFill="1" applyBorder="1"/>
    <xf numFmtId="165" fontId="43" fillId="0" borderId="2" xfId="1" applyFont="1" applyFill="1" applyBorder="1"/>
    <xf numFmtId="3" fontId="45" fillId="0" borderId="11" xfId="0" applyNumberFormat="1" applyFont="1" applyBorder="1"/>
    <xf numFmtId="168" fontId="42" fillId="0" borderId="30" xfId="0" applyNumberFormat="1" applyFont="1" applyBorder="1"/>
    <xf numFmtId="0" fontId="44" fillId="0" borderId="39" xfId="0" applyFont="1" applyBorder="1"/>
    <xf numFmtId="169" fontId="9" fillId="7" borderId="27" xfId="0" applyNumberFormat="1" applyFont="1" applyFill="1" applyBorder="1"/>
    <xf numFmtId="0" fontId="9" fillId="7" borderId="24" xfId="0" applyFont="1" applyFill="1" applyBorder="1"/>
    <xf numFmtId="173" fontId="43" fillId="0" borderId="1" xfId="1" applyNumberFormat="1" applyFont="1" applyBorder="1"/>
    <xf numFmtId="2" fontId="0" fillId="0" borderId="24" xfId="0" applyNumberFormat="1" applyBorder="1" applyAlignment="1">
      <alignment horizontal="center"/>
    </xf>
    <xf numFmtId="0" fontId="0" fillId="0" borderId="24" xfId="0" applyBorder="1" applyAlignment="1">
      <alignment horizontal="right" vertical="center"/>
    </xf>
    <xf numFmtId="178" fontId="0" fillId="0" borderId="25" xfId="0" applyNumberFormat="1" applyBorder="1"/>
    <xf numFmtId="0" fontId="15" fillId="9" borderId="57" xfId="0" applyFont="1" applyFill="1" applyBorder="1"/>
    <xf numFmtId="0" fontId="15" fillId="9" borderId="57" xfId="0" applyFont="1" applyFill="1" applyBorder="1" applyAlignment="1">
      <alignment wrapText="1"/>
    </xf>
    <xf numFmtId="0" fontId="15" fillId="9" borderId="21" xfId="0" applyFont="1" applyFill="1" applyBorder="1" applyAlignment="1">
      <alignment wrapText="1"/>
    </xf>
    <xf numFmtId="175" fontId="36" fillId="10" borderId="46" xfId="0" applyNumberFormat="1" applyFont="1" applyFill="1" applyBorder="1"/>
    <xf numFmtId="0" fontId="13" fillId="0" borderId="46" xfId="0" applyFont="1" applyBorder="1"/>
    <xf numFmtId="178" fontId="0" fillId="0" borderId="46" xfId="0" applyNumberFormat="1" applyBorder="1"/>
    <xf numFmtId="178" fontId="0" fillId="0" borderId="13" xfId="0" applyNumberFormat="1" applyBorder="1"/>
    <xf numFmtId="165" fontId="0" fillId="0" borderId="16" xfId="1" applyFont="1" applyBorder="1"/>
    <xf numFmtId="9" fontId="0" fillId="0" borderId="8" xfId="2" applyFont="1" applyBorder="1"/>
    <xf numFmtId="9" fontId="0" fillId="0" borderId="0" xfId="2" applyFont="1" applyBorder="1"/>
    <xf numFmtId="3" fontId="3" fillId="0" borderId="20" xfId="0" applyNumberFormat="1" applyFont="1" applyBorder="1"/>
    <xf numFmtId="3" fontId="3" fillId="2" borderId="20" xfId="0" applyNumberFormat="1" applyFont="1" applyFill="1" applyBorder="1"/>
    <xf numFmtId="0" fontId="2" fillId="27" borderId="0" xfId="0" applyFont="1" applyFill="1"/>
    <xf numFmtId="9" fontId="0" fillId="0" borderId="1" xfId="2" applyFont="1" applyBorder="1"/>
    <xf numFmtId="173" fontId="0" fillId="0" borderId="1" xfId="1" applyNumberFormat="1" applyFont="1" applyBorder="1"/>
    <xf numFmtId="3" fontId="2" fillId="27" borderId="20" xfId="0" applyNumberFormat="1" applyFont="1" applyFill="1" applyBorder="1"/>
    <xf numFmtId="3" fontId="2" fillId="27" borderId="0" xfId="0" applyNumberFormat="1" applyFont="1" applyFill="1"/>
    <xf numFmtId="43" fontId="0" fillId="0" borderId="0" xfId="0" applyNumberFormat="1"/>
    <xf numFmtId="173" fontId="0" fillId="0" borderId="24" xfId="1" applyNumberFormat="1" applyFont="1" applyBorder="1"/>
    <xf numFmtId="173" fontId="0" fillId="0" borderId="0" xfId="1" applyNumberFormat="1" applyFont="1"/>
    <xf numFmtId="168" fontId="0" fillId="0" borderId="0" xfId="0" applyNumberFormat="1"/>
    <xf numFmtId="181" fontId="0" fillId="0" borderId="0" xfId="0" applyNumberFormat="1"/>
    <xf numFmtId="165" fontId="0" fillId="0" borderId="24" xfId="1" applyFont="1" applyBorder="1"/>
    <xf numFmtId="43" fontId="0" fillId="0" borderId="24" xfId="0" applyNumberFormat="1" applyBorder="1"/>
    <xf numFmtId="168" fontId="0" fillId="0" borderId="24" xfId="0" applyNumberFormat="1" applyBorder="1"/>
    <xf numFmtId="8" fontId="0" fillId="0" borderId="0" xfId="0" applyNumberFormat="1"/>
    <xf numFmtId="9" fontId="8" fillId="0" borderId="0" xfId="2" applyFont="1"/>
    <xf numFmtId="182" fontId="2" fillId="0" borderId="0" xfId="1" applyNumberFormat="1" applyFont="1"/>
    <xf numFmtId="0" fontId="9" fillId="0" borderId="65" xfId="0" applyFont="1" applyBorder="1"/>
    <xf numFmtId="3" fontId="0" fillId="0" borderId="66" xfId="0" applyNumberFormat="1" applyBorder="1"/>
    <xf numFmtId="0" fontId="9" fillId="0" borderId="67" xfId="0" applyFont="1" applyBorder="1"/>
    <xf numFmtId="3" fontId="0" fillId="0" borderId="68" xfId="0" applyNumberFormat="1" applyBorder="1"/>
    <xf numFmtId="0" fontId="9" fillId="0" borderId="63" xfId="0" applyFont="1" applyBorder="1"/>
    <xf numFmtId="0" fontId="0" fillId="0" borderId="69" xfId="0" applyBorder="1" applyAlignment="1">
      <alignment horizontal="right" wrapText="1"/>
    </xf>
    <xf numFmtId="0" fontId="0" fillId="0" borderId="65" xfId="0" applyBorder="1"/>
    <xf numFmtId="0" fontId="5" fillId="29" borderId="70" xfId="0" applyFont="1" applyFill="1" applyBorder="1" applyAlignment="1">
      <alignment horizontal="center"/>
    </xf>
    <xf numFmtId="0" fontId="0" fillId="28" borderId="66" xfId="0" applyFill="1" applyBorder="1" applyAlignment="1">
      <alignment horizontal="center"/>
    </xf>
    <xf numFmtId="166" fontId="0" fillId="28" borderId="68" xfId="0" applyNumberFormat="1" applyFill="1" applyBorder="1"/>
    <xf numFmtId="10" fontId="0" fillId="28" borderId="68" xfId="2" applyNumberFormat="1" applyFont="1" applyFill="1" applyBorder="1"/>
    <xf numFmtId="173" fontId="0" fillId="0" borderId="0" xfId="1" applyNumberFormat="1" applyFont="1" applyBorder="1"/>
    <xf numFmtId="0" fontId="0" fillId="28" borderId="68" xfId="0" applyFill="1" applyBorder="1"/>
    <xf numFmtId="2" fontId="0" fillId="28" borderId="68" xfId="0" applyNumberFormat="1" applyFill="1" applyBorder="1"/>
    <xf numFmtId="10" fontId="0" fillId="0" borderId="42" xfId="2" applyNumberFormat="1" applyFont="1" applyBorder="1"/>
    <xf numFmtId="0" fontId="0" fillId="28" borderId="69" xfId="0" applyFill="1" applyBorder="1"/>
    <xf numFmtId="2" fontId="0" fillId="0" borderId="24" xfId="0" applyNumberFormat="1" applyBorder="1"/>
    <xf numFmtId="0" fontId="18" fillId="7" borderId="24" xfId="0" applyFont="1" applyFill="1" applyBorder="1" applyAlignment="1">
      <alignment horizontal="center"/>
    </xf>
    <xf numFmtId="2" fontId="0" fillId="0" borderId="46" xfId="0" applyNumberFormat="1" applyBorder="1"/>
    <xf numFmtId="165" fontId="0" fillId="0" borderId="46" xfId="1" applyFont="1" applyBorder="1"/>
    <xf numFmtId="165" fontId="0" fillId="28" borderId="74" xfId="0" applyNumberFormat="1" applyFill="1" applyBorder="1"/>
    <xf numFmtId="0" fontId="0" fillId="28" borderId="70" xfId="0" applyFill="1" applyBorder="1" applyAlignment="1">
      <alignment horizontal="center"/>
    </xf>
    <xf numFmtId="10" fontId="0" fillId="0" borderId="68" xfId="2" applyNumberFormat="1" applyFont="1" applyBorder="1"/>
    <xf numFmtId="0" fontId="0" fillId="0" borderId="68" xfId="0" applyBorder="1"/>
    <xf numFmtId="4" fontId="0" fillId="0" borderId="0" xfId="0" applyNumberFormat="1"/>
    <xf numFmtId="4" fontId="0" fillId="0" borderId="68" xfId="0" applyNumberFormat="1" applyBorder="1"/>
    <xf numFmtId="43" fontId="0" fillId="0" borderId="42" xfId="0" applyNumberFormat="1" applyBorder="1"/>
    <xf numFmtId="43" fontId="0" fillId="0" borderId="69" xfId="0" applyNumberFormat="1" applyBorder="1"/>
    <xf numFmtId="0" fontId="0" fillId="30" borderId="70" xfId="0" applyFill="1" applyBorder="1" applyAlignment="1">
      <alignment horizontal="center"/>
    </xf>
    <xf numFmtId="0" fontId="0" fillId="30" borderId="66" xfId="0" applyFill="1" applyBorder="1" applyAlignment="1">
      <alignment horizontal="center"/>
    </xf>
    <xf numFmtId="4" fontId="0" fillId="0" borderId="42" xfId="0" applyNumberFormat="1" applyBorder="1"/>
    <xf numFmtId="4" fontId="0" fillId="0" borderId="69" xfId="0" applyNumberFormat="1" applyBorder="1"/>
    <xf numFmtId="0" fontId="0" fillId="0" borderId="75" xfId="0" applyBorder="1"/>
    <xf numFmtId="0" fontId="9" fillId="0" borderId="76" xfId="0" applyFont="1" applyBorder="1"/>
    <xf numFmtId="0" fontId="9" fillId="0" borderId="64" xfId="0" applyFont="1" applyBorder="1"/>
    <xf numFmtId="0" fontId="0" fillId="10" borderId="1" xfId="0" applyFill="1" applyBorder="1"/>
    <xf numFmtId="0" fontId="0" fillId="10" borderId="1" xfId="0" applyFill="1" applyBorder="1" applyAlignment="1">
      <alignment readingOrder="1"/>
    </xf>
    <xf numFmtId="0" fontId="49" fillId="0" borderId="1" xfId="0" applyFont="1" applyBorder="1" applyAlignment="1">
      <alignment readingOrder="1"/>
    </xf>
    <xf numFmtId="3" fontId="0" fillId="0" borderId="1" xfId="0" applyNumberFormat="1" applyBorder="1"/>
    <xf numFmtId="0" fontId="48" fillId="0" borderId="1" xfId="0" applyFont="1" applyBorder="1" applyAlignment="1">
      <alignment readingOrder="1"/>
    </xf>
    <xf numFmtId="0" fontId="0" fillId="0" borderId="29" xfId="0" applyBorder="1"/>
    <xf numFmtId="0" fontId="50" fillId="32" borderId="22" xfId="0" applyFont="1" applyFill="1" applyBorder="1" applyAlignment="1">
      <alignment horizontal="left"/>
    </xf>
    <xf numFmtId="0" fontId="50" fillId="32" borderId="70" xfId="0" applyFont="1" applyFill="1" applyBorder="1" applyAlignment="1">
      <alignment horizontal="left"/>
    </xf>
    <xf numFmtId="0" fontId="0" fillId="0" borderId="26" xfId="0" applyBorder="1"/>
    <xf numFmtId="0" fontId="51" fillId="33" borderId="0" xfId="0" applyFont="1" applyFill="1" applyAlignment="1">
      <alignment horizontal="left"/>
    </xf>
    <xf numFmtId="0" fontId="52" fillId="33" borderId="26" xfId="0" applyFont="1" applyFill="1" applyBorder="1" applyAlignment="1">
      <alignment horizontal="left"/>
    </xf>
    <xf numFmtId="0" fontId="51" fillId="33" borderId="42" xfId="0" applyFont="1" applyFill="1" applyBorder="1" applyAlignment="1">
      <alignment horizontal="left"/>
    </xf>
    <xf numFmtId="0" fontId="53" fillId="32" borderId="70" xfId="0" applyFont="1" applyFill="1" applyBorder="1" applyAlignment="1">
      <alignment horizontal="right"/>
    </xf>
    <xf numFmtId="0" fontId="53" fillId="32" borderId="22" xfId="0" applyFont="1" applyFill="1" applyBorder="1" applyAlignment="1">
      <alignment horizontal="right"/>
    </xf>
    <xf numFmtId="9" fontId="0" fillId="34" borderId="0" xfId="0" applyNumberFormat="1" applyFill="1"/>
    <xf numFmtId="10" fontId="0" fillId="34" borderId="0" xfId="0" applyNumberFormat="1" applyFill="1"/>
    <xf numFmtId="0" fontId="54" fillId="0" borderId="0" xfId="0" applyFont="1" applyAlignment="1">
      <alignment vertical="top" wrapText="1"/>
    </xf>
    <xf numFmtId="8" fontId="0" fillId="0" borderId="42" xfId="0" applyNumberFormat="1" applyBorder="1"/>
    <xf numFmtId="0" fontId="48" fillId="0" borderId="77" xfId="0" applyFont="1" applyBorder="1" applyAlignment="1">
      <alignment readingOrder="1"/>
    </xf>
    <xf numFmtId="165" fontId="22" fillId="28" borderId="73" xfId="0" applyNumberFormat="1" applyFont="1" applyFill="1" applyBorder="1"/>
    <xf numFmtId="0" fontId="55" fillId="0" borderId="24" xfId="0" applyFont="1" applyBorder="1" applyAlignment="1">
      <alignment horizontal="center"/>
    </xf>
    <xf numFmtId="0" fontId="55" fillId="0" borderId="27" xfId="0" applyFont="1" applyBorder="1" applyAlignment="1">
      <alignment horizontal="center"/>
    </xf>
    <xf numFmtId="0" fontId="56" fillId="0" borderId="57" xfId="0" applyFont="1" applyBorder="1" applyAlignment="1">
      <alignment horizontal="center"/>
    </xf>
    <xf numFmtId="0" fontId="56" fillId="0" borderId="23" xfId="0" applyFont="1" applyBorder="1" applyAlignment="1">
      <alignment horizontal="center"/>
    </xf>
    <xf numFmtId="0" fontId="57" fillId="0" borderId="23" xfId="0" applyFont="1" applyBorder="1" applyAlignment="1">
      <alignment horizontal="center"/>
    </xf>
    <xf numFmtId="10" fontId="57" fillId="0" borderId="23" xfId="0" applyNumberFormat="1" applyFont="1" applyBorder="1" applyAlignment="1">
      <alignment horizontal="center"/>
    </xf>
    <xf numFmtId="0" fontId="57" fillId="0" borderId="0" xfId="0" applyFont="1" applyAlignment="1">
      <alignment horizontal="center"/>
    </xf>
    <xf numFmtId="165" fontId="2" fillId="0" borderId="0" xfId="1" applyFont="1" applyBorder="1"/>
    <xf numFmtId="43" fontId="2" fillId="0" borderId="0" xfId="0" applyNumberFormat="1" applyFont="1"/>
    <xf numFmtId="0" fontId="0" fillId="0" borderId="0" xfId="0" applyAlignment="1">
      <alignment horizontal="right"/>
    </xf>
    <xf numFmtId="172" fontId="58" fillId="0" borderId="0" xfId="0" applyNumberFormat="1" applyFont="1"/>
    <xf numFmtId="0" fontId="59" fillId="0" borderId="0" xfId="0" applyFont="1" applyAlignment="1">
      <alignment vertical="center"/>
    </xf>
    <xf numFmtId="14" fontId="59" fillId="0" borderId="0" xfId="0" applyNumberFormat="1" applyFont="1" applyAlignment="1">
      <alignment horizontal="right" vertical="center"/>
    </xf>
    <xf numFmtId="4" fontId="59" fillId="0" borderId="0" xfId="0" applyNumberFormat="1" applyFont="1" applyAlignment="1">
      <alignment vertical="center"/>
    </xf>
    <xf numFmtId="0" fontId="60" fillId="0" borderId="0" xfId="0" applyFont="1"/>
    <xf numFmtId="0" fontId="59" fillId="0" borderId="0" xfId="0" applyFont="1"/>
    <xf numFmtId="4" fontId="59" fillId="0" borderId="78" xfId="0" applyNumberFormat="1" applyFont="1" applyBorder="1" applyAlignment="1">
      <alignment horizontal="right" wrapText="1" readingOrder="1"/>
    </xf>
    <xf numFmtId="0" fontId="59" fillId="0" borderId="0" xfId="0" applyFont="1" applyAlignment="1">
      <alignment horizontal="right"/>
    </xf>
    <xf numFmtId="168" fontId="59" fillId="0" borderId="0" xfId="0" applyNumberFormat="1" applyFont="1" applyAlignment="1">
      <alignment horizontal="right"/>
    </xf>
    <xf numFmtId="4" fontId="59" fillId="0" borderId="0" xfId="0" applyNumberFormat="1" applyFont="1" applyAlignment="1">
      <alignment horizontal="right"/>
    </xf>
    <xf numFmtId="3" fontId="59" fillId="0" borderId="0" xfId="0" applyNumberFormat="1" applyFont="1" applyAlignment="1">
      <alignment horizontal="right"/>
    </xf>
    <xf numFmtId="0" fontId="61" fillId="0" borderId="39" xfId="0" applyFont="1" applyBorder="1"/>
    <xf numFmtId="0" fontId="59" fillId="0" borderId="35" xfId="0" applyFont="1" applyBorder="1"/>
    <xf numFmtId="0" fontId="59" fillId="0" borderId="18" xfId="0" applyFont="1" applyBorder="1"/>
    <xf numFmtId="0" fontId="59" fillId="0" borderId="39" xfId="0" applyFont="1" applyBorder="1"/>
    <xf numFmtId="0" fontId="62" fillId="0" borderId="3" xfId="0" applyFont="1" applyBorder="1"/>
    <xf numFmtId="4" fontId="59" fillId="0" borderId="4" xfId="0" applyNumberFormat="1" applyFont="1" applyBorder="1" applyAlignment="1">
      <alignment horizontal="right"/>
    </xf>
    <xf numFmtId="0" fontId="62" fillId="0" borderId="0" xfId="0" applyFont="1"/>
    <xf numFmtId="0" fontId="59" fillId="0" borderId="4" xfId="0" applyFont="1" applyBorder="1"/>
    <xf numFmtId="4" fontId="59" fillId="0" borderId="3" xfId="0" applyNumberFormat="1" applyFont="1" applyBorder="1"/>
    <xf numFmtId="0" fontId="59" fillId="0" borderId="3" xfId="0" applyFont="1" applyBorder="1" applyAlignment="1">
      <alignment horizontal="right"/>
    </xf>
    <xf numFmtId="0" fontId="59" fillId="0" borderId="3" xfId="0" applyFont="1" applyBorder="1"/>
    <xf numFmtId="4" fontId="59" fillId="0" borderId="40" xfId="0" applyNumberFormat="1" applyFont="1" applyBorder="1"/>
    <xf numFmtId="0" fontId="59" fillId="0" borderId="41" xfId="0" applyFont="1" applyBorder="1"/>
    <xf numFmtId="0" fontId="59" fillId="0" borderId="29" xfId="0" applyFont="1" applyBorder="1"/>
    <xf numFmtId="4" fontId="59" fillId="0" borderId="29" xfId="0" applyNumberFormat="1" applyFont="1" applyBorder="1" applyAlignment="1">
      <alignment horizontal="right"/>
    </xf>
    <xf numFmtId="4" fontId="59" fillId="0" borderId="41" xfId="0" applyNumberFormat="1" applyFont="1" applyBorder="1" applyAlignment="1">
      <alignment horizontal="right"/>
    </xf>
    <xf numFmtId="2" fontId="59" fillId="0" borderId="4" xfId="0" applyNumberFormat="1" applyFont="1" applyBorder="1" applyAlignment="1">
      <alignment horizontal="right"/>
    </xf>
    <xf numFmtId="0" fontId="62" fillId="0" borderId="0" xfId="0" applyFont="1" applyAlignment="1">
      <alignment horizontal="right"/>
    </xf>
    <xf numFmtId="0" fontId="64" fillId="0" borderId="4" xfId="0" applyFont="1" applyBorder="1" applyAlignment="1">
      <alignment horizontal="left"/>
    </xf>
    <xf numFmtId="0" fontId="59" fillId="0" borderId="0" xfId="0" applyFont="1" applyAlignment="1">
      <alignment horizontal="left"/>
    </xf>
    <xf numFmtId="0" fontId="59" fillId="2" borderId="0" xfId="0" applyFont="1" applyFill="1" applyAlignment="1">
      <alignment horizontal="right"/>
    </xf>
    <xf numFmtId="168" fontId="63" fillId="2" borderId="79" xfId="0" applyNumberFormat="1" applyFont="1" applyFill="1" applyBorder="1" applyAlignment="1">
      <alignment horizontal="right"/>
    </xf>
    <xf numFmtId="168" fontId="59" fillId="2" borderId="0" xfId="0" applyNumberFormat="1" applyFont="1" applyFill="1" applyAlignment="1">
      <alignment horizontal="right"/>
    </xf>
    <xf numFmtId="4" fontId="59" fillId="2" borderId="0" xfId="0" applyNumberFormat="1" applyFont="1" applyFill="1" applyAlignment="1">
      <alignment horizontal="right"/>
    </xf>
    <xf numFmtId="2" fontId="59" fillId="0" borderId="4" xfId="0" applyNumberFormat="1" applyFont="1" applyBorder="1"/>
    <xf numFmtId="0" fontId="65" fillId="16" borderId="0" xfId="0" applyFont="1" applyFill="1"/>
    <xf numFmtId="4" fontId="59" fillId="0" borderId="80" xfId="0" applyNumberFormat="1" applyFont="1" applyBorder="1"/>
    <xf numFmtId="0" fontId="59" fillId="0" borderId="81" xfId="0" applyFont="1" applyBorder="1"/>
    <xf numFmtId="169" fontId="59" fillId="0" borderId="0" xfId="0" applyNumberFormat="1" applyFont="1" applyAlignment="1">
      <alignment horizontal="right"/>
    </xf>
    <xf numFmtId="0" fontId="63" fillId="2" borderId="79" xfId="0" applyFont="1" applyFill="1" applyBorder="1" applyAlignment="1">
      <alignment horizontal="center"/>
    </xf>
    <xf numFmtId="0" fontId="59" fillId="0" borderId="78" xfId="0" applyFont="1" applyBorder="1" applyAlignment="1">
      <alignment horizontal="right" wrapText="1" readingOrder="1"/>
    </xf>
    <xf numFmtId="0" fontId="59" fillId="0" borderId="78" xfId="0" applyFont="1" applyBorder="1" applyAlignment="1">
      <alignment wrapText="1" readingOrder="1"/>
    </xf>
    <xf numFmtId="183" fontId="59" fillId="0" borderId="29" xfId="1" applyNumberFormat="1" applyFont="1" applyFill="1" applyBorder="1" applyAlignment="1" applyProtection="1">
      <alignment horizontal="right"/>
    </xf>
    <xf numFmtId="179" fontId="59" fillId="0" borderId="40" xfId="1" applyNumberFormat="1" applyFont="1" applyFill="1" applyBorder="1" applyAlignment="1" applyProtection="1">
      <alignment horizontal="right"/>
    </xf>
    <xf numFmtId="0" fontId="59" fillId="0" borderId="82" xfId="0" applyFont="1" applyBorder="1"/>
    <xf numFmtId="0" fontId="59" fillId="0" borderId="22" xfId="0" applyFont="1" applyBorder="1"/>
    <xf numFmtId="0" fontId="59" fillId="0" borderId="44" xfId="0" applyFont="1" applyBorder="1"/>
    <xf numFmtId="0" fontId="47" fillId="27" borderId="0" xfId="0" applyFont="1" applyFill="1"/>
    <xf numFmtId="168" fontId="47" fillId="27" borderId="0" xfId="0" applyNumberFormat="1" applyFont="1" applyFill="1"/>
    <xf numFmtId="4" fontId="47" fillId="27" borderId="0" xfId="0" applyNumberFormat="1" applyFont="1" applyFill="1"/>
    <xf numFmtId="0" fontId="66" fillId="27" borderId="0" xfId="0" applyFont="1" applyFill="1"/>
    <xf numFmtId="2" fontId="42" fillId="0" borderId="18" xfId="0" applyNumberFormat="1" applyFont="1" applyBorder="1"/>
    <xf numFmtId="2" fontId="13" fillId="0" borderId="22" xfId="0" applyNumberFormat="1" applyFont="1" applyBorder="1"/>
    <xf numFmtId="166" fontId="68" fillId="16" borderId="16" xfId="0" applyNumberFormat="1" applyFont="1" applyFill="1" applyBorder="1"/>
    <xf numFmtId="165" fontId="0" fillId="0" borderId="42" xfId="0" applyNumberFormat="1" applyBorder="1"/>
    <xf numFmtId="165" fontId="0" fillId="34" borderId="0" xfId="0" applyNumberFormat="1" applyFill="1"/>
    <xf numFmtId="10" fontId="0" fillId="2" borderId="4" xfId="0" applyNumberFormat="1" applyFill="1" applyBorder="1"/>
    <xf numFmtId="10" fontId="0" fillId="2" borderId="43" xfId="0" applyNumberFormat="1" applyFill="1" applyBorder="1"/>
    <xf numFmtId="165" fontId="0" fillId="2" borderId="45" xfId="0" applyNumberFormat="1" applyFill="1" applyBorder="1"/>
    <xf numFmtId="37" fontId="0" fillId="0" borderId="48" xfId="0" applyNumberFormat="1" applyBorder="1"/>
    <xf numFmtId="165" fontId="9" fillId="0" borderId="20" xfId="0" applyNumberFormat="1" applyFont="1" applyBorder="1" applyAlignment="1">
      <alignment horizontal="center" vertical="center"/>
    </xf>
    <xf numFmtId="173" fontId="0" fillId="0" borderId="8" xfId="1" applyNumberFormat="1" applyFont="1" applyBorder="1"/>
    <xf numFmtId="173" fontId="8" fillId="2" borderId="23" xfId="0" applyNumberFormat="1" applyFont="1" applyFill="1" applyBorder="1"/>
    <xf numFmtId="0" fontId="0" fillId="10" borderId="0" xfId="0" applyFill="1"/>
    <xf numFmtId="0" fontId="0" fillId="10" borderId="13" xfId="0" applyFill="1" applyBorder="1"/>
    <xf numFmtId="180" fontId="0" fillId="10" borderId="16" xfId="0" applyNumberFormat="1" applyFill="1" applyBorder="1"/>
    <xf numFmtId="0" fontId="0" fillId="10" borderId="20" xfId="0" applyFill="1" applyBorder="1"/>
    <xf numFmtId="165" fontId="0" fillId="10" borderId="8" xfId="1" applyFont="1" applyFill="1" applyBorder="1"/>
    <xf numFmtId="43" fontId="0" fillId="10" borderId="8" xfId="0" applyNumberFormat="1" applyFill="1" applyBorder="1"/>
    <xf numFmtId="37" fontId="0" fillId="10" borderId="8" xfId="0" applyNumberFormat="1" applyFill="1" applyBorder="1"/>
    <xf numFmtId="0" fontId="0" fillId="10" borderId="21" xfId="0" applyFill="1" applyBorder="1"/>
    <xf numFmtId="43" fontId="0" fillId="10" borderId="23" xfId="0" applyNumberFormat="1" applyFill="1" applyBorder="1"/>
    <xf numFmtId="43" fontId="8" fillId="2" borderId="8" xfId="0" applyNumberFormat="1" applyFont="1" applyFill="1" applyBorder="1"/>
    <xf numFmtId="165" fontId="0" fillId="0" borderId="21" xfId="1" applyFont="1" applyBorder="1"/>
    <xf numFmtId="10" fontId="0" fillId="0" borderId="16" xfId="0" applyNumberFormat="1" applyBorder="1"/>
    <xf numFmtId="3" fontId="0" fillId="0" borderId="8" xfId="0" applyNumberFormat="1" applyBorder="1"/>
    <xf numFmtId="43" fontId="0" fillId="0" borderId="8" xfId="0" applyNumberFormat="1" applyBorder="1"/>
    <xf numFmtId="0" fontId="0" fillId="0" borderId="83" xfId="0" applyBorder="1"/>
    <xf numFmtId="0" fontId="0" fillId="0" borderId="59" xfId="0" applyBorder="1"/>
    <xf numFmtId="43" fontId="0" fillId="0" borderId="60" xfId="0" applyNumberFormat="1" applyBorder="1"/>
    <xf numFmtId="0" fontId="9" fillId="0" borderId="21" xfId="0" applyFont="1" applyBorder="1"/>
    <xf numFmtId="0" fontId="9" fillId="0" borderId="22" xfId="0" applyFont="1" applyBorder="1"/>
    <xf numFmtId="0" fontId="0" fillId="0" borderId="87" xfId="0" applyBorder="1"/>
    <xf numFmtId="9" fontId="0" fillId="0" borderId="68" xfId="0" applyNumberFormat="1" applyBorder="1"/>
    <xf numFmtId="0" fontId="0" fillId="0" borderId="89" xfId="0" applyBorder="1"/>
    <xf numFmtId="165" fontId="0" fillId="0" borderId="42" xfId="1" applyFont="1" applyBorder="1"/>
    <xf numFmtId="10" fontId="0" fillId="34" borderId="0" xfId="2" applyNumberFormat="1" applyFont="1" applyFill="1"/>
    <xf numFmtId="165" fontId="0" fillId="0" borderId="0" xfId="0" applyNumberFormat="1" applyAlignment="1">
      <alignment horizontal="center"/>
    </xf>
    <xf numFmtId="0" fontId="67" fillId="0" borderId="0" xfId="0" applyFont="1"/>
    <xf numFmtId="10" fontId="67" fillId="0" borderId="0" xfId="0" applyNumberFormat="1" applyFont="1"/>
    <xf numFmtId="3" fontId="67" fillId="0" borderId="0" xfId="0" applyNumberFormat="1" applyFont="1"/>
    <xf numFmtId="9" fontId="67" fillId="0" borderId="0" xfId="2" applyFont="1" applyBorder="1"/>
    <xf numFmtId="0" fontId="5" fillId="5" borderId="0" xfId="0" applyFont="1" applyFill="1"/>
    <xf numFmtId="1" fontId="9" fillId="15" borderId="0" xfId="0" applyNumberFormat="1" applyFont="1" applyFill="1" applyAlignment="1">
      <alignment horizontal="center"/>
    </xf>
    <xf numFmtId="0" fontId="21" fillId="9" borderId="0" xfId="0" applyFont="1" applyFill="1"/>
    <xf numFmtId="166" fontId="21" fillId="9" borderId="0" xfId="0" applyNumberFormat="1" applyFont="1" applyFill="1"/>
    <xf numFmtId="0" fontId="22" fillId="15" borderId="0" xfId="0" applyFont="1" applyFill="1"/>
    <xf numFmtId="166" fontId="22" fillId="15" borderId="0" xfId="0" applyNumberFormat="1" applyFont="1" applyFill="1"/>
    <xf numFmtId="0" fontId="0" fillId="10" borderId="90" xfId="0" applyFill="1" applyBorder="1"/>
    <xf numFmtId="166" fontId="0" fillId="16" borderId="90" xfId="0" applyNumberFormat="1" applyFill="1" applyBorder="1"/>
    <xf numFmtId="0" fontId="0" fillId="0" borderId="90" xfId="0" applyBorder="1"/>
    <xf numFmtId="166" fontId="0" fillId="0" borderId="90" xfId="0" applyNumberFormat="1" applyBorder="1"/>
    <xf numFmtId="0" fontId="21" fillId="9" borderId="91" xfId="0" applyFont="1" applyFill="1" applyBorder="1"/>
    <xf numFmtId="166" fontId="21" fillId="9" borderId="91" xfId="0" applyNumberFormat="1" applyFont="1" applyFill="1" applyBorder="1"/>
    <xf numFmtId="10" fontId="9" fillId="0" borderId="0" xfId="0" applyNumberFormat="1" applyFont="1" applyAlignment="1">
      <alignment horizontal="center"/>
    </xf>
    <xf numFmtId="10" fontId="9" fillId="2" borderId="0" xfId="0" applyNumberFormat="1" applyFont="1" applyFill="1" applyAlignment="1">
      <alignment horizontal="center"/>
    </xf>
    <xf numFmtId="0" fontId="5" fillId="5" borderId="42" xfId="0" applyFont="1" applyFill="1" applyBorder="1"/>
    <xf numFmtId="0" fontId="0" fillId="26" borderId="42" xfId="0" applyFill="1" applyBorder="1"/>
    <xf numFmtId="0" fontId="9" fillId="0" borderId="42" xfId="0" applyFont="1" applyBorder="1"/>
    <xf numFmtId="10" fontId="9" fillId="0" borderId="42" xfId="0" applyNumberFormat="1" applyFont="1" applyBorder="1" applyAlignment="1">
      <alignment horizontal="center"/>
    </xf>
    <xf numFmtId="173" fontId="0" fillId="0" borderId="8" xfId="0" applyNumberFormat="1" applyBorder="1"/>
    <xf numFmtId="0" fontId="0" fillId="0" borderId="0" xfId="0" applyAlignment="1">
      <alignment vertical="center"/>
    </xf>
    <xf numFmtId="2" fontId="0" fillId="34" borderId="0" xfId="0" applyNumberFormat="1" applyFill="1"/>
    <xf numFmtId="10" fontId="0" fillId="0" borderId="68" xfId="0" applyNumberFormat="1" applyBorder="1"/>
    <xf numFmtId="170" fontId="0" fillId="0" borderId="68" xfId="2" applyNumberFormat="1" applyFont="1" applyBorder="1"/>
    <xf numFmtId="165" fontId="8" fillId="2" borderId="0" xfId="1" applyFont="1" applyFill="1"/>
    <xf numFmtId="0" fontId="0" fillId="0" borderId="88" xfId="0" applyBorder="1"/>
    <xf numFmtId="165" fontId="8" fillId="2" borderId="0" xfId="1" applyFont="1" applyFill="1" applyBorder="1"/>
    <xf numFmtId="2" fontId="0" fillId="0" borderId="35" xfId="0" applyNumberFormat="1" applyBorder="1"/>
    <xf numFmtId="10" fontId="0" fillId="0" borderId="42" xfId="0" applyNumberFormat="1" applyBorder="1"/>
    <xf numFmtId="2" fontId="0" fillId="0" borderId="68" xfId="0" applyNumberFormat="1" applyBorder="1"/>
    <xf numFmtId="165" fontId="0" fillId="0" borderId="68" xfId="1" applyFont="1" applyBorder="1"/>
    <xf numFmtId="170" fontId="0" fillId="0" borderId="68" xfId="0" applyNumberFormat="1" applyBorder="1"/>
    <xf numFmtId="165" fontId="9" fillId="0" borderId="20" xfId="0" applyNumberFormat="1" applyFont="1" applyBorder="1" applyAlignment="1">
      <alignment vertical="center"/>
    </xf>
    <xf numFmtId="165" fontId="8" fillId="2" borderId="0" xfId="0" applyNumberFormat="1" applyFont="1" applyFill="1"/>
    <xf numFmtId="10" fontId="0" fillId="0" borderId="60" xfId="0" applyNumberFormat="1" applyBorder="1"/>
    <xf numFmtId="165" fontId="0" fillId="0" borderId="88" xfId="1" applyFont="1" applyBorder="1"/>
    <xf numFmtId="0" fontId="9" fillId="0" borderId="20" xfId="0" applyFont="1" applyBorder="1" applyAlignment="1">
      <alignment horizontal="center" vertical="center"/>
    </xf>
    <xf numFmtId="170" fontId="0" fillId="0" borderId="0" xfId="2" applyNumberFormat="1" applyFont="1" applyBorder="1"/>
    <xf numFmtId="165" fontId="0" fillId="0" borderId="1" xfId="1" applyFont="1" applyBorder="1"/>
    <xf numFmtId="165" fontId="18" fillId="2" borderId="23" xfId="1" applyFont="1" applyFill="1" applyBorder="1"/>
    <xf numFmtId="165" fontId="18" fillId="2" borderId="23" xfId="0" applyNumberFormat="1" applyFont="1" applyFill="1" applyBorder="1"/>
    <xf numFmtId="9" fontId="18" fillId="2" borderId="23" xfId="2" applyFont="1" applyFill="1" applyBorder="1"/>
    <xf numFmtId="0" fontId="0" fillId="34" borderId="0" xfId="0" applyFill="1"/>
    <xf numFmtId="10" fontId="0" fillId="0" borderId="0" xfId="2" applyNumberFormat="1" applyFont="1" applyFill="1" applyBorder="1" applyAlignment="1"/>
    <xf numFmtId="10" fontId="0" fillId="34" borderId="0" xfId="2" applyNumberFormat="1" applyFont="1" applyFill="1" applyBorder="1" applyAlignment="1"/>
    <xf numFmtId="165" fontId="0" fillId="0" borderId="68" xfId="0" applyNumberFormat="1" applyBorder="1"/>
    <xf numFmtId="165" fontId="18" fillId="2" borderId="8" xfId="1" applyFont="1" applyFill="1" applyBorder="1"/>
    <xf numFmtId="9" fontId="10" fillId="0" borderId="0" xfId="0" applyNumberFormat="1" applyFont="1"/>
    <xf numFmtId="0" fontId="0" fillId="0" borderId="92" xfId="0" applyBorder="1"/>
    <xf numFmtId="165" fontId="0" fillId="0" borderId="92" xfId="1" applyFont="1" applyBorder="1"/>
    <xf numFmtId="165" fontId="0" fillId="0" borderId="90" xfId="1" applyFont="1" applyBorder="1"/>
    <xf numFmtId="0" fontId="0" fillId="0" borderId="67" xfId="0" applyBorder="1"/>
    <xf numFmtId="165" fontId="18" fillId="2" borderId="68" xfId="1" applyFont="1" applyFill="1" applyBorder="1"/>
    <xf numFmtId="0" fontId="0" fillId="0" borderId="63" xfId="0" applyBorder="1"/>
    <xf numFmtId="0" fontId="9" fillId="2" borderId="57" xfId="0" applyFont="1" applyFill="1" applyBorder="1"/>
    <xf numFmtId="0" fontId="9" fillId="2" borderId="94" xfId="0" applyFont="1" applyFill="1" applyBorder="1"/>
    <xf numFmtId="9" fontId="0" fillId="0" borderId="96" xfId="0" applyNumberFormat="1" applyBorder="1"/>
    <xf numFmtId="9" fontId="0" fillId="0" borderId="98" xfId="0" applyNumberFormat="1" applyBorder="1"/>
    <xf numFmtId="9" fontId="0" fillId="0" borderId="69" xfId="0" applyNumberFormat="1" applyBorder="1"/>
    <xf numFmtId="0" fontId="10" fillId="29" borderId="84" xfId="0" applyFont="1" applyFill="1" applyBorder="1"/>
    <xf numFmtId="0" fontId="10" fillId="29" borderId="85" xfId="0" applyFont="1" applyFill="1" applyBorder="1"/>
    <xf numFmtId="10" fontId="0" fillId="2" borderId="69" xfId="2" applyNumberFormat="1" applyFont="1" applyFill="1" applyBorder="1"/>
    <xf numFmtId="10" fontId="0" fillId="0" borderId="0" xfId="2" applyNumberFormat="1" applyFont="1" applyFill="1" applyBorder="1"/>
    <xf numFmtId="184" fontId="0" fillId="0" borderId="0" xfId="0" applyNumberFormat="1"/>
    <xf numFmtId="0" fontId="35" fillId="0" borderId="0" xfId="0" applyFont="1"/>
    <xf numFmtId="0" fontId="1" fillId="0" borderId="0" xfId="0" applyFont="1"/>
    <xf numFmtId="0" fontId="9" fillId="0" borderId="24" xfId="0" applyFont="1" applyBorder="1" applyAlignment="1">
      <alignment horizontal="center" vertical="center"/>
    </xf>
    <xf numFmtId="0" fontId="9" fillId="0" borderId="24" xfId="0" applyFont="1" applyBorder="1" applyAlignment="1">
      <alignment horizontal="center"/>
    </xf>
    <xf numFmtId="0" fontId="0" fillId="0" borderId="24" xfId="0" applyBorder="1" applyAlignment="1">
      <alignment vertical="top" wrapText="1"/>
    </xf>
    <xf numFmtId="0" fontId="74" fillId="0" borderId="24" xfId="4" applyBorder="1" applyAlignment="1">
      <alignment vertical="center" wrapText="1"/>
    </xf>
    <xf numFmtId="0" fontId="74" fillId="0" borderId="0" xfId="4"/>
    <xf numFmtId="0" fontId="20" fillId="0" borderId="14" xfId="0" applyFont="1" applyBorder="1" applyAlignment="1">
      <alignment horizontal="center"/>
    </xf>
    <xf numFmtId="0" fontId="72" fillId="0" borderId="14" xfId="0" applyFont="1" applyBorder="1"/>
    <xf numFmtId="0" fontId="20" fillId="0" borderId="14" xfId="0" applyFont="1" applyBorder="1"/>
    <xf numFmtId="0" fontId="27" fillId="0" borderId="20" xfId="0" applyFont="1" applyBorder="1"/>
    <xf numFmtId="0" fontId="27" fillId="0" borderId="0" xfId="0" applyFont="1"/>
    <xf numFmtId="0" fontId="71" fillId="0" borderId="0" xfId="0" applyFont="1"/>
    <xf numFmtId="0" fontId="28" fillId="0" borderId="20" xfId="0" applyFont="1" applyBorder="1"/>
    <xf numFmtId="10" fontId="28" fillId="0" borderId="0" xfId="0" applyNumberFormat="1" applyFont="1"/>
    <xf numFmtId="10" fontId="0" fillId="0" borderId="0" xfId="2" applyNumberFormat="1" applyFont="1" applyFill="1"/>
    <xf numFmtId="10" fontId="73" fillId="0" borderId="0" xfId="0" applyNumberFormat="1" applyFont="1"/>
    <xf numFmtId="2" fontId="28" fillId="0" borderId="0" xfId="0" applyNumberFormat="1" applyFont="1"/>
    <xf numFmtId="2" fontId="0" fillId="0" borderId="0" xfId="2" applyNumberFormat="1" applyFont="1" applyFill="1"/>
    <xf numFmtId="2" fontId="73" fillId="0" borderId="0" xfId="0" applyNumberFormat="1" applyFont="1"/>
    <xf numFmtId="165" fontId="0" fillId="0" borderId="0" xfId="1" applyFont="1" applyFill="1"/>
    <xf numFmtId="4" fontId="28" fillId="0" borderId="20" xfId="0" applyNumberFormat="1" applyFont="1" applyBorder="1"/>
    <xf numFmtId="4" fontId="29" fillId="0" borderId="20" xfId="0" applyNumberFormat="1" applyFont="1" applyBorder="1"/>
    <xf numFmtId="165" fontId="28" fillId="0" borderId="0" xfId="1" applyFont="1" applyFill="1" applyBorder="1"/>
    <xf numFmtId="166" fontId="0" fillId="0" borderId="0" xfId="1" applyNumberFormat="1" applyFont="1" applyFill="1"/>
    <xf numFmtId="173" fontId="0" fillId="0" borderId="0" xfId="1" applyNumberFormat="1" applyFont="1" applyFill="1"/>
    <xf numFmtId="43" fontId="0" fillId="0" borderId="0" xfId="1" applyNumberFormat="1" applyFont="1" applyFill="1" applyBorder="1"/>
    <xf numFmtId="0" fontId="12" fillId="0" borderId="0" xfId="0" applyFont="1"/>
    <xf numFmtId="0" fontId="75" fillId="0" borderId="14" xfId="0" applyFont="1" applyBorder="1" applyAlignment="1">
      <alignment horizontal="center"/>
    </xf>
    <xf numFmtId="0" fontId="76" fillId="0" borderId="14" xfId="0" applyFont="1" applyBorder="1"/>
    <xf numFmtId="0" fontId="75" fillId="0" borderId="14" xfId="0" applyFont="1" applyBorder="1"/>
    <xf numFmtId="0" fontId="18" fillId="2" borderId="0" xfId="0" applyFont="1" applyFill="1"/>
    <xf numFmtId="2" fontId="9" fillId="0" borderId="0" xfId="2" applyNumberFormat="1" applyFont="1" applyFill="1" applyBorder="1"/>
    <xf numFmtId="0" fontId="0" fillId="0" borderId="13"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13" xfId="0" applyBorder="1" applyAlignment="1">
      <alignment horizontal="justify" vertical="center" wrapText="1"/>
    </xf>
    <xf numFmtId="0" fontId="0" fillId="0" borderId="20" xfId="0" applyBorder="1" applyAlignment="1">
      <alignment horizontal="justify" vertical="center" wrapText="1"/>
    </xf>
    <xf numFmtId="0" fontId="0" fillId="0" borderId="21" xfId="0" applyBorder="1" applyAlignment="1">
      <alignment horizontal="justify" vertical="center" wrapText="1"/>
    </xf>
    <xf numFmtId="0" fontId="0" fillId="0" borderId="14" xfId="0" applyBorder="1" applyAlignment="1">
      <alignment horizontal="justify" vertical="center" wrapText="1"/>
    </xf>
    <xf numFmtId="0" fontId="0" fillId="0" borderId="16" xfId="0" applyBorder="1" applyAlignment="1">
      <alignment horizontal="justify" vertical="center" wrapText="1"/>
    </xf>
    <xf numFmtId="0" fontId="0" fillId="0" borderId="0" xfId="0" applyAlignment="1">
      <alignment horizontal="justify" vertical="center" wrapText="1"/>
    </xf>
    <xf numFmtId="0" fontId="0" fillId="0" borderId="8" xfId="0" applyBorder="1" applyAlignment="1">
      <alignment horizontal="justify" vertical="center" wrapText="1"/>
    </xf>
    <xf numFmtId="0" fontId="0" fillId="0" borderId="22" xfId="0" applyBorder="1" applyAlignment="1">
      <alignment horizontal="justify" vertical="center" wrapText="1"/>
    </xf>
    <xf numFmtId="0" fontId="0" fillId="0" borderId="23" xfId="0" applyBorder="1" applyAlignment="1">
      <alignment horizontal="justify" vertical="center" wrapText="1"/>
    </xf>
    <xf numFmtId="0" fontId="0" fillId="0" borderId="14" xfId="0" applyBorder="1" applyAlignment="1">
      <alignment horizontal="center" vertical="center" wrapText="1"/>
    </xf>
    <xf numFmtId="0" fontId="0" fillId="0" borderId="16"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166" fontId="0" fillId="0" borderId="0" xfId="0" applyNumberFormat="1" applyAlignment="1">
      <alignment horizontal="center"/>
    </xf>
    <xf numFmtId="0" fontId="0" fillId="0" borderId="0" xfId="0" applyAlignment="1">
      <alignment horizontal="center"/>
    </xf>
    <xf numFmtId="0" fontId="0" fillId="2" borderId="0" xfId="0" applyFill="1" applyAlignment="1">
      <alignment horizontal="center"/>
    </xf>
    <xf numFmtId="0" fontId="8" fillId="2" borderId="53" xfId="0" applyFont="1" applyFill="1" applyBorder="1" applyAlignment="1">
      <alignment horizontal="center"/>
    </xf>
    <xf numFmtId="0" fontId="8" fillId="2" borderId="0" xfId="0" applyFont="1" applyFill="1" applyAlignment="1">
      <alignment horizontal="center"/>
    </xf>
    <xf numFmtId="0" fontId="13" fillId="0" borderId="0" xfId="0" applyFont="1" applyAlignment="1">
      <alignment horizontal="left"/>
    </xf>
    <xf numFmtId="0" fontId="13" fillId="0" borderId="4" xfId="0" applyFont="1" applyBorder="1" applyAlignment="1">
      <alignment horizontal="left"/>
    </xf>
    <xf numFmtId="0" fontId="11" fillId="5" borderId="10" xfId="0" applyFont="1" applyFill="1" applyBorder="1" applyAlignment="1">
      <alignment horizontal="center"/>
    </xf>
    <xf numFmtId="0" fontId="11" fillId="5" borderId="11" xfId="0" applyFont="1" applyFill="1" applyBorder="1" applyAlignment="1">
      <alignment horizontal="center"/>
    </xf>
    <xf numFmtId="0" fontId="11" fillId="5" borderId="2" xfId="0" applyFont="1" applyFill="1" applyBorder="1" applyAlignment="1">
      <alignment horizontal="center"/>
    </xf>
    <xf numFmtId="0" fontId="12" fillId="6" borderId="1" xfId="0" applyFont="1" applyFill="1" applyBorder="1" applyAlignment="1">
      <alignment horizontal="center"/>
    </xf>
    <xf numFmtId="0" fontId="13" fillId="0" borderId="11" xfId="0" applyFont="1" applyBorder="1" applyAlignment="1">
      <alignment horizontal="left"/>
    </xf>
    <xf numFmtId="0" fontId="13" fillId="0" borderId="2" xfId="0" applyFont="1" applyBorder="1" applyAlignment="1">
      <alignment horizontal="left"/>
    </xf>
    <xf numFmtId="0" fontId="9" fillId="7" borderId="57" xfId="0" applyFont="1" applyFill="1" applyBorder="1" applyAlignment="1">
      <alignment horizontal="center" wrapText="1"/>
    </xf>
    <xf numFmtId="0" fontId="40" fillId="8" borderId="25" xfId="0" applyFont="1" applyFill="1" applyBorder="1" applyAlignment="1">
      <alignment horizontal="center"/>
    </xf>
    <xf numFmtId="0" fontId="40" fillId="8" borderId="26" xfId="0" applyFont="1" applyFill="1" applyBorder="1" applyAlignment="1">
      <alignment horizontal="center"/>
    </xf>
    <xf numFmtId="0" fontId="40" fillId="8" borderId="27" xfId="0" applyFont="1" applyFill="1" applyBorder="1" applyAlignment="1">
      <alignment horizontal="center"/>
    </xf>
    <xf numFmtId="0" fontId="40" fillId="8" borderId="55" xfId="0" applyFont="1" applyFill="1" applyBorder="1" applyAlignment="1">
      <alignment horizontal="center"/>
    </xf>
    <xf numFmtId="0" fontId="40" fillId="8" borderId="15" xfId="0" applyFont="1" applyFill="1" applyBorder="1" applyAlignment="1">
      <alignment horizontal="center"/>
    </xf>
    <xf numFmtId="0" fontId="40" fillId="8" borderId="56" xfId="0" applyFont="1" applyFill="1" applyBorder="1" applyAlignment="1">
      <alignment horizontal="center"/>
    </xf>
    <xf numFmtId="0" fontId="11" fillId="8" borderId="25" xfId="0" applyFont="1" applyFill="1" applyBorder="1" applyAlignment="1">
      <alignment horizontal="center"/>
    </xf>
    <xf numFmtId="0" fontId="11" fillId="8" borderId="26" xfId="0" applyFont="1" applyFill="1" applyBorder="1" applyAlignment="1">
      <alignment horizontal="center"/>
    </xf>
    <xf numFmtId="0" fontId="11" fillId="8" borderId="27" xfId="0" applyFont="1" applyFill="1" applyBorder="1" applyAlignment="1">
      <alignment horizontal="center"/>
    </xf>
    <xf numFmtId="0" fontId="0" fillId="0" borderId="14" xfId="0" applyBorder="1" applyAlignment="1">
      <alignment horizontal="center"/>
    </xf>
    <xf numFmtId="0" fontId="5" fillId="29" borderId="0" xfId="0" applyFont="1" applyFill="1" applyAlignment="1">
      <alignment horizontal="center"/>
    </xf>
    <xf numFmtId="0" fontId="9" fillId="31" borderId="71" xfId="0" applyFont="1" applyFill="1" applyBorder="1" applyAlignment="1">
      <alignment horizontal="center"/>
    </xf>
    <xf numFmtId="0" fontId="9" fillId="31" borderId="72" xfId="0" applyFont="1" applyFill="1" applyBorder="1" applyAlignment="1">
      <alignment horizontal="center"/>
    </xf>
    <xf numFmtId="0" fontId="9" fillId="0" borderId="25" xfId="0" applyFont="1" applyBorder="1" applyAlignment="1">
      <alignment horizontal="center"/>
    </xf>
    <xf numFmtId="0" fontId="9" fillId="0" borderId="27" xfId="0" applyFont="1" applyBorder="1" applyAlignment="1">
      <alignment horizontal="center"/>
    </xf>
    <xf numFmtId="0" fontId="18" fillId="7" borderId="24" xfId="0" applyFont="1" applyFill="1" applyBorder="1" applyAlignment="1">
      <alignment horizontal="center"/>
    </xf>
    <xf numFmtId="0" fontId="0" fillId="0" borderId="24" xfId="0" applyBorder="1" applyAlignment="1">
      <alignment horizontal="center"/>
    </xf>
    <xf numFmtId="0" fontId="9" fillId="0" borderId="13" xfId="0" applyFont="1" applyBorder="1" applyAlignment="1">
      <alignment horizontal="center"/>
    </xf>
    <xf numFmtId="0" fontId="9" fillId="0" borderId="16" xfId="0" applyFont="1" applyBorder="1" applyAlignment="1">
      <alignment horizontal="center"/>
    </xf>
    <xf numFmtId="0" fontId="0" fillId="0" borderId="71" xfId="0" applyBorder="1" applyAlignment="1">
      <alignment horizontal="center"/>
    </xf>
    <xf numFmtId="0" fontId="0" fillId="0" borderId="72" xfId="0" applyBorder="1" applyAlignment="1">
      <alignment horizontal="center"/>
    </xf>
    <xf numFmtId="0" fontId="0" fillId="0" borderId="86" xfId="0" applyBorder="1" applyAlignment="1">
      <alignment horizontal="center"/>
    </xf>
    <xf numFmtId="0" fontId="50" fillId="32" borderId="22" xfId="0" applyFont="1" applyFill="1" applyBorder="1" applyAlignment="1">
      <alignment horizontal="center"/>
    </xf>
    <xf numFmtId="0" fontId="5" fillId="5" borderId="29" xfId="0" applyFont="1" applyFill="1" applyBorder="1" applyAlignment="1">
      <alignment horizontal="center"/>
    </xf>
    <xf numFmtId="165" fontId="0" fillId="0" borderId="0" xfId="0" applyNumberFormat="1" applyAlignment="1">
      <alignment horizontal="center"/>
    </xf>
    <xf numFmtId="0" fontId="5" fillId="14" borderId="0" xfId="0" applyFont="1" applyFill="1" applyAlignment="1">
      <alignment horizontal="center"/>
    </xf>
    <xf numFmtId="165" fontId="9" fillId="0" borderId="20" xfId="0" applyNumberFormat="1" applyFont="1" applyBorder="1" applyAlignment="1">
      <alignment horizontal="center" vertical="center"/>
    </xf>
    <xf numFmtId="165" fontId="9" fillId="0" borderId="21" xfId="0" applyNumberFormat="1" applyFont="1" applyBorder="1" applyAlignment="1">
      <alignment horizontal="center" vertical="center"/>
    </xf>
    <xf numFmtId="165" fontId="9" fillId="2" borderId="13" xfId="0" applyNumberFormat="1" applyFont="1" applyFill="1" applyBorder="1" applyAlignment="1">
      <alignment horizontal="center"/>
    </xf>
    <xf numFmtId="165" fontId="9" fillId="2" borderId="14" xfId="0" applyNumberFormat="1" applyFont="1" applyFill="1" applyBorder="1" applyAlignment="1">
      <alignment horizontal="center"/>
    </xf>
    <xf numFmtId="165" fontId="9" fillId="2" borderId="16" xfId="0" applyNumberFormat="1" applyFont="1" applyFill="1" applyBorder="1" applyAlignment="1">
      <alignment horizontal="center"/>
    </xf>
    <xf numFmtId="166" fontId="9" fillId="0" borderId="0" xfId="0" applyNumberFormat="1" applyFont="1" applyAlignment="1">
      <alignment horizontal="center"/>
    </xf>
    <xf numFmtId="166" fontId="9" fillId="0" borderId="8" xfId="0" applyNumberFormat="1" applyFont="1" applyBorder="1" applyAlignment="1">
      <alignment horizontal="center"/>
    </xf>
    <xf numFmtId="0" fontId="51" fillId="33" borderId="14" xfId="0" applyFont="1" applyFill="1" applyBorder="1" applyAlignment="1">
      <alignment horizontal="center"/>
    </xf>
    <xf numFmtId="0" fontId="51" fillId="33" borderId="0" xfId="0" applyFont="1" applyFill="1" applyAlignment="1">
      <alignment horizontal="center"/>
    </xf>
    <xf numFmtId="0" fontId="51" fillId="33" borderId="22" xfId="0" applyFont="1" applyFill="1" applyBorder="1" applyAlignment="1">
      <alignment horizont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165" fontId="9" fillId="0" borderId="0" xfId="0" applyNumberFormat="1" applyFont="1" applyAlignment="1">
      <alignment horizontal="center"/>
    </xf>
    <xf numFmtId="165" fontId="9" fillId="0" borderId="8" xfId="0" applyNumberFormat="1" applyFont="1" applyBorder="1" applyAlignment="1">
      <alignment horizontal="center"/>
    </xf>
    <xf numFmtId="0" fontId="9" fillId="0" borderId="0" xfId="0" applyFont="1" applyAlignment="1">
      <alignment horizontal="center"/>
    </xf>
    <xf numFmtId="0" fontId="9" fillId="0" borderId="8" xfId="0" applyFont="1" applyBorder="1" applyAlignment="1">
      <alignment horizontal="center"/>
    </xf>
    <xf numFmtId="0" fontId="5" fillId="5" borderId="13" xfId="0" applyFont="1" applyFill="1" applyBorder="1" applyAlignment="1">
      <alignment horizontal="center"/>
    </xf>
    <xf numFmtId="0" fontId="5" fillId="5" borderId="14" xfId="0" applyFont="1" applyFill="1" applyBorder="1" applyAlignment="1">
      <alignment horizontal="center"/>
    </xf>
    <xf numFmtId="0" fontId="5" fillId="5" borderId="16" xfId="0" applyFont="1" applyFill="1" applyBorder="1" applyAlignment="1">
      <alignment horizontal="center"/>
    </xf>
    <xf numFmtId="0" fontId="9" fillId="2" borderId="13" xfId="0" applyFont="1" applyFill="1" applyBorder="1" applyAlignment="1">
      <alignment horizontal="center"/>
    </xf>
    <xf numFmtId="0" fontId="9" fillId="2" borderId="14" xfId="0" applyFont="1" applyFill="1" applyBorder="1" applyAlignment="1">
      <alignment horizontal="center"/>
    </xf>
    <xf numFmtId="0" fontId="9" fillId="2" borderId="16" xfId="0" applyFont="1" applyFill="1" applyBorder="1" applyAlignment="1">
      <alignment horizontal="center"/>
    </xf>
    <xf numFmtId="0" fontId="9" fillId="10" borderId="71" xfId="0" applyFont="1" applyFill="1" applyBorder="1" applyAlignment="1">
      <alignment horizontal="center"/>
    </xf>
    <xf numFmtId="0" fontId="9" fillId="10" borderId="86" xfId="0" applyFont="1" applyFill="1" applyBorder="1" applyAlignment="1">
      <alignment horizontal="center"/>
    </xf>
    <xf numFmtId="0" fontId="8" fillId="2" borderId="71" xfId="0" applyFont="1" applyFill="1" applyBorder="1" applyAlignment="1">
      <alignment horizontal="center"/>
    </xf>
    <xf numFmtId="0" fontId="8" fillId="2" borderId="72" xfId="0" applyFont="1" applyFill="1" applyBorder="1" applyAlignment="1">
      <alignment horizontal="center"/>
    </xf>
    <xf numFmtId="0" fontId="8" fillId="2" borderId="86" xfId="0" applyFont="1" applyFill="1" applyBorder="1" applyAlignment="1">
      <alignment horizontal="center"/>
    </xf>
    <xf numFmtId="0" fontId="9" fillId="2" borderId="93" xfId="0" applyFont="1" applyFill="1" applyBorder="1" applyAlignment="1">
      <alignment horizontal="center"/>
    </xf>
    <xf numFmtId="0" fontId="9" fillId="2" borderId="57" xfId="0" applyFont="1" applyFill="1" applyBorder="1" applyAlignment="1">
      <alignment horizontal="center"/>
    </xf>
    <xf numFmtId="0" fontId="0" fillId="0" borderId="97" xfId="0" applyBorder="1" applyAlignment="1">
      <alignment horizontal="center" vertical="center"/>
    </xf>
    <xf numFmtId="0" fontId="0" fillId="0" borderId="95" xfId="0" applyBorder="1" applyAlignment="1">
      <alignment horizontal="center" vertical="center"/>
    </xf>
    <xf numFmtId="0" fontId="0" fillId="0" borderId="67" xfId="0" applyBorder="1" applyAlignment="1">
      <alignment horizontal="center" vertical="center"/>
    </xf>
    <xf numFmtId="0" fontId="0" fillId="0" borderId="63" xfId="0" applyBorder="1" applyAlignment="1">
      <alignment horizontal="center" vertical="center"/>
    </xf>
    <xf numFmtId="165" fontId="5" fillId="19" borderId="14" xfId="0" applyNumberFormat="1" applyFont="1" applyFill="1" applyBorder="1" applyAlignment="1">
      <alignment horizontal="center"/>
    </xf>
    <xf numFmtId="165" fontId="5" fillId="19" borderId="16" xfId="0" applyNumberFormat="1" applyFont="1" applyFill="1" applyBorder="1" applyAlignment="1">
      <alignment horizontal="center"/>
    </xf>
    <xf numFmtId="0" fontId="23" fillId="17" borderId="1" xfId="0" applyFont="1" applyFill="1" applyBorder="1" applyAlignment="1">
      <alignment horizontal="center"/>
    </xf>
    <xf numFmtId="0" fontId="8" fillId="0" borderId="3" xfId="0" applyFont="1" applyBorder="1" applyAlignment="1">
      <alignment horizontal="center" wrapText="1"/>
    </xf>
    <xf numFmtId="0" fontId="23" fillId="17" borderId="0" xfId="0" applyFont="1" applyFill="1" applyAlignment="1">
      <alignment horizontal="center"/>
    </xf>
    <xf numFmtId="0" fontId="5" fillId="19" borderId="25" xfId="0" applyFont="1" applyFill="1" applyBorder="1" applyAlignment="1">
      <alignment horizontal="center"/>
    </xf>
    <xf numFmtId="0" fontId="5" fillId="19" borderId="26" xfId="0" applyFont="1" applyFill="1" applyBorder="1" applyAlignment="1">
      <alignment horizontal="center"/>
    </xf>
    <xf numFmtId="0" fontId="5" fillId="19" borderId="27" xfId="0" applyFont="1" applyFill="1" applyBorder="1" applyAlignment="1">
      <alignment horizontal="center"/>
    </xf>
    <xf numFmtId="0" fontId="20" fillId="20" borderId="25" xfId="0" applyFont="1" applyFill="1" applyBorder="1"/>
    <xf numFmtId="0" fontId="20" fillId="20" borderId="26" xfId="0" applyFont="1" applyFill="1" applyBorder="1"/>
    <xf numFmtId="0" fontId="35" fillId="0" borderId="0" xfId="0" applyFont="1"/>
    <xf numFmtId="0" fontId="59" fillId="0" borderId="0" xfId="0" applyFont="1"/>
    <xf numFmtId="0" fontId="62" fillId="0" borderId="3" xfId="0" applyFont="1" applyBorder="1"/>
    <xf numFmtId="0" fontId="62" fillId="0" borderId="0" xfId="0" applyFont="1"/>
    <xf numFmtId="0" fontId="35" fillId="0" borderId="22" xfId="0" applyFont="1" applyBorder="1"/>
    <xf numFmtId="0" fontId="59" fillId="0" borderId="22" xfId="0" applyFont="1" applyBorder="1"/>
    <xf numFmtId="0" fontId="59" fillId="0" borderId="4" xfId="0" applyFont="1" applyBorder="1"/>
    <xf numFmtId="0" fontId="61" fillId="0" borderId="39" xfId="0" applyFont="1" applyBorder="1"/>
    <xf numFmtId="0" fontId="61" fillId="0" borderId="18" xfId="0" applyFont="1" applyBorder="1"/>
    <xf numFmtId="0" fontId="61" fillId="0" borderId="35" xfId="0" applyFont="1" applyBorder="1"/>
  </cellXfs>
  <cellStyles count="5">
    <cellStyle name="Comma" xfId="1" builtinId="3"/>
    <cellStyle name="Currency" xfId="3" builtinId="4"/>
    <cellStyle name="Hyperlink" xfId="4" builtinId="8"/>
    <cellStyle name="Normal" xfId="0" builtinId="0"/>
    <cellStyle name="Percent" xfId="2" builtinId="5"/>
  </cellStyles>
  <dxfs count="25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ont>
        <color rgb="FFFF000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78" formatCode="_([$VND]\ * #,##0_);_([$VND]\ * \(#,##0\);_([$VND]\ * &quot;-&quot;??_);_(@_)"/>
      <border diagonalUp="0" diagonalDown="0">
        <left style="thin">
          <color indexed="64"/>
        </left>
        <right/>
        <top style="thin">
          <color indexed="64"/>
        </top>
        <bottom style="thin">
          <color indexed="64"/>
        </bottom>
        <vertical/>
        <horizontal/>
      </border>
    </dxf>
    <dxf>
      <numFmt numFmtId="178" formatCode="_([$VND]\ * #,##0_);_([$VND]\ * \(#,##0\);_([$VND]\ *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rial"/>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scheme val="none"/>
      </font>
      <numFmt numFmtId="175" formatCode="[$JPY]\ #,##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scheme val="none"/>
      </font>
      <numFmt numFmtId="175" formatCode="[$JPY]\ #,##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rgb="FF000000"/>
        <name val="Arial"/>
        <family val="2"/>
        <scheme val="none"/>
      </font>
      <fill>
        <patternFill patternType="solid">
          <fgColor indexed="64"/>
          <bgColor theme="9"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alignment horizontal="righ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border diagonalUp="0" diagonalDown="0">
        <left style="thin">
          <color indexed="64"/>
        </left>
        <right/>
        <top/>
        <bottom/>
        <vertical/>
        <horizontal/>
      </border>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2"/>
        <color theme="1"/>
        <name val="Calibri"/>
        <family val="2"/>
        <scheme val="minor"/>
      </font>
      <border diagonalUp="0" diagonalDown="0">
        <left style="thin">
          <color indexed="64"/>
        </left>
        <right/>
        <top/>
        <bottom/>
        <vertical/>
        <horizontal/>
      </border>
    </dxf>
    <dxf>
      <font>
        <b val="0"/>
        <i val="0"/>
        <strike val="0"/>
        <condense val="0"/>
        <extend val="0"/>
        <outline val="0"/>
        <shadow val="0"/>
        <u val="none"/>
        <vertAlign val="baseline"/>
        <sz val="12"/>
        <color theme="1"/>
        <name val="Calibri"/>
        <family val="2"/>
        <scheme val="minor"/>
      </font>
      <numFmt numFmtId="166" formatCode="_(* #,##0_);_(* \(#,##0\);_(* &quot;-&quot;??_);_(@_)"/>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2"/>
        <color theme="1"/>
        <name val="Calibri"/>
        <family val="2"/>
        <scheme val="minor"/>
      </font>
      <numFmt numFmtId="166" formatCode="_(* #,##0_);_(* \(#,##0\);_(* &quot;-&quot;??_);_(@_)"/>
      <border diagonalUp="0" diagonalDown="0" outline="0">
        <left/>
        <right style="thin">
          <color indexed="64"/>
        </right>
        <top/>
        <bottom/>
      </border>
    </dxf>
    <dxf>
      <font>
        <b val="0"/>
        <i val="0"/>
        <strike val="0"/>
        <condense val="0"/>
        <extend val="0"/>
        <outline val="0"/>
        <shadow val="0"/>
        <u val="none"/>
        <vertAlign val="baseline"/>
        <sz val="12"/>
        <color theme="1"/>
        <name val="Calibri"/>
        <family val="2"/>
        <scheme val="minor"/>
      </font>
      <numFmt numFmtId="166" formatCode="_(* #,##0_);_(* \(#,##0\);_(* &quot;-&quot;??_);_(@_)"/>
    </dxf>
    <dxf>
      <font>
        <b val="0"/>
        <i val="0"/>
        <strike val="0"/>
        <condense val="0"/>
        <extend val="0"/>
        <outline val="0"/>
        <shadow val="0"/>
        <u val="none"/>
        <vertAlign val="baseline"/>
        <sz val="12"/>
        <color theme="1"/>
        <name val="Calibri"/>
        <family val="2"/>
        <scheme val="minor"/>
      </font>
      <numFmt numFmtId="166" formatCode="_(* #,##0_);_(* \(#,##0\);_(* &quot;-&quot;??_);_(@_)"/>
    </dxf>
    <dxf>
      <font>
        <b val="0"/>
        <i val="0"/>
        <strike val="0"/>
        <condense val="0"/>
        <extend val="0"/>
        <outline val="0"/>
        <shadow val="0"/>
        <u val="none"/>
        <vertAlign val="baseline"/>
        <sz val="12"/>
        <color theme="1"/>
        <name val="Calibri"/>
        <family val="2"/>
        <scheme val="minor"/>
      </font>
      <numFmt numFmtId="166" formatCode="_(* #,##0_);_(* \(#,##0\);_(* &quot;-&quot;??_);_(@_)"/>
    </dxf>
    <dxf>
      <font>
        <b val="0"/>
        <i val="0"/>
        <strike val="0"/>
        <condense val="0"/>
        <extend val="0"/>
        <outline val="0"/>
        <shadow val="0"/>
        <u val="none"/>
        <vertAlign val="baseline"/>
        <sz val="12"/>
        <color theme="1"/>
        <name val="Calibri"/>
        <family val="2"/>
        <scheme val="minor"/>
      </font>
      <numFmt numFmtId="166" formatCode="_(* #,##0_);_(* \(#,##0\);_(* &quot;-&quot;??_);_(@_)"/>
    </dxf>
    <dxf>
      <font>
        <b val="0"/>
        <i val="0"/>
        <strike val="0"/>
        <condense val="0"/>
        <extend val="0"/>
        <outline val="0"/>
        <shadow val="0"/>
        <u val="none"/>
        <vertAlign val="baseline"/>
        <sz val="12"/>
        <color theme="1"/>
        <name val="Calibri"/>
        <family val="2"/>
        <scheme val="minor"/>
      </font>
      <numFmt numFmtId="166" formatCode="_(* #,##0_);_(* \(#,##0\);_(* &quot;-&quot;??_);_(@_)"/>
    </dxf>
    <dxf>
      <font>
        <b val="0"/>
        <i val="0"/>
        <strike val="0"/>
        <condense val="0"/>
        <extend val="0"/>
        <outline val="0"/>
        <shadow val="0"/>
        <u val="none"/>
        <vertAlign val="baseline"/>
        <sz val="12"/>
        <color theme="1"/>
        <name val="Calibri"/>
        <family val="2"/>
        <scheme val="minor"/>
      </font>
      <numFmt numFmtId="166" formatCode="_(* #,##0_);_(* \(#,##0\);_(* &quot;-&quot;??_);_(@_)"/>
    </dxf>
    <dxf>
      <font>
        <b val="0"/>
        <i val="0"/>
        <strike val="0"/>
        <condense val="0"/>
        <extend val="0"/>
        <outline val="0"/>
        <shadow val="0"/>
        <u val="none"/>
        <vertAlign val="baseline"/>
        <sz val="12"/>
        <color theme="1"/>
        <name val="Calibri"/>
        <family val="2"/>
        <scheme val="minor"/>
      </font>
      <numFmt numFmtId="166" formatCode="_(* #,##0_);_(* \(#,##0\);_(* &quot;-&quot;??_);_(@_)"/>
    </dxf>
    <dxf>
      <font>
        <b val="0"/>
        <i val="0"/>
        <strike val="0"/>
        <condense val="0"/>
        <extend val="0"/>
        <outline val="0"/>
        <shadow val="0"/>
        <u val="none"/>
        <vertAlign val="baseline"/>
        <sz val="12"/>
        <color theme="1"/>
        <name val="Calibri"/>
        <family val="2"/>
        <scheme val="minor"/>
      </font>
      <numFmt numFmtId="166" formatCode="_(* #,##0_);_(* \(#,##0\);_(* &quot;-&quot;??_);_(@_)"/>
    </dxf>
    <dxf>
      <font>
        <b val="0"/>
        <i val="0"/>
        <strike val="0"/>
        <condense val="0"/>
        <extend val="0"/>
        <outline val="0"/>
        <shadow val="0"/>
        <u val="none"/>
        <vertAlign val="baseline"/>
        <sz val="12"/>
        <color theme="1"/>
        <name val="Calibri"/>
        <family val="2"/>
        <scheme val="minor"/>
      </font>
      <numFmt numFmtId="166" formatCode="_(* #,##0_);_(* \(#,##0\);_(* &quot;-&quot;??_);_(@_)"/>
    </dxf>
    <dxf>
      <font>
        <b val="0"/>
        <i val="0"/>
        <strike val="0"/>
        <condense val="0"/>
        <extend val="0"/>
        <outline val="0"/>
        <shadow val="0"/>
        <u val="none"/>
        <vertAlign val="baseline"/>
        <sz val="12"/>
        <color theme="1"/>
        <name val="Calibri"/>
        <family val="2"/>
        <scheme val="minor"/>
      </font>
      <numFmt numFmtId="166" formatCode="_(* #,##0_);_(* \(#,##0\);_(* &quot;-&quot;??_);_(@_)"/>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border diagonalUp="0" diagonalDown="0">
        <left style="thin">
          <color indexed="64"/>
        </left>
        <right/>
        <top/>
        <bottom/>
        <vertical/>
        <horizontal/>
      </border>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numFmt numFmtId="13" formatCode="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66" formatCode="_(* #,##0_);_(* \(#,##0\);_(* &quot;-&quot;??_);_(@_)"/>
      <border diagonalUp="0" diagonalDown="0" outline="0">
        <left/>
        <right style="thin">
          <color indexed="64"/>
        </right>
        <top/>
        <bottom/>
      </border>
    </dxf>
    <dxf>
      <numFmt numFmtId="166" formatCode="_(* #,##0_);_(* \(#,##0\);_(* &quot;-&quot;??_);_(@_)"/>
    </dxf>
    <dxf>
      <numFmt numFmtId="166" formatCode="_(* #,##0_);_(* \(#,##0\);_(* &quot;-&quot;??_);_(@_)"/>
      <border diagonalUp="0" diagonalDown="0" outline="0">
        <left/>
        <right style="thin">
          <color indexed="64"/>
        </right>
        <top/>
        <bottom/>
      </border>
    </dxf>
    <dxf>
      <numFmt numFmtId="166" formatCode="_(* #,##0_);_(* \(#,##0\);_(* &quot;-&quot;??_);_(@_)"/>
    </dxf>
    <dxf>
      <numFmt numFmtId="166" formatCode="_(* #,##0_);_(* \(#,##0\);_(* &quot;-&quot;??_);_(@_)"/>
      <border diagonalUp="0" diagonalDown="0" outline="0">
        <left/>
        <right style="thin">
          <color indexed="64"/>
        </right>
        <top/>
        <bottom/>
      </border>
    </dxf>
    <dxf>
      <numFmt numFmtId="166" formatCode="_(* #,##0_);_(* \(#,##0\);_(* &quot;-&quot;??_);_(@_)"/>
    </dxf>
    <dxf>
      <numFmt numFmtId="166" formatCode="_(* #,##0_);_(* \(#,##0\);_(* &quot;-&quot;??_);_(@_)"/>
      <border diagonalUp="0" diagonalDown="0" outline="0">
        <left/>
        <right style="thin">
          <color indexed="64"/>
        </right>
        <top/>
        <bottom/>
      </border>
    </dxf>
    <dxf>
      <numFmt numFmtId="166" formatCode="_(* #,##0_);_(* \(#,##0\);_(* &quot;-&quot;??_);_(@_)"/>
    </dxf>
    <dxf>
      <numFmt numFmtId="166" formatCode="_(* #,##0_);_(* \(#,##0\);_(* &quot;-&quot;??_);_(@_)"/>
      <border diagonalUp="0" diagonalDown="0" outline="0">
        <left/>
        <right style="thin">
          <color indexed="64"/>
        </right>
        <top/>
        <bottom/>
      </border>
    </dxf>
    <dxf>
      <numFmt numFmtId="166" formatCode="_(* #,##0_);_(* \(#,##0\);_(* &quot;-&quot;??_);_(@_)"/>
    </dxf>
    <dxf>
      <numFmt numFmtId="166" formatCode="_(* #,##0_);_(* \(#,##0\);_(* &quot;-&quot;??_);_(@_)"/>
      <fill>
        <patternFill patternType="solid">
          <fgColor indexed="64"/>
          <bgColor rgb="FFFFFF00"/>
        </patternFill>
      </fill>
      <border diagonalUp="0" diagonalDown="0" outline="0">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_(* #,##0_);_(* \(#,##0\);_(* &quot;-&quot;??_);_(@_)"/>
      <border diagonalUp="0" diagonalDown="0">
        <left/>
        <right style="thin">
          <color indexed="64"/>
        </right>
        <top/>
        <bottom/>
        <vertical/>
        <horizontal/>
      </border>
    </dxf>
    <dxf>
      <font>
        <b val="0"/>
        <i val="0"/>
        <strike val="0"/>
        <condense val="0"/>
        <extend val="0"/>
        <outline val="0"/>
        <shadow val="0"/>
        <u val="none"/>
        <vertAlign val="baseline"/>
        <sz val="11"/>
        <color theme="1"/>
        <name val="Calibri"/>
        <family val="2"/>
        <scheme val="minor"/>
      </font>
      <numFmt numFmtId="166" formatCode="_(* #,##0_);_(* \(#,##0\);_(* &quot;-&quot;??_);_(@_)"/>
    </dxf>
    <dxf>
      <font>
        <b val="0"/>
        <i val="0"/>
        <strike val="0"/>
        <condense val="0"/>
        <extend val="0"/>
        <outline val="0"/>
        <shadow val="0"/>
        <u val="none"/>
        <vertAlign val="baseline"/>
        <sz val="11"/>
        <color theme="1"/>
        <name val="Calibri"/>
        <family val="2"/>
        <scheme val="minor"/>
      </font>
      <numFmt numFmtId="166" formatCode="_(* #,##0_);_(* \(#,##0\);_(* &quot;-&quot;??_);_(@_)"/>
    </dxf>
    <dxf>
      <font>
        <b val="0"/>
        <i val="0"/>
        <strike val="0"/>
        <condense val="0"/>
        <extend val="0"/>
        <outline val="0"/>
        <shadow val="0"/>
        <u val="none"/>
        <vertAlign val="baseline"/>
        <sz val="11"/>
        <color theme="1"/>
        <name val="Calibri"/>
        <family val="2"/>
        <scheme val="minor"/>
      </font>
      <numFmt numFmtId="166" formatCode="_(* #,##0_);_(* \(#,##0\);_(* &quot;-&quot;??_);_(@_)"/>
    </dxf>
    <dxf>
      <font>
        <b val="0"/>
        <i val="0"/>
        <strike val="0"/>
        <condense val="0"/>
        <extend val="0"/>
        <outline val="0"/>
        <shadow val="0"/>
        <u val="none"/>
        <vertAlign val="baseline"/>
        <sz val="11"/>
        <color theme="1"/>
        <name val="Calibri"/>
        <family val="2"/>
        <scheme val="minor"/>
      </font>
      <numFmt numFmtId="166" formatCode="_(* #,##0_);_(* \(#,##0\);_(* &quot;-&quot;??_);_(@_)"/>
    </dxf>
    <dxf>
      <font>
        <b val="0"/>
        <i val="0"/>
        <strike val="0"/>
        <condense val="0"/>
        <extend val="0"/>
        <outline val="0"/>
        <shadow val="0"/>
        <u val="none"/>
        <vertAlign val="baseline"/>
        <sz val="11"/>
        <color theme="1"/>
        <name val="Calibri"/>
        <family val="2"/>
        <scheme val="minor"/>
      </font>
      <numFmt numFmtId="166" formatCode="_(* #,##0_);_(* \(#,##0\);_(* &quot;-&quot;??_);_(@_)"/>
    </dxf>
    <dxf>
      <numFmt numFmtId="14" formatCode="0.00%"/>
    </dxf>
    <dxf>
      <border diagonalUp="0" diagonalDown="0">
        <left style="thin">
          <color indexed="64"/>
        </left>
        <right style="thin">
          <color indexed="64"/>
        </right>
        <top style="thin">
          <color indexed="64"/>
        </top>
        <bottom style="thin">
          <color indexed="64"/>
        </bottom>
      </border>
    </dxf>
    <dxf>
      <numFmt numFmtId="1" formatCode="0"/>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6" formatCode="_(* #,##0_);_(* \(#,##0\);_(* &quot;-&quot;??_);_(@_)"/>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6" formatCode="_(* #,##0_);_(* \(#,##0\);_(* &quot;-&quot;??_);_(@_)"/>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6" formatCode="_(* #,##0_);_(* \(#,##0\);_(* &quot;-&quot;??_);_(@_)"/>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6" formatCode="_(* #,##0_);_(* \(#,##0\);_(* &quot;-&quot;??_);_(@_)"/>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6" formatCode="_(* #,##0_);_(* \(#,##0\);_(* &quot;-&quot;??_);_(@_)"/>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6" formatCode="_(* #,##0_);_(* \(#,##0\);_(* &quot;-&quot;??_);_(@_)"/>
    </dxf>
    <dxf>
      <border outline="0">
        <left style="thin">
          <color indexed="64"/>
        </left>
        <right style="thin">
          <color indexed="64"/>
        </right>
        <top style="thin">
          <color indexed="64"/>
        </top>
        <bottom style="thin">
          <color indexed="64"/>
        </bottom>
      </border>
    </dxf>
    <dxf>
      <border outline="0">
        <bottom style="thin">
          <color indexed="64"/>
        </bottom>
      </border>
    </dxf>
    <dxf>
      <numFmt numFmtId="1" formatCode="0"/>
    </dxf>
    <dxf>
      <font>
        <b val="0"/>
        <i val="0"/>
        <strike val="0"/>
        <condense val="0"/>
        <extend val="0"/>
        <outline val="0"/>
        <shadow val="0"/>
        <u val="none"/>
        <vertAlign val="baseline"/>
        <sz val="11"/>
        <color theme="1"/>
        <name val="Calibri"/>
        <family val="2"/>
        <scheme val="minor"/>
      </font>
      <numFmt numFmtId="166"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_(* #,##0_);_(* \(#,##0\);_(* &quot;-&quot;??_);_(@_)"/>
      <border diagonalUp="0" diagonalDown="0">
        <left/>
        <right/>
        <top style="thin">
          <color theme="4" tint="0.39997558519241921"/>
        </top>
        <bottom/>
        <vertical/>
        <horizontal/>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2"/>
        <color theme="0"/>
        <name val="Calibri"/>
        <family val="2"/>
        <scheme val="minor"/>
      </font>
      <fill>
        <patternFill patternType="solid">
          <fgColor theme="4"/>
          <bgColor theme="4"/>
        </patternFill>
      </fill>
    </dxf>
    <dxf>
      <alignment horizontal="general" vertical="bottom" textRotation="0" wrapText="1" indent="0" justifyLastLine="0" shrinkToFit="0" readingOrder="0"/>
    </dxf>
    <dxf>
      <numFmt numFmtId="13" formatCode="0%"/>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rgb="FFFF0000"/>
        <name val="Calibri"/>
        <family val="2"/>
        <scheme val="minor"/>
      </font>
      <numFmt numFmtId="166" formatCode="_(* #,##0_);_(* \(#,##0\);_(* &quot;-&quot;??_);_(@_)"/>
      <fill>
        <patternFill patternType="solid">
          <fgColor indexed="64"/>
          <bgColor rgb="FFFFFF00"/>
        </patternFill>
      </fill>
      <border diagonalUp="0" diagonalDown="0" outline="0">
        <left style="thin">
          <color indexed="64"/>
        </left>
        <right style="thin">
          <color indexed="64"/>
        </right>
        <top style="thin">
          <color indexed="64"/>
        </top>
        <bottom style="thin">
          <color indexed="64"/>
        </bottom>
      </border>
    </dxf>
    <dxf>
      <numFmt numFmtId="14" formatCode="0.00%"/>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4" formatCode="0.00%"/>
    </dxf>
    <dxf>
      <border diagonalUp="0" diagonalDown="0">
        <left/>
        <right style="thin">
          <color indexed="64"/>
        </right>
        <top/>
        <bottom/>
        <vertical/>
        <horizontal/>
      </border>
    </dxf>
    <dxf>
      <border diagonalUp="0" diagonalDown="0">
        <left style="thin">
          <color indexed="64"/>
        </left>
        <right style="thin">
          <color indexed="64"/>
        </right>
        <top style="thin">
          <color indexed="64"/>
        </top>
        <bottom style="thin">
          <color indexed="64"/>
        </bottom>
      </border>
    </dxf>
    <dxf>
      <border>
        <bottom style="medium">
          <color indexed="64"/>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outline="0">
        <bottom style="thin">
          <color indexed="64"/>
        </bottom>
      </border>
    </dxf>
    <dxf>
      <fill>
        <patternFill patternType="none">
          <bgColor auto="1"/>
        </patternFill>
      </fill>
    </dxf>
    <dxf>
      <font>
        <b/>
        <i val="0"/>
        <strike val="0"/>
        <condense val="0"/>
        <extend val="0"/>
        <outline val="0"/>
        <shadow val="0"/>
        <u val="none"/>
        <vertAlign val="baseline"/>
        <sz val="11"/>
        <color auto="1"/>
        <name val="Calibri"/>
        <family val="2"/>
        <scheme val="none"/>
      </font>
      <fill>
        <patternFill patternType="none">
          <fgColor rgb="FF70AD47"/>
          <bgColor auto="1"/>
        </patternFill>
      </fill>
    </dxf>
    <dxf>
      <font>
        <b val="0"/>
        <i val="0"/>
        <strike val="0"/>
        <condense val="0"/>
        <extend val="0"/>
        <outline val="0"/>
        <shadow val="0"/>
        <u val="none"/>
        <vertAlign val="baseline"/>
        <sz val="12"/>
        <color rgb="FF000000"/>
        <name val="Calibri"/>
        <family val="2"/>
        <scheme val="minor"/>
      </font>
      <numFmt numFmtId="3" formatCode="#,##0"/>
      <fill>
        <patternFill patternType="solid">
          <fgColor rgb="FFD9E1F2"/>
          <bgColor rgb="FFD9E1F2"/>
        </patternFill>
      </fil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dxf>
    <dxf>
      <font>
        <b val="0"/>
        <i val="0"/>
        <strike val="0"/>
        <condense val="0"/>
        <extend val="0"/>
        <outline val="0"/>
        <shadow val="0"/>
        <u val="none"/>
        <vertAlign val="baseline"/>
        <sz val="12"/>
        <color rgb="FF000000"/>
        <name val="Calibri"/>
        <family val="2"/>
        <scheme val="minor"/>
      </font>
      <fill>
        <patternFill patternType="solid">
          <fgColor rgb="FFD9E1F2"/>
          <bgColor rgb="FFD9E1F2"/>
        </patternFill>
      </fill>
    </dxf>
    <dxf>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Calibri"/>
        <family val="2"/>
        <scheme val="minor"/>
      </font>
      <fill>
        <patternFill patternType="solid">
          <fgColor rgb="FF4472C4"/>
          <bgColor rgb="FF4472C4"/>
        </patternFill>
      </fill>
    </dxf>
    <dxf>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FFFFFF"/>
        <name val="Calibri"/>
        <family val="2"/>
        <scheme val="minor"/>
      </font>
      <fill>
        <patternFill patternType="solid">
          <fgColor rgb="FF4472C4"/>
          <bgColor rgb="FF4472C4"/>
        </patternFill>
      </fill>
    </dxf>
    <dxf>
      <font>
        <strike val="0"/>
        <outline val="0"/>
        <shadow val="0"/>
        <u val="none"/>
        <vertAlign val="baseline"/>
        <sz val="12"/>
        <name val="Calibri"/>
        <family val="2"/>
        <scheme val="minor"/>
      </font>
      <numFmt numFmtId="166" formatCode="_(* #,##0_);_(* \(#,##0\);_(* &quot;-&quot;??_);_(@_)"/>
    </dxf>
    <dxf>
      <font>
        <strike val="0"/>
        <outline val="0"/>
        <shadow val="0"/>
        <u val="none"/>
        <vertAlign val="baseline"/>
        <sz val="12"/>
        <name val="Calibri"/>
        <family val="2"/>
        <scheme val="minor"/>
      </font>
      <numFmt numFmtId="166" formatCode="_(* #,##0_);_(* \(#,##0\);_(* &quot;-&quot;??_);_(@_)"/>
    </dxf>
    <dxf>
      <font>
        <strike val="0"/>
        <outline val="0"/>
        <shadow val="0"/>
        <u val="none"/>
        <vertAlign val="baseline"/>
        <sz val="12"/>
        <name val="Calibri"/>
        <family val="2"/>
        <scheme val="minor"/>
      </font>
      <numFmt numFmtId="166" formatCode="_(* #,##0_);_(* \(#,##0\);_(* &quot;-&quot;??_);_(@_)"/>
    </dxf>
    <dxf>
      <font>
        <strike val="0"/>
        <outline val="0"/>
        <shadow val="0"/>
        <u val="none"/>
        <vertAlign val="baseline"/>
        <sz val="12"/>
        <name val="Calibri"/>
        <family val="2"/>
        <scheme val="minor"/>
      </font>
      <numFmt numFmtId="166" formatCode="_(* #,##0_);_(* \(#,##0\);_(* &quot;-&quot;??_);_(@_)"/>
    </dxf>
    <dxf>
      <font>
        <strike val="0"/>
        <outline val="0"/>
        <shadow val="0"/>
        <u val="none"/>
        <vertAlign val="baseline"/>
        <sz val="12"/>
        <name val="Calibri"/>
        <family val="2"/>
        <scheme val="minor"/>
      </font>
      <numFmt numFmtId="166" formatCode="_(* #,##0_);_(* \(#,##0\);_(* &quot;-&quot;??_);_(@_)"/>
    </dxf>
    <dxf>
      <font>
        <strike val="0"/>
        <outline val="0"/>
        <shadow val="0"/>
        <u val="none"/>
        <vertAlign val="baseline"/>
        <sz val="12"/>
        <name val="Calibri"/>
        <family val="2"/>
        <scheme val="minor"/>
      </font>
      <numFmt numFmtId="166" formatCode="_(* #,##0_);_(* \(#,##0\);_(* &quot;-&quot;??_);_(@_)"/>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numFmt numFmtId="3" formatCode="#,##0"/>
    </dxf>
    <dxf>
      <font>
        <strike val="0"/>
        <outline val="0"/>
        <shadow val="0"/>
        <u val="none"/>
        <vertAlign val="baseline"/>
        <sz val="12"/>
        <color theme="1"/>
        <name val="Calibri"/>
        <family val="2"/>
        <scheme val="minor"/>
      </font>
      <numFmt numFmtId="3" formatCode="#,##0"/>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'Financial Ratios'!$B$4</c:f>
              <c:strCache>
                <c:ptCount val="1"/>
                <c:pt idx="0">
                  <c:v>Gross Margin </c:v>
                </c:pt>
              </c:strCache>
            </c:strRef>
          </c:tx>
          <c:spPr>
            <a:ln w="28575" cap="rnd">
              <a:solidFill>
                <a:schemeClr val="accent1"/>
              </a:solidFill>
              <a:round/>
            </a:ln>
            <a:effectLst/>
          </c:spPr>
          <c:marker>
            <c:symbol val="none"/>
          </c:marker>
          <c:val>
            <c:numRef>
              <c:f>'Financial Ratios'!$C$4:$I$4</c:f>
              <c:numCache>
                <c:formatCode>0.00%</c:formatCode>
                <c:ptCount val="5"/>
                <c:pt idx="0">
                  <c:v>0.37351274645546673</c:v>
                </c:pt>
                <c:pt idx="1">
                  <c:v>0.36817769797830108</c:v>
                </c:pt>
                <c:pt idx="2">
                  <c:v>0.38358026772032372</c:v>
                </c:pt>
                <c:pt idx="3">
                  <c:v>0.42243123679311295</c:v>
                </c:pt>
                <c:pt idx="4">
                  <c:v>0.43287063508294504</c:v>
                </c:pt>
              </c:numCache>
            </c:numRef>
          </c:val>
          <c:smooth val="0"/>
          <c:extLst>
            <c:ext xmlns:c16="http://schemas.microsoft.com/office/drawing/2014/chart" uri="{C3380CC4-5D6E-409C-BE32-E72D297353CC}">
              <c16:uniqueId val="{00000000-F97D-4C75-B83E-D16896D14549}"/>
            </c:ext>
          </c:extLst>
        </c:ser>
        <c:ser>
          <c:idx val="1"/>
          <c:order val="1"/>
          <c:tx>
            <c:strRef>
              <c:f>'Financial Ratios'!$B$5</c:f>
              <c:strCache>
                <c:ptCount val="1"/>
                <c:pt idx="0">
                  <c:v>EBITDA Margin</c:v>
                </c:pt>
              </c:strCache>
            </c:strRef>
          </c:tx>
          <c:spPr>
            <a:ln w="28575" cap="rnd">
              <a:solidFill>
                <a:schemeClr val="accent2"/>
              </a:solidFill>
              <a:round/>
            </a:ln>
            <a:effectLst/>
          </c:spPr>
          <c:marker>
            <c:symbol val="none"/>
          </c:marker>
          <c:val>
            <c:numRef>
              <c:f>'Financial Ratios'!$C$5:$I$5</c:f>
              <c:numCache>
                <c:formatCode>0.00%</c:formatCode>
                <c:ptCount val="5"/>
                <c:pt idx="0">
                  <c:v>0.15593971883709623</c:v>
                </c:pt>
                <c:pt idx="1">
                  <c:v>0.16167269910277118</c:v>
                </c:pt>
                <c:pt idx="2">
                  <c:v>0.14748021934254119</c:v>
                </c:pt>
                <c:pt idx="3">
                  <c:v>0.16846249953596662</c:v>
                </c:pt>
                <c:pt idx="4">
                  <c:v>0.16985462286417824</c:v>
                </c:pt>
              </c:numCache>
            </c:numRef>
          </c:val>
          <c:smooth val="0"/>
          <c:extLst>
            <c:ext xmlns:c16="http://schemas.microsoft.com/office/drawing/2014/chart" uri="{C3380CC4-5D6E-409C-BE32-E72D297353CC}">
              <c16:uniqueId val="{00000001-F97D-4C75-B83E-D16896D14549}"/>
            </c:ext>
          </c:extLst>
        </c:ser>
        <c:ser>
          <c:idx val="2"/>
          <c:order val="2"/>
          <c:tx>
            <c:strRef>
              <c:f>'Financial Ratios'!$B$6</c:f>
              <c:strCache>
                <c:ptCount val="1"/>
                <c:pt idx="0">
                  <c:v>Net Profit Margin </c:v>
                </c:pt>
              </c:strCache>
            </c:strRef>
          </c:tx>
          <c:spPr>
            <a:ln w="28575" cap="rnd">
              <a:solidFill>
                <a:schemeClr val="accent3"/>
              </a:solidFill>
              <a:round/>
            </a:ln>
            <a:effectLst/>
          </c:spPr>
          <c:marker>
            <c:symbol val="none"/>
          </c:marker>
          <c:val>
            <c:numRef>
              <c:f>'Financial Ratios'!$C$6:$I$6</c:f>
              <c:numCache>
                <c:formatCode>0.00%</c:formatCode>
                <c:ptCount val="5"/>
                <c:pt idx="0">
                  <c:v>0.10308378740020732</c:v>
                </c:pt>
                <c:pt idx="1">
                  <c:v>0.10732944902319896</c:v>
                </c:pt>
                <c:pt idx="2">
                  <c:v>8.9342669162718519E-2</c:v>
                </c:pt>
                <c:pt idx="3">
                  <c:v>0.10370273064194055</c:v>
                </c:pt>
                <c:pt idx="4">
                  <c:v>0.11387491524258045</c:v>
                </c:pt>
              </c:numCache>
            </c:numRef>
          </c:val>
          <c:smooth val="0"/>
          <c:extLst>
            <c:ext xmlns:c16="http://schemas.microsoft.com/office/drawing/2014/chart" uri="{C3380CC4-5D6E-409C-BE32-E72D297353CC}">
              <c16:uniqueId val="{00000002-F97D-4C75-B83E-D16896D14549}"/>
            </c:ext>
          </c:extLst>
        </c:ser>
        <c:dLbls>
          <c:showLegendKey val="0"/>
          <c:showVal val="0"/>
          <c:showCatName val="0"/>
          <c:showSerName val="0"/>
          <c:showPercent val="0"/>
          <c:showBubbleSize val="0"/>
        </c:dLbls>
        <c:smooth val="0"/>
        <c:axId val="400541903"/>
        <c:axId val="400542383"/>
      </c:lineChart>
      <c:catAx>
        <c:axId val="400541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542383"/>
        <c:crosses val="autoZero"/>
        <c:auto val="1"/>
        <c:lblAlgn val="ctr"/>
        <c:lblOffset val="100"/>
        <c:noMultiLvlLbl val="0"/>
      </c:catAx>
      <c:valAx>
        <c:axId val="40054238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541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'Financial Ratios'!$B$8</c:f>
              <c:strCache>
                <c:ptCount val="1"/>
                <c:pt idx="0">
                  <c:v>Return on Assets</c:v>
                </c:pt>
              </c:strCache>
            </c:strRef>
          </c:tx>
          <c:spPr>
            <a:ln w="28575" cap="rnd">
              <a:solidFill>
                <a:schemeClr val="accent1"/>
              </a:solidFill>
              <a:round/>
            </a:ln>
            <a:effectLst/>
          </c:spPr>
          <c:marker>
            <c:symbol val="none"/>
          </c:marker>
          <c:val>
            <c:numRef>
              <c:f>'Financial Ratios'!$C$8:$I$8</c:f>
              <c:numCache>
                <c:formatCode>0.00%</c:formatCode>
                <c:ptCount val="5"/>
                <c:pt idx="0">
                  <c:v>0.16403346621842002</c:v>
                </c:pt>
                <c:pt idx="1">
                  <c:v>0.14443563314015637</c:v>
                </c:pt>
                <c:pt idx="2">
                  <c:v>0.10362271048213419</c:v>
                </c:pt>
                <c:pt idx="3">
                  <c:v>0.113120090091391</c:v>
                </c:pt>
                <c:pt idx="4">
                  <c:v>0.13974637938956663</c:v>
                </c:pt>
              </c:numCache>
            </c:numRef>
          </c:val>
          <c:smooth val="0"/>
          <c:extLst>
            <c:ext xmlns:c16="http://schemas.microsoft.com/office/drawing/2014/chart" uri="{C3380CC4-5D6E-409C-BE32-E72D297353CC}">
              <c16:uniqueId val="{00000000-1708-4305-99D0-2A2AA4B86A42}"/>
            </c:ext>
          </c:extLst>
        </c:ser>
        <c:ser>
          <c:idx val="1"/>
          <c:order val="1"/>
          <c:tx>
            <c:strRef>
              <c:f>'Financial Ratios'!$B$10</c:f>
              <c:strCache>
                <c:ptCount val="1"/>
                <c:pt idx="0">
                  <c:v>Return on Equity </c:v>
                </c:pt>
              </c:strCache>
            </c:strRef>
          </c:tx>
          <c:spPr>
            <a:ln w="28575" cap="rnd">
              <a:solidFill>
                <a:schemeClr val="accent2"/>
              </a:solidFill>
              <a:round/>
            </a:ln>
            <a:effectLst/>
          </c:spPr>
          <c:marker>
            <c:symbol val="none"/>
          </c:marker>
          <c:val>
            <c:numRef>
              <c:f>'Financial Ratios'!$C$10:$I$10</c:f>
              <c:numCache>
                <c:formatCode>0.00%</c:formatCode>
                <c:ptCount val="5"/>
                <c:pt idx="0">
                  <c:v>0.23204191333267193</c:v>
                </c:pt>
                <c:pt idx="1">
                  <c:v>0.19318737427129926</c:v>
                </c:pt>
                <c:pt idx="2">
                  <c:v>0.13719074202157847</c:v>
                </c:pt>
                <c:pt idx="3">
                  <c:v>0.15157245840064107</c:v>
                </c:pt>
                <c:pt idx="4">
                  <c:v>0.20478225865303762</c:v>
                </c:pt>
              </c:numCache>
            </c:numRef>
          </c:val>
          <c:smooth val="0"/>
          <c:extLst>
            <c:ext xmlns:c16="http://schemas.microsoft.com/office/drawing/2014/chart" uri="{C3380CC4-5D6E-409C-BE32-E72D297353CC}">
              <c16:uniqueId val="{00000001-1708-4305-99D0-2A2AA4B86A42}"/>
            </c:ext>
          </c:extLst>
        </c:ser>
        <c:dLbls>
          <c:showLegendKey val="0"/>
          <c:showVal val="0"/>
          <c:showCatName val="0"/>
          <c:showSerName val="0"/>
          <c:showPercent val="0"/>
          <c:showBubbleSize val="0"/>
        </c:dLbls>
        <c:smooth val="0"/>
        <c:axId val="400539503"/>
        <c:axId val="400536623"/>
      </c:lineChart>
      <c:catAx>
        <c:axId val="400539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536623"/>
        <c:crosses val="autoZero"/>
        <c:auto val="1"/>
        <c:lblAlgn val="ctr"/>
        <c:lblOffset val="100"/>
        <c:noMultiLvlLbl val="0"/>
      </c:catAx>
      <c:valAx>
        <c:axId val="4005366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5395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'Financial Ratios'!$B$12</c:f>
              <c:strCache>
                <c:ptCount val="1"/>
                <c:pt idx="0">
                  <c:v>Current Ratio </c:v>
                </c:pt>
              </c:strCache>
            </c:strRef>
          </c:tx>
          <c:spPr>
            <a:ln w="28575" cap="rnd">
              <a:solidFill>
                <a:schemeClr val="accent1"/>
              </a:solidFill>
              <a:round/>
            </a:ln>
            <a:effectLst/>
          </c:spPr>
          <c:marker>
            <c:symbol val="none"/>
          </c:marker>
          <c:val>
            <c:numRef>
              <c:f>'Financial Ratios'!$C$12:$I$12</c:f>
              <c:numCache>
                <c:formatCode>0.00</c:formatCode>
                <c:ptCount val="5"/>
                <c:pt idx="0">
                  <c:v>2.3727057968377734</c:v>
                </c:pt>
                <c:pt idx="1">
                  <c:v>3.3009686228108404</c:v>
                </c:pt>
                <c:pt idx="2">
                  <c:v>3.4065253157643789</c:v>
                </c:pt>
                <c:pt idx="3">
                  <c:v>3.2292369910989298</c:v>
                </c:pt>
                <c:pt idx="4">
                  <c:v>2.566253777415215</c:v>
                </c:pt>
              </c:numCache>
            </c:numRef>
          </c:val>
          <c:smooth val="0"/>
          <c:extLst>
            <c:ext xmlns:c16="http://schemas.microsoft.com/office/drawing/2014/chart" uri="{C3380CC4-5D6E-409C-BE32-E72D297353CC}">
              <c16:uniqueId val="{00000000-253D-4925-863A-9468D539C3A8}"/>
            </c:ext>
          </c:extLst>
        </c:ser>
        <c:ser>
          <c:idx val="1"/>
          <c:order val="1"/>
          <c:tx>
            <c:strRef>
              <c:f>'Financial Ratios'!$B$13</c:f>
              <c:strCache>
                <c:ptCount val="1"/>
                <c:pt idx="0">
                  <c:v>Quick Ratio </c:v>
                </c:pt>
              </c:strCache>
            </c:strRef>
          </c:tx>
          <c:spPr>
            <a:ln w="28575" cap="rnd">
              <a:solidFill>
                <a:schemeClr val="accent2"/>
              </a:solidFill>
              <a:round/>
            </a:ln>
            <a:effectLst/>
          </c:spPr>
          <c:marker>
            <c:symbol val="none"/>
          </c:marker>
          <c:val>
            <c:numRef>
              <c:f>'Financial Ratios'!$C$13:$I$13</c:f>
              <c:numCache>
                <c:formatCode>0.00</c:formatCode>
                <c:ptCount val="5"/>
                <c:pt idx="0">
                  <c:v>0.99242784954051544</c:v>
                </c:pt>
                <c:pt idx="1">
                  <c:v>2.2510133963256771</c:v>
                </c:pt>
                <c:pt idx="2">
                  <c:v>2.3451350348453954</c:v>
                </c:pt>
                <c:pt idx="3">
                  <c:v>2.0306903117227484</c:v>
                </c:pt>
                <c:pt idx="4">
                  <c:v>1.4665434905927615</c:v>
                </c:pt>
              </c:numCache>
            </c:numRef>
          </c:val>
          <c:smooth val="0"/>
          <c:extLst>
            <c:ext xmlns:c16="http://schemas.microsoft.com/office/drawing/2014/chart" uri="{C3380CC4-5D6E-409C-BE32-E72D297353CC}">
              <c16:uniqueId val="{00000001-253D-4925-863A-9468D539C3A8}"/>
            </c:ext>
          </c:extLst>
        </c:ser>
        <c:dLbls>
          <c:showLegendKey val="0"/>
          <c:showVal val="0"/>
          <c:showCatName val="0"/>
          <c:showSerName val="0"/>
          <c:showPercent val="0"/>
          <c:showBubbleSize val="0"/>
        </c:dLbls>
        <c:smooth val="0"/>
        <c:axId val="400538543"/>
        <c:axId val="400543343"/>
      </c:lineChart>
      <c:catAx>
        <c:axId val="400538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543343"/>
        <c:crosses val="autoZero"/>
        <c:auto val="1"/>
        <c:lblAlgn val="ctr"/>
        <c:lblOffset val="100"/>
        <c:noMultiLvlLbl val="0"/>
      </c:catAx>
      <c:valAx>
        <c:axId val="40054334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5385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'DDM Tornado'!$B$22:$B$24</c:f>
              <c:strCache>
                <c:ptCount val="3"/>
                <c:pt idx="0">
                  <c:v>ROA</c:v>
                </c:pt>
                <c:pt idx="1">
                  <c:v>Retention rate</c:v>
                </c:pt>
                <c:pt idx="2">
                  <c:v>Cost of equity</c:v>
                </c:pt>
              </c:strCache>
            </c:strRef>
          </c:cat>
          <c:val>
            <c:numRef>
              <c:f>'DDM Tornado'!$C$22:$C$24</c:f>
              <c:numCache>
                <c:formatCode>"$"#,##0.00_);[Red]\("$"#,##0.00\)</c:formatCode>
                <c:ptCount val="3"/>
                <c:pt idx="0">
                  <c:v>1765.3656454989978</c:v>
                </c:pt>
                <c:pt idx="1">
                  <c:v>2712.6922328229994</c:v>
                </c:pt>
                <c:pt idx="2">
                  <c:v>3958.9964553219907</c:v>
                </c:pt>
              </c:numCache>
            </c:numRef>
          </c:val>
          <c:extLst>
            <c:ext xmlns:c16="http://schemas.microsoft.com/office/drawing/2014/chart" uri="{C3380CC4-5D6E-409C-BE32-E72D297353CC}">
              <c16:uniqueId val="{00000000-361E-4141-857A-C4C117273180}"/>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'DDM Tornado'!$B$22:$B$24</c:f>
              <c:strCache>
                <c:ptCount val="3"/>
                <c:pt idx="0">
                  <c:v>ROA</c:v>
                </c:pt>
                <c:pt idx="1">
                  <c:v>Retention rate</c:v>
                </c:pt>
                <c:pt idx="2">
                  <c:v>Cost of equity</c:v>
                </c:pt>
              </c:strCache>
            </c:strRef>
          </c:cat>
          <c:val>
            <c:numRef>
              <c:f>'DDM Tornado'!$D$22:$D$24</c:f>
              <c:numCache>
                <c:formatCode>"$"#,##0.00_);[Red]\("$"#,##0.00\)</c:formatCode>
                <c:ptCount val="3"/>
                <c:pt idx="0">
                  <c:v>-32243.895354542707</c:v>
                </c:pt>
                <c:pt idx="1">
                  <c:v>-1658.041508653012</c:v>
                </c:pt>
                <c:pt idx="2">
                  <c:v>-33029.705425228007</c:v>
                </c:pt>
              </c:numCache>
            </c:numRef>
          </c:val>
          <c:extLst>
            <c:ext xmlns:c16="http://schemas.microsoft.com/office/drawing/2014/chart" uri="{C3380CC4-5D6E-409C-BE32-E72D297353CC}">
              <c16:uniqueId val="{00000001-361E-4141-857A-C4C117273180}"/>
            </c:ext>
          </c:extLst>
        </c:ser>
        <c:dLbls>
          <c:dLblPos val="outEnd"/>
          <c:showLegendKey val="0"/>
          <c:showVal val="1"/>
          <c:showCatName val="0"/>
          <c:showSerName val="0"/>
          <c:showPercent val="0"/>
          <c:showBubbleSize val="0"/>
        </c:dLbls>
        <c:gapWidth val="182"/>
        <c:overlap val="100"/>
        <c:axId val="839947328"/>
        <c:axId val="839952128"/>
      </c:barChart>
      <c:catAx>
        <c:axId val="839947328"/>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9952128"/>
        <c:crosses val="autoZero"/>
        <c:auto val="1"/>
        <c:lblAlgn val="ctr"/>
        <c:lblOffset val="100"/>
        <c:noMultiLvlLbl val="0"/>
      </c:catAx>
      <c:valAx>
        <c:axId val="839952128"/>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9947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Variables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236001749781283E-2"/>
          <c:y val="0.18300925925925926"/>
          <c:w val="0.82161811023622044"/>
          <c:h val="0.61706802274715655"/>
        </c:manualLayout>
      </c:layout>
      <c:barChart>
        <c:barDir val="bar"/>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'DCF Tornado'!$B$22:$B$24</c:f>
              <c:strCache>
                <c:ptCount val="3"/>
                <c:pt idx="0">
                  <c:v>EV/EBITDA</c:v>
                </c:pt>
                <c:pt idx="1">
                  <c:v>Growth rate</c:v>
                </c:pt>
                <c:pt idx="2">
                  <c:v>WACC</c:v>
                </c:pt>
              </c:strCache>
            </c:strRef>
          </c:cat>
          <c:val>
            <c:numRef>
              <c:f>'DCF Tornado'!$C$22:$C$24</c:f>
              <c:numCache>
                <c:formatCode>_(* #,##0.00_);_(* \(#,##0.00\);_(* "-"??_);_(@_)</c:formatCode>
                <c:ptCount val="3"/>
                <c:pt idx="0">
                  <c:v>7373.7807640560059</c:v>
                </c:pt>
                <c:pt idx="1">
                  <c:v>6647.1220723753067</c:v>
                </c:pt>
                <c:pt idx="2">
                  <c:v>11145.138521681205</c:v>
                </c:pt>
              </c:numCache>
            </c:numRef>
          </c:val>
          <c:extLst>
            <c:ext xmlns:c16="http://schemas.microsoft.com/office/drawing/2014/chart" uri="{C3380CC4-5D6E-409C-BE32-E72D297353CC}">
              <c16:uniqueId val="{00000000-2AFF-4CDB-84D3-1599F28842DD}"/>
            </c:ext>
          </c:extLst>
        </c:ser>
        <c:ser>
          <c:idx val="1"/>
          <c:order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'DCF Tornado'!$B$22:$B$24</c:f>
              <c:strCache>
                <c:ptCount val="3"/>
                <c:pt idx="0">
                  <c:v>EV/EBITDA</c:v>
                </c:pt>
                <c:pt idx="1">
                  <c:v>Growth rate</c:v>
                </c:pt>
                <c:pt idx="2">
                  <c:v>WACC</c:v>
                </c:pt>
              </c:strCache>
            </c:strRef>
          </c:cat>
          <c:val>
            <c:numRef>
              <c:f>'DCF Tornado'!$D$22:$D$24</c:f>
              <c:numCache>
                <c:formatCode>_(* #,##0.00_);_(* \(#,##0.00\);_(* "-"??_);_(@_)</c:formatCode>
                <c:ptCount val="3"/>
                <c:pt idx="0">
                  <c:v>-9524.505091082392</c:v>
                </c:pt>
                <c:pt idx="1">
                  <c:v>-3244.788134063594</c:v>
                </c:pt>
                <c:pt idx="2">
                  <c:v>-11783.150365842295</c:v>
                </c:pt>
              </c:numCache>
            </c:numRef>
          </c:val>
          <c:extLst>
            <c:ext xmlns:c16="http://schemas.microsoft.com/office/drawing/2014/chart" uri="{C3380CC4-5D6E-409C-BE32-E72D297353CC}">
              <c16:uniqueId val="{00000001-2AFF-4CDB-84D3-1599F28842DD}"/>
            </c:ext>
          </c:extLst>
        </c:ser>
        <c:dLbls>
          <c:dLblPos val="outEnd"/>
          <c:showLegendKey val="0"/>
          <c:showVal val="1"/>
          <c:showCatName val="0"/>
          <c:showSerName val="0"/>
          <c:showPercent val="0"/>
          <c:showBubbleSize val="0"/>
        </c:dLbls>
        <c:gapWidth val="100"/>
        <c:overlap val="100"/>
        <c:axId val="728199904"/>
        <c:axId val="728199424"/>
      </c:barChart>
      <c:catAx>
        <c:axId val="728199904"/>
        <c:scaling>
          <c:orientation val="minMax"/>
        </c:scaling>
        <c:delete val="0"/>
        <c:axPos val="l"/>
        <c:numFmt formatCode="General" sourceLinked="1"/>
        <c:majorTickMark val="out"/>
        <c:minorTickMark val="none"/>
        <c:tickLblPos val="low"/>
        <c:spPr>
          <a:solidFill>
            <a:schemeClr val="tx1">
              <a:alpha val="0"/>
            </a:schemeClr>
          </a:solidFill>
          <a:ln w="12700" cap="flat" cmpd="dbl" algn="ctr">
            <a:solidFill>
              <a:schemeClr val="tx1">
                <a:lumMod val="15000"/>
                <a:lumOff val="8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728199424"/>
        <c:crosses val="autoZero"/>
        <c:auto val="0"/>
        <c:lblAlgn val="ctr"/>
        <c:lblOffset val="0"/>
        <c:noMultiLvlLbl val="0"/>
      </c:catAx>
      <c:valAx>
        <c:axId val="728199424"/>
        <c:scaling>
          <c:orientation val="minMax"/>
        </c:scaling>
        <c:delete val="0"/>
        <c:axPos val="b"/>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72819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Variables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'APV Tornado'!$B$24:$B$26</c:f>
              <c:strCache>
                <c:ptCount val="3"/>
                <c:pt idx="0">
                  <c:v>WACC</c:v>
                </c:pt>
                <c:pt idx="1">
                  <c:v>EV/EBITDA</c:v>
                </c:pt>
                <c:pt idx="2">
                  <c:v>Cost of unlevered equity</c:v>
                </c:pt>
              </c:strCache>
            </c:strRef>
          </c:cat>
          <c:val>
            <c:numRef>
              <c:f>'APV Tornado'!$C$24:$C$26</c:f>
              <c:numCache>
                <c:formatCode>_(* #,##0.00_);_(* \(#,##0.00\);_(* "-"??_);_(@_)</c:formatCode>
                <c:ptCount val="3"/>
                <c:pt idx="0">
                  <c:v>6886.290317695697</c:v>
                </c:pt>
                <c:pt idx="1">
                  <c:v>1446.6162181701002</c:v>
                </c:pt>
                <c:pt idx="2">
                  <c:v>2031.5822701319921</c:v>
                </c:pt>
              </c:numCache>
            </c:numRef>
          </c:val>
          <c:extLst>
            <c:ext xmlns:c16="http://schemas.microsoft.com/office/drawing/2014/chart" uri="{C3380CC4-5D6E-409C-BE32-E72D297353CC}">
              <c16:uniqueId val="{00000000-0832-4F4D-BD9D-C147AFE6716D}"/>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'APV Tornado'!$B$24:$B$26</c:f>
              <c:strCache>
                <c:ptCount val="3"/>
                <c:pt idx="0">
                  <c:v>WACC</c:v>
                </c:pt>
                <c:pt idx="1">
                  <c:v>EV/EBITDA</c:v>
                </c:pt>
                <c:pt idx="2">
                  <c:v>Cost of unlevered equity</c:v>
                </c:pt>
              </c:strCache>
            </c:strRef>
          </c:cat>
          <c:val>
            <c:numRef>
              <c:f>'APV Tornado'!$D$24:$D$26</c:f>
              <c:numCache>
                <c:formatCode>_(* #,##0.00_);_(* \(#,##0.00\);_(* "-"??_);_(@_)</c:formatCode>
                <c:ptCount val="3"/>
                <c:pt idx="0">
                  <c:v>-1798.0766183765008</c:v>
                </c:pt>
                <c:pt idx="1">
                  <c:v>-3233.6576161330013</c:v>
                </c:pt>
                <c:pt idx="2">
                  <c:v>-749.11607632670348</c:v>
                </c:pt>
              </c:numCache>
            </c:numRef>
          </c:val>
          <c:extLst>
            <c:ext xmlns:c16="http://schemas.microsoft.com/office/drawing/2014/chart" uri="{C3380CC4-5D6E-409C-BE32-E72D297353CC}">
              <c16:uniqueId val="{00000001-0832-4F4D-BD9D-C147AFE6716D}"/>
            </c:ext>
          </c:extLst>
        </c:ser>
        <c:dLbls>
          <c:dLblPos val="outEnd"/>
          <c:showLegendKey val="0"/>
          <c:showVal val="1"/>
          <c:showCatName val="0"/>
          <c:showSerName val="0"/>
          <c:showPercent val="0"/>
          <c:showBubbleSize val="0"/>
        </c:dLbls>
        <c:gapWidth val="100"/>
        <c:overlap val="100"/>
        <c:axId val="504197760"/>
        <c:axId val="504198240"/>
      </c:barChart>
      <c:catAx>
        <c:axId val="504197760"/>
        <c:scaling>
          <c:orientation val="minMax"/>
        </c:scaling>
        <c:delete val="0"/>
        <c:axPos val="l"/>
        <c:numFmt formatCode="_(&quot;$&quot;* #,##0.00_);_(&quot;$&quot;* \(#,##0.00\);_(&quot;$&quot;* &quot;-&quot;??_);_(@_)"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98240"/>
        <c:crosses val="autoZero"/>
        <c:auto val="1"/>
        <c:lblAlgn val="ctr"/>
        <c:lblOffset val="100"/>
        <c:noMultiLvlLbl val="0"/>
      </c:catAx>
      <c:valAx>
        <c:axId val="504198240"/>
        <c:scaling>
          <c:orientation val="minMax"/>
        </c:scaling>
        <c:delete val="0"/>
        <c:axPos val="b"/>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97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10</xdr:col>
      <xdr:colOff>252779</xdr:colOff>
      <xdr:row>1</xdr:row>
      <xdr:rowOff>167054</xdr:rowOff>
    </xdr:from>
    <xdr:to>
      <xdr:col>18</xdr:col>
      <xdr:colOff>76933</xdr:colOff>
      <xdr:row>16</xdr:row>
      <xdr:rowOff>52754</xdr:rowOff>
    </xdr:to>
    <xdr:graphicFrame macro="">
      <xdr:nvGraphicFramePr>
        <xdr:cNvPr id="18" name="Chart 2">
          <a:extLst>
            <a:ext uri="{FF2B5EF4-FFF2-40B4-BE49-F238E27FC236}">
              <a16:creationId xmlns:a16="http://schemas.microsoft.com/office/drawing/2014/main" id="{FD2B5C53-7E9E-D57D-3F40-B80CC83A51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238125</xdr:colOff>
      <xdr:row>17</xdr:row>
      <xdr:rowOff>13189</xdr:rowOff>
    </xdr:from>
    <xdr:to>
      <xdr:col>18</xdr:col>
      <xdr:colOff>62279</xdr:colOff>
      <xdr:row>31</xdr:row>
      <xdr:rowOff>89389</xdr:rowOff>
    </xdr:to>
    <xdr:graphicFrame macro="">
      <xdr:nvGraphicFramePr>
        <xdr:cNvPr id="20" name="Chart 3">
          <a:extLst>
            <a:ext uri="{FF2B5EF4-FFF2-40B4-BE49-F238E27FC236}">
              <a16:creationId xmlns:a16="http://schemas.microsoft.com/office/drawing/2014/main" id="{1E2457C4-F54B-CCD0-76A4-F4F145BABA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157529</xdr:colOff>
      <xdr:row>17</xdr:row>
      <xdr:rowOff>71805</xdr:rowOff>
    </xdr:from>
    <xdr:to>
      <xdr:col>25</xdr:col>
      <xdr:colOff>575164</xdr:colOff>
      <xdr:row>31</xdr:row>
      <xdr:rowOff>148005</xdr:rowOff>
    </xdr:to>
    <xdr:graphicFrame macro="">
      <xdr:nvGraphicFramePr>
        <xdr:cNvPr id="22" name="Chart 4">
          <a:extLst>
            <a:ext uri="{FF2B5EF4-FFF2-40B4-BE49-F238E27FC236}">
              <a16:creationId xmlns:a16="http://schemas.microsoft.com/office/drawing/2014/main" id="{A9F9E367-0365-CAB7-22F1-E25C68F865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266699</xdr:colOff>
      <xdr:row>19</xdr:row>
      <xdr:rowOff>180974</xdr:rowOff>
    </xdr:from>
    <xdr:to>
      <xdr:col>11</xdr:col>
      <xdr:colOff>542191</xdr:colOff>
      <xdr:row>39</xdr:row>
      <xdr:rowOff>95250</xdr:rowOff>
    </xdr:to>
    <xdr:graphicFrame macro="">
      <xdr:nvGraphicFramePr>
        <xdr:cNvPr id="2" name="Chart 1">
          <a:extLst>
            <a:ext uri="{FF2B5EF4-FFF2-40B4-BE49-F238E27FC236}">
              <a16:creationId xmlns:a16="http://schemas.microsoft.com/office/drawing/2014/main" id="{5AA43077-7BFD-776D-A13B-F68D6CA1FD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314134</xdr:colOff>
      <xdr:row>20</xdr:row>
      <xdr:rowOff>20197</xdr:rowOff>
    </xdr:from>
    <xdr:to>
      <xdr:col>11</xdr:col>
      <xdr:colOff>9875</xdr:colOff>
      <xdr:row>34</xdr:row>
      <xdr:rowOff>96397</xdr:rowOff>
    </xdr:to>
    <xdr:graphicFrame macro="">
      <xdr:nvGraphicFramePr>
        <xdr:cNvPr id="2" name="Chart 1">
          <a:extLst>
            <a:ext uri="{FF2B5EF4-FFF2-40B4-BE49-F238E27FC236}">
              <a16:creationId xmlns:a16="http://schemas.microsoft.com/office/drawing/2014/main" id="{6B509099-31FE-6BB5-451E-55D93DC9DA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209550</xdr:colOff>
      <xdr:row>22</xdr:row>
      <xdr:rowOff>19050</xdr:rowOff>
    </xdr:from>
    <xdr:to>
      <xdr:col>8</xdr:col>
      <xdr:colOff>847725</xdr:colOff>
      <xdr:row>38</xdr:row>
      <xdr:rowOff>114300</xdr:rowOff>
    </xdr:to>
    <xdr:graphicFrame macro="">
      <xdr:nvGraphicFramePr>
        <xdr:cNvPr id="24" name="Chart 1">
          <a:extLst>
            <a:ext uri="{FF2B5EF4-FFF2-40B4-BE49-F238E27FC236}">
              <a16:creationId xmlns:a16="http://schemas.microsoft.com/office/drawing/2014/main" id="{A46E841E-2D26-1D95-6E4E-776FC5EDA2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tudentuwsedu-my.sharepoint.com/personal/22027831_student_westernsydney_edu_au/Documents/SABV%20-%20NS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ean FS"/>
      <sheetName val="Data"/>
      <sheetName val="FS"/>
      <sheetName val="EBITDA Multiply"/>
      <sheetName val="FCF OLD"/>
      <sheetName val="Assumptions"/>
      <sheetName val="WACC and EBITDA Multiply"/>
      <sheetName val="Beta"/>
      <sheetName val="Beta NSC"/>
      <sheetName val="DCF"/>
      <sheetName val="APV"/>
      <sheetName val="Valuation summary"/>
      <sheetName val="Ratios"/>
      <sheetName val="Sensitivity Analysis"/>
      <sheetName val="Financial Ratios"/>
    </sheetNames>
    <sheetDataSet>
      <sheetData sheetId="0"/>
      <sheetData sheetId="1"/>
      <sheetData sheetId="2">
        <row r="2">
          <cell r="I2">
            <v>1994107468818.886</v>
          </cell>
        </row>
      </sheetData>
      <sheetData sheetId="3"/>
      <sheetData sheetId="4"/>
      <sheetData sheetId="5"/>
      <sheetData sheetId="6"/>
      <sheetData sheetId="7"/>
      <sheetData sheetId="8"/>
      <sheetData sheetId="9">
        <row r="8">
          <cell r="G8">
            <v>2023</v>
          </cell>
          <cell r="H8">
            <v>2024</v>
          </cell>
          <cell r="I8">
            <v>2025</v>
          </cell>
          <cell r="J8">
            <v>2026</v>
          </cell>
          <cell r="K8">
            <v>2027</v>
          </cell>
        </row>
        <row r="38">
          <cell r="E38">
            <v>91693.555799541311</v>
          </cell>
        </row>
      </sheetData>
      <sheetData sheetId="10"/>
      <sheetData sheetId="11"/>
      <sheetData sheetId="12"/>
      <sheetData sheetId="13"/>
      <sheetData sheetId="14"/>
    </sheetDataSet>
  </externalBook>
</externalLink>
</file>

<file path=xl/persons/person.xml><?xml version="1.0" encoding="utf-8"?>
<personList xmlns="http://schemas.microsoft.com/office/spreadsheetml/2018/threadedcomments" xmlns:x="http://schemas.openxmlformats.org/spreadsheetml/2006/main">
  <person displayName="Duc Chi Nhan Le" id="{4B4BD68C-5992-4F39-AE7E-62E6FB833B44}" userId="S::22027312@student.westernsydney.edu.au::f264a332-f58f-4d4b-9fb0-221f288dad1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4CCE818-BBC7-4459-8C0D-DA682C4A34C5}" name="Raw_Data_IS" displayName="Raw_Data_IS" ref="A1:H24" headerRowDxfId="253" dataDxfId="252" totalsRowDxfId="250" tableBorderDxfId="251">
  <autoFilter ref="A1:H24" xr:uid="{C4CCE818-BBC7-4459-8C0D-DA682C4A34C5}"/>
  <tableColumns count="8">
    <tableColumn id="1" xr3:uid="{E27D9CF6-21C5-40CA-A5B4-E9CD588D8427}" name="INCOME STATEMENT" dataDxfId="249" totalsRowDxfId="248"/>
    <tableColumn id="8" xr3:uid="{0970063B-E515-446B-BA3E-440E1E11B086}" name="2016" dataDxfId="247" totalsRowDxfId="246"/>
    <tableColumn id="2" xr3:uid="{4F2C8BAD-83D5-4796-8A57-C554C9B58BCE}" name="2017" dataDxfId="245" totalsRowDxfId="244"/>
    <tableColumn id="3" xr3:uid="{1D951957-C9B8-44BF-A40A-BDECA516870E}" name="2018" dataDxfId="243" totalsRowDxfId="242"/>
    <tableColumn id="4" xr3:uid="{9202F564-C1B3-418C-ADE0-AEF0117CE9F1}" name="2019" dataDxfId="241" totalsRowDxfId="240"/>
    <tableColumn id="5" xr3:uid="{6188BEC1-2438-4504-9542-0418A2B1A2DB}" name="2020" dataDxfId="239" totalsRowDxfId="238"/>
    <tableColumn id="6" xr3:uid="{303EC1A7-D84D-44E5-9BFC-FCFE824924FA}" name="2021" dataDxfId="237" totalsRowDxfId="236"/>
    <tableColumn id="7" xr3:uid="{FE736A73-27CE-4DD5-994B-2E7D28466A01}" name="2022" dataDxfId="235" totalsRowDxfId="2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2F2927B-4E27-4DC5-BF45-C292B75E9547}" name="Raw_Data_CS" displayName="Raw_Data_CS" ref="A147:H189" totalsRowShown="0" headerRowDxfId="233" dataDxfId="232" tableBorderDxfId="231">
  <autoFilter ref="A147:H189" xr:uid="{32F2927B-4E27-4DC5-BF45-C292B75E9547}"/>
  <tableColumns count="8">
    <tableColumn id="1" xr3:uid="{02AD8796-2DA7-4F63-99D3-AA4689F068A3}" name="CASHFLOW STATEMENT" dataDxfId="230"/>
    <tableColumn id="2" xr3:uid="{EC5E81C6-1CFD-432F-8E71-6A39E3A1AA47}" name="2016" dataDxfId="229"/>
    <tableColumn id="3" xr3:uid="{BEFE0EC2-A550-40F1-89B6-BF40424EB699}" name="2017" dataDxfId="228"/>
    <tableColumn id="4" xr3:uid="{7D15E332-5DF1-40BF-808D-F42A300A75D2}" name="2018" dataDxfId="227"/>
    <tableColumn id="5" xr3:uid="{E445BE76-1462-41E9-BB3B-C9E3CE561B32}" name="2019" dataDxfId="226"/>
    <tableColumn id="6" xr3:uid="{FBB41967-50F3-43A8-9E48-ED41A2E0F11F}" name="2020" dataDxfId="225"/>
    <tableColumn id="7" xr3:uid="{0AF920A7-97A8-4537-B77F-5A883C8EFD4D}" name="2021" dataDxfId="224"/>
    <tableColumn id="8" xr3:uid="{76EAB004-A809-4C7D-B640-CF42F2389E9B}" name="2022" dataDxfId="2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72ADF86-FE92-4257-BF96-10BBB906573E}" name="Raw_Data_BS" displayName="Raw_Data_BS" ref="A26:H145" headerRowDxfId="222" dataDxfId="221" totalsRowDxfId="219" tableBorderDxfId="220">
  <autoFilter ref="A26:H145" xr:uid="{872ADF86-FE92-4257-BF96-10BBB906573E}"/>
  <tableColumns count="8">
    <tableColumn id="1" xr3:uid="{0985F1D3-BE9F-4968-B2BC-EF3440593E4B}" name="BALANCE SHEET" dataDxfId="218" totalsRowDxfId="217"/>
    <tableColumn id="2" xr3:uid="{36633F8C-1E4D-4525-8352-204C90339090}" name="2016" dataDxfId="216" totalsRowDxfId="215"/>
    <tableColumn id="3" xr3:uid="{5B6E0C2F-F8A5-4BA3-B527-9D03F22F5F69}" name="2017" dataDxfId="214" totalsRowDxfId="213"/>
    <tableColumn id="4" xr3:uid="{A60993DD-70C0-46EE-8BDA-B22BFE55AE21}" name="2018" dataDxfId="212" totalsRowDxfId="211"/>
    <tableColumn id="5" xr3:uid="{BADA588E-0907-431A-A0D3-6D0C26980199}" name="2019" dataDxfId="210" totalsRowDxfId="209"/>
    <tableColumn id="6" xr3:uid="{6C7A3927-340E-4AD6-A8FA-A72C49CEDB29}" name="2020" dataDxfId="208" totalsRowDxfId="207"/>
    <tableColumn id="7" xr3:uid="{38458BFE-F1D6-4643-9B50-4FB07F15FBFF}" name="2021" dataDxfId="206" totalsRowDxfId="205"/>
    <tableColumn id="8" xr3:uid="{12E4FBD3-04CD-436C-824E-8FFCB1A42C1F}" name="2022" dataDxfId="204" totalsRowDxfId="2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4174053-8DA6-4CEC-B44D-774218A0E417}" name="Data_Clean_BS" displayName="Data_Clean_BS" ref="A26:G63" totalsRowShown="0">
  <autoFilter ref="A26:G63" xr:uid="{C4174053-8DA6-4CEC-B44D-774218A0E417}"/>
  <tableColumns count="7">
    <tableColumn id="1" xr3:uid="{A6D3F80E-1A6E-4724-8F5F-3964A42F21A3}" name="BALANCE SHEET"/>
    <tableColumn id="2" xr3:uid="{BF72AAC9-5631-44C9-8E55-E970097DD810}" name="2017" dataDxfId="202"/>
    <tableColumn id="3" xr3:uid="{AD4BC0F8-AE92-4870-B862-047E99E2CA4D}" name="2018" dataDxfId="201"/>
    <tableColumn id="4" xr3:uid="{31CA9FC6-BC50-4E27-A542-9E77FFC105CF}" name="2019" dataDxfId="200"/>
    <tableColumn id="5" xr3:uid="{2272063D-0025-4AA3-B37B-8978511CC4DF}" name="2020" dataDxfId="199"/>
    <tableColumn id="6" xr3:uid="{B5986014-0816-45FF-BFCB-CA204257193F}" name="2021" dataDxfId="198"/>
    <tableColumn id="7" xr3:uid="{B0350690-E526-4D54-8C03-C4D957D9C1BD}" name="2022" dataDxfId="19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76A0856-A750-4347-957F-F3B30AC4D81F}" name="Data_Clean_CS" displayName="Data_Clean_CS" ref="A91:G133" totalsRowShown="0" headerRowDxfId="196" tableBorderDxfId="195">
  <autoFilter ref="A91:G133" xr:uid="{776A0856-A750-4347-957F-F3B30AC4D81F}"/>
  <tableColumns count="7">
    <tableColumn id="1" xr3:uid="{5CF6C014-CB05-458F-9B40-0F24A6302D5A}" name="CASHFLOW STATEMENT"/>
    <tableColumn id="2" xr3:uid="{654652F9-D098-4E4E-B9B7-57E32BFF4897}" name="2017"/>
    <tableColumn id="3" xr3:uid="{8CA297A1-C0D3-47B4-AE26-143832FEACBB}" name="2018"/>
    <tableColumn id="4" xr3:uid="{30163E1A-9D0A-4970-9CBA-741DCF4BC27F}" name="2019"/>
    <tableColumn id="5" xr3:uid="{5234B8F0-2B37-4F63-865A-4D9729699B36}" name="2020"/>
    <tableColumn id="6" xr3:uid="{A66E3580-611F-4E96-AB20-BFD279A093EB}" name="2021"/>
    <tableColumn id="7" xr3:uid="{F59116C2-13E6-4D49-9B8D-3E4182B050AE}" name="202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1A544E1-F7F6-4D6E-9168-ECBCC95063FC}" name="Data_Clean_IS" displayName="Data_Clean_IS" ref="A1:G24" totalsRowShown="0" headerRowDxfId="194" tableBorderDxfId="193">
  <autoFilter ref="A1:G24" xr:uid="{91A544E1-F7F6-4D6E-9168-ECBCC95063FC}"/>
  <tableColumns count="7">
    <tableColumn id="1" xr3:uid="{38D597BA-8379-4AA5-8279-D9037E0D8CA4}" name="INCOME STATEMENT" dataDxfId="192"/>
    <tableColumn id="2" xr3:uid="{05513216-E51C-44B5-A4B7-80C3E2FCA3D6}" name="2017" dataDxfId="191"/>
    <tableColumn id="3" xr3:uid="{3C8B70CA-9AC1-4A25-8288-EECFDCDE66DD}" name="2018" dataDxfId="190"/>
    <tableColumn id="4" xr3:uid="{92CD9BC1-EB08-42B6-86DA-6112C1C19B64}" name="2019" dataDxfId="189"/>
    <tableColumn id="5" xr3:uid="{D41F7C07-E105-4F9A-AF99-3C12B5255F5E}" name="2020" dataDxfId="188"/>
    <tableColumn id="6" xr3:uid="{A3136FC0-529F-4473-9AE7-EC77ED3B365A}" name="2021" dataDxfId="187"/>
    <tableColumn id="7" xr3:uid="{222A682C-5994-4B1E-805A-AC11244EF739}" name="2022" dataDxfId="18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E91080-4440-4385-B74F-A955AD7D5FA6}" name="Table25" displayName="Table25" ref="B2:I32" totalsRowShown="0" headerRowDxfId="185" dataDxfId="184" tableBorderDxfId="183">
  <autoFilter ref="B2:I32" xr:uid="{19E91080-4440-4385-B74F-A955AD7D5FA6}"/>
  <tableColumns count="8">
    <tableColumn id="1" xr3:uid="{4D00C056-04E5-4296-B0BC-0058DDB60F4E}" name="KEY FINANCIAL RATIOS" dataDxfId="182"/>
    <tableColumn id="2" xr3:uid="{97E12EB9-8F13-432E-9069-37FC10B29FC1}" name="Average" dataDxfId="181"/>
    <tableColumn id="3" xr3:uid="{2AAE9512-3264-4679-9C33-79EB53FA38A6}" name="2017" dataDxfId="180"/>
    <tableColumn id="4" xr3:uid="{F7A03EA4-24C5-4368-9834-D9663CE63941}" name="2018" dataDxfId="179"/>
    <tableColumn id="5" xr3:uid="{F314CEFB-E726-43E1-AD80-D30DAD9FFC37}" name="2019" dataDxfId="178"/>
    <tableColumn id="6" xr3:uid="{8059060C-D137-4A0D-8E86-51A5B2E7F2CC}" name="2020" dataDxfId="177"/>
    <tableColumn id="7" xr3:uid="{A37D3261-E9B9-47A6-B9FD-B92F26F56A39}" name="2021" dataDxfId="176"/>
    <tableColumn id="8" xr3:uid="{EAA09C06-40B2-4E36-ACA0-680EFC6D4E02}" name="2022" dataDxfId="175"/>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DDE7EC-544F-4E07-8932-D7802FBF495C}" name="Depre_Calculation" displayName="Depre_Calculation" ref="A1:H3" totalsRowShown="0" headerRowDxfId="174" headerRowBorderDxfId="173" tableBorderDxfId="172">
  <autoFilter ref="A1:H3" xr:uid="{A5DDE7EC-544F-4E07-8932-D7802FBF495C}"/>
  <tableColumns count="8">
    <tableColumn id="1" xr3:uid="{1CD31A89-6F9B-4B01-99D4-C332CA2BFFF4}" name="Items"/>
    <tableColumn id="2" xr3:uid="{F4BD4829-D2A4-4DDF-8E8D-8213B791A0C0}" name="Average">
      <calculatedColumnFormula>AVERAGE(C2:H2)</calculatedColumnFormula>
    </tableColumn>
    <tableColumn id="3" xr3:uid="{589BF4A7-BFBE-4C4A-B9FF-D8BE44DE991A}" name="2017"/>
    <tableColumn id="4" xr3:uid="{24A8EC5A-DA90-4779-8D01-20AC5199DD4E}" name="2018"/>
    <tableColumn id="5" xr3:uid="{D0F33576-38F9-47E2-AE15-19E102950AD2}" name="2019"/>
    <tableColumn id="6" xr3:uid="{773E01B9-22D3-43FE-A9BC-94AB4300A3DA}" name="2020"/>
    <tableColumn id="7" xr3:uid="{3753131F-B9B2-4118-ACBC-B4E06E589C3B}" name="2021"/>
    <tableColumn id="8" xr3:uid="{D5B1EAB4-7174-467E-B647-7436427D97DA}" name="20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4CD9A34-7C4F-469F-BA49-2CCBA9E0769A}" name="Sales_Category" displayName="Sales_Category" ref="A4:G9">
  <autoFilter ref="A4:G9" xr:uid="{84CD9A34-7C4F-469F-BA49-2CCBA9E0769A}"/>
  <tableColumns count="7">
    <tableColumn id="1" xr3:uid="{13DDC40A-0E6D-4D45-AE00-12179CA87EA7}" name="Item" totalsRowLabel="Total Revenue"/>
    <tableColumn id="2" xr3:uid="{4A3BC9A4-F0D2-42CE-ADE4-6A143FD2A5CD}" name="2016"/>
    <tableColumn id="3" xr3:uid="{554F967E-F670-4992-8692-072CFD63387A}" name="2017"/>
    <tableColumn id="4" xr3:uid="{F2CFF341-29D1-48DF-AD54-5119F67CC101}" name="2018"/>
    <tableColumn id="5" xr3:uid="{7E2AAC08-F635-4715-8CFA-7A738AB296B5}" name="2019"/>
    <tableColumn id="13" xr3:uid="{6B8BD619-C2C6-429F-BCF5-B188691AADC9}" name="2020"/>
    <tableColumn id="6" xr3:uid="{FF520A72-8385-4967-9EE3-2DCD82C8CE09}" name="2021" dataDxfId="171" totalsRowDxfId="17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3E28A87-2C6E-49F3-BF4E-F54503B24C9A}" name="Sales_Market" displayName="Sales_Market" ref="A20:H22" tableBorderDxfId="169">
  <autoFilter ref="A20:H22" xr:uid="{13E28A87-2C6E-49F3-BF4E-F54503B24C9A}"/>
  <tableColumns count="8">
    <tableColumn id="1" xr3:uid="{3AF45FB7-0692-4591-9BC5-2378FB02514B}" name="Market" totalsRowLabel="Total Revenue"/>
    <tableColumn id="14" xr3:uid="{D567DA9F-1F3C-4DF4-9CAD-A8F2E70A9E4B}" name="2016" dataDxfId="168"/>
    <tableColumn id="2" xr3:uid="{24C103D5-7BCF-4C4C-9959-BF47B9BEBB69}" name="2017"/>
    <tableColumn id="3" xr3:uid="{EA00DC78-60BE-4855-AEFB-02F32C81D603}" name="2018"/>
    <tableColumn id="4" xr3:uid="{DEDE74E6-A83C-492E-BFDC-49FE436BF33A}" name="2019"/>
    <tableColumn id="5" xr3:uid="{EF274ECB-0EA7-4DA3-B1D6-CA89B0D8A9D2}" name="2020"/>
    <tableColumn id="6" xr3:uid="{051AB94C-C741-432C-9C59-D3C53A4B105C}" name="2021"/>
    <tableColumn id="7" xr3:uid="{929D49BD-8BCF-4366-BDEB-5E1092E4447F}" name="2022" totalsRowFunction="custom" totalsRowDxfId="167">
      <totalsRowFormula>SUM(H25:H26)</totalsRow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D33072-B37D-4A10-97E8-EC04621320D1}" name="Sales_Forecasts_Summary" displayName="Sales_Forecasts_Summary" ref="G29:M30" totalsRowShown="0" headerRowDxfId="166">
  <autoFilter ref="G29:M30" xr:uid="{16D33072-B37D-4A10-97E8-EC04621320D1}"/>
  <tableColumns count="7">
    <tableColumn id="1" xr3:uid="{1403BC0E-D893-4A1B-9FC1-0DACD5BA53CD}" name="Item"/>
    <tableColumn id="2" xr3:uid="{8D3A677D-1BA8-4FD4-917D-FBDD5F6054CD}" name="2022" dataDxfId="165">
      <calculatedColumnFormula>Sales_Market_Forecast[[#Totals],[2022]]</calculatedColumnFormula>
    </tableColumn>
    <tableColumn id="3" xr3:uid="{E3546BE4-7090-4D5F-A9EB-29803C727FB7}" name="2023" dataDxfId="164">
      <calculatedColumnFormula>Sales_Category_Forecast[[#Totals],[2023]]*$H$33+$H$34*Sales_Market_Forecast[[#Totals],[2023]]</calculatedColumnFormula>
    </tableColumn>
    <tableColumn id="4" xr3:uid="{9D21CE21-3509-4FBA-B35F-357CC922F393}" name="2024" dataDxfId="163">
      <calculatedColumnFormula>Sales_Category_Forecast[[#Totals],[2024]]*H33+H34*Sales_Market_Forecast[[#Totals],[2024]]</calculatedColumnFormula>
    </tableColumn>
    <tableColumn id="5" xr3:uid="{1C621F2C-97DC-4536-AAED-F0C5DAE75543}" name="2025" dataDxfId="162">
      <calculatedColumnFormula>Sales_Category_Forecast[[#Totals],[2025]]*H33+Sales_Market_Forecast[[#Totals],[2025]]*H34</calculatedColumnFormula>
    </tableColumn>
    <tableColumn id="6" xr3:uid="{E4822619-4C65-4D5E-B0A5-F87374E3FB14}" name="2026" dataDxfId="161">
      <calculatedColumnFormula>Sales_Category_Forecast[[#Totals],[2026]]*H33+H34*Sales_Market_Forecast[[#Totals],[2026]]</calculatedColumnFormula>
    </tableColumn>
    <tableColumn id="7" xr3:uid="{14AD176D-5A6D-4175-BB58-D80B9D6F3D4C}" name="2027" dataDxfId="160">
      <calculatedColumnFormula>Sales_Category_Forecast[[#Totals],[2027]]*H33+Sales_Market_Forecast[[#Totals],[2027]]*H34</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C4D9950-3A2F-4126-9AB7-14E0894DAB8F}" name="Sales_weight" displayName="Sales_weight" ref="G32:I34" totalsRowShown="0">
  <autoFilter ref="G32:I34" xr:uid="{DC4D9950-3A2F-4126-9AB7-14E0894DAB8F}"/>
  <tableColumns count="3">
    <tableColumn id="1" xr3:uid="{A9249928-234A-4E44-A2E0-A98FF217A715}" name="Revenue type "/>
    <tableColumn id="2" xr3:uid="{3933B04B-4CAA-45B8-8ED0-A583B3C87C8D}" name="Weight" dataDxfId="159"/>
    <tableColumn id="3" xr3:uid="{144746A5-0B12-44B8-9290-37D19B19B077}" name="Reason" dataDxfId="15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4D06A0A-9A84-4D7D-BDB1-AAAF1D3880D3}" name="Sales_Summary" displayName="Sales_Summary" ref="A1:H2" totalsRowShown="0" headerRowDxfId="157" dataDxfId="156" tableBorderDxfId="155">
  <autoFilter ref="A1:H2" xr:uid="{D4D06A0A-9A84-4D7D-BDB1-AAAF1D3880D3}"/>
  <tableColumns count="8">
    <tableColumn id="1" xr3:uid="{15BA57EA-B051-4C6D-BDEF-6946B1833F3F}" name="Items" dataDxfId="154"/>
    <tableColumn id="2" xr3:uid="{D8F8DE40-476B-4E6C-8522-5C4A6057E122}" name="2016" dataDxfId="153">
      <calculatedColumnFormula>Raw_Data_IS[[#This Row],[2016]]</calculatedColumnFormula>
    </tableColumn>
    <tableColumn id="3" xr3:uid="{52B9041C-E9FF-4010-94E7-3FD1F6335F3C}" name="2017" dataDxfId="152">
      <calculatedColumnFormula>'Raw Data'!C4</calculatedColumnFormula>
    </tableColumn>
    <tableColumn id="4" xr3:uid="{E0407DDC-027A-4677-9B63-747D16028384}" name="2018" dataDxfId="151">
      <calculatedColumnFormula>'Raw Data'!D4</calculatedColumnFormula>
    </tableColumn>
    <tableColumn id="5" xr3:uid="{61EB286C-7049-4643-916B-524DD1F2F51E}" name="2019" dataDxfId="150">
      <calculatedColumnFormula>'Raw Data'!E4</calculatedColumnFormula>
    </tableColumn>
    <tableColumn id="6" xr3:uid="{735D2E50-41EE-42AC-A7EC-3643CD2FC4CE}" name="2020" dataDxfId="149">
      <calculatedColumnFormula>'Raw Data'!F4</calculatedColumnFormula>
    </tableColumn>
    <tableColumn id="7" xr3:uid="{95BA1228-D2AC-423C-BFD0-3D7BBC28B757}" name="2021" dataDxfId="148">
      <calculatedColumnFormula>'Raw Data'!G4</calculatedColumnFormula>
    </tableColumn>
    <tableColumn id="8" xr3:uid="{6F9C8454-32B3-4E3C-B076-B259572E2CA3}" name="2022" dataDxfId="147">
      <calculatedColumnFormula>'Raw Data'!H4</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F3B5238-1420-401D-9E60-3B177B27D880}" name="Sales_Category_Forecast" displayName="Sales_Category_Forecast" ref="A11:M17" totalsRowCount="1" headerRowDxfId="146" headerRowBorderDxfId="145" tableBorderDxfId="144">
  <autoFilter ref="A11:M16" xr:uid="{CF3B5238-1420-401D-9E60-3B177B27D880}"/>
  <tableColumns count="13">
    <tableColumn id="1" xr3:uid="{0FED9CDC-9D64-47D4-9630-7521D8F3AE18}" name="Items" totalsRowLabel="Total"/>
    <tableColumn id="2" xr3:uid="{CF8EF564-C0A8-40A2-A59E-8B23B1829621}" name="2016" dataDxfId="143" totalsRowDxfId="142">
      <calculatedColumnFormula>B5*$B$2</calculatedColumnFormula>
    </tableColumn>
    <tableColumn id="3" xr3:uid="{4308A56C-4759-4936-810A-C44CB9F9695D}" name="2017" dataDxfId="141" totalsRowDxfId="140">
      <calculatedColumnFormula>C5*$C$2</calculatedColumnFormula>
    </tableColumn>
    <tableColumn id="4" xr3:uid="{B575D41F-E137-4C39-9071-05DC49143EFA}" name="2018" dataDxfId="139" totalsRowDxfId="138">
      <calculatedColumnFormula>D5*$D$2</calculatedColumnFormula>
    </tableColumn>
    <tableColumn id="5" xr3:uid="{5D2E7E4C-1AFD-4444-A75C-A85C8D795EC1}" name="2019" dataDxfId="137" totalsRowDxfId="136">
      <calculatedColumnFormula>E5*$E$2</calculatedColumnFormula>
    </tableColumn>
    <tableColumn id="6" xr3:uid="{932D777C-E387-4A10-A1F9-868A1E744D1A}" name="2020" dataDxfId="135" totalsRowDxfId="134">
      <calculatedColumnFormula>F5*$F$2</calculatedColumnFormula>
    </tableColumn>
    <tableColumn id="7" xr3:uid="{1845B4E6-2393-40A9-8E28-DC4A215FA50B}" name="2021" dataDxfId="133" totalsRowDxfId="132">
      <calculatedColumnFormula>G5*$G$2</calculatedColumnFormula>
    </tableColumn>
    <tableColumn id="8" xr3:uid="{B8BE2A38-5A65-436D-903B-24393DFB3728}" name="2022" totalsRowFunction="custom" dataDxfId="131" totalsRowDxfId="130">
      <totalsRowFormula>SUM(Sales_Category_Forecast[2022])</totalsRowFormula>
    </tableColumn>
    <tableColumn id="9" xr3:uid="{8CB7AE42-2138-4CD9-A772-03D7012DCF98}" name="2023" totalsRowFunction="custom" dataDxfId="129" totalsRowDxfId="128">
      <totalsRowFormula>SUM(Sales_Category_Forecast[2023])</totalsRowFormula>
    </tableColumn>
    <tableColumn id="10" xr3:uid="{110825F2-D925-4A48-A7AF-D3A7AE85B9C1}" name="2024" totalsRowFunction="custom" dataDxfId="127" totalsRowDxfId="126">
      <totalsRowFormula>SUM(Sales_Category_Forecast[2024])</totalsRowFormula>
    </tableColumn>
    <tableColumn id="11" xr3:uid="{3BC0DAAF-9376-4C74-9FE6-5E8263701DE0}" name="2025" totalsRowFunction="custom" dataDxfId="125" totalsRowDxfId="124">
      <totalsRowFormula>SUM(Sales_Category_Forecast[2025])</totalsRowFormula>
    </tableColumn>
    <tableColumn id="12" xr3:uid="{EF5C0DDC-3FE1-4349-903D-A00117F8EBC2}" name="2026" totalsRowFunction="custom" dataDxfId="123" totalsRowDxfId="122">
      <totalsRowFormula>SUM(Sales_Category_Forecast[2026])</totalsRowFormula>
    </tableColumn>
    <tableColumn id="13" xr3:uid="{4C6D32AD-1710-43E3-B3FC-7451025572E3}" name="2027" totalsRowFunction="custom" dataDxfId="121" totalsRowDxfId="120">
      <totalsRowFormula>SUM(Sales_Category_Forecast[2027])</totalsRow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745E90F-74A9-45B3-92AF-1E55A0F49794}" name="Sales_Market_Forecast" displayName="Sales_Market_Forecast" ref="A24:M27" totalsRowCount="1" headerRowDxfId="119" tableBorderDxfId="118">
  <autoFilter ref="A24:M26" xr:uid="{9745E90F-74A9-45B3-92AF-1E55A0F49794}"/>
  <tableColumns count="13">
    <tableColumn id="1" xr3:uid="{627AD102-EFE2-4BEE-87FA-71171907D09B}" name="Market " totalsRowLabel="Total"/>
    <tableColumn id="2" xr3:uid="{44C99928-9248-4040-BED1-C15B00171354}" name="2016" dataDxfId="117"/>
    <tableColumn id="3" xr3:uid="{5F614041-485A-4F88-BBBB-4C18E9A5243D}" name="2017" dataDxfId="116">
      <calculatedColumnFormula>C21*C1</calculatedColumnFormula>
    </tableColumn>
    <tableColumn id="4" xr3:uid="{8182D9CF-EE62-4B90-98F9-92D90D20FD8B}" name="2018" dataDxfId="115">
      <calculatedColumnFormula>D21*D1</calculatedColumnFormula>
    </tableColumn>
    <tableColumn id="5" xr3:uid="{D1071A44-B1B1-460D-8EDB-5A18C6C51F45}" name="2019" dataDxfId="114">
      <calculatedColumnFormula>E21*E1</calculatedColumnFormula>
    </tableColumn>
    <tableColumn id="6" xr3:uid="{227253B4-27E7-44E0-8D67-332992A9D4D7}" name="2020" dataDxfId="113">
      <calculatedColumnFormula>F21*F1</calculatedColumnFormula>
    </tableColumn>
    <tableColumn id="7" xr3:uid="{E1A2A287-C589-4EEF-BEA9-2F5B0A882F98}" name="2021" dataDxfId="112">
      <calculatedColumnFormula>G21*G1</calculatedColumnFormula>
    </tableColumn>
    <tableColumn id="8" xr3:uid="{3842AE00-21E0-420F-BDA3-89CF0C4F34A6}" name="2022" totalsRowFunction="custom" dataDxfId="111" totalsRowDxfId="110">
      <calculatedColumnFormula>H21*H1</calculatedColumnFormula>
      <totalsRowFormula>SUM(H26,H25)</totalsRowFormula>
    </tableColumn>
    <tableColumn id="9" xr3:uid="{54E5B18A-3122-433F-BE83-2F76DEBF910B}" name="2023" totalsRowFunction="custom" dataDxfId="109" totalsRowDxfId="108">
      <calculatedColumnFormula>Sales_Market_Forecast[[#This Row],[2022]]*(1+Assumptions!B9)</calculatedColumnFormula>
      <totalsRowFormula>SUM(I26,I25)</totalsRowFormula>
    </tableColumn>
    <tableColumn id="10" xr3:uid="{DE6775DE-C46C-4142-B6F8-9DE617DE78EF}" name="2024" totalsRowFunction="custom" dataDxfId="107" totalsRowDxfId="106">
      <calculatedColumnFormula>#REF!*(1+Assumptions!$B$10)</calculatedColumnFormula>
      <totalsRowFormula>SUM(J26,J25)</totalsRowFormula>
    </tableColumn>
    <tableColumn id="11" xr3:uid="{C985D4A3-BF38-4A95-9634-D92B4D37450C}" name="2025" totalsRowFunction="custom" dataDxfId="105" totalsRowDxfId="104">
      <calculatedColumnFormula>#REF!*(1+Assumptions!$B$10)</calculatedColumnFormula>
      <totalsRowFormula>SUM(K26,K25)</totalsRowFormula>
    </tableColumn>
    <tableColumn id="12" xr3:uid="{5D08D4D6-BFC5-43FF-BEFA-F66147BAA27D}" name="2026" totalsRowFunction="custom" dataDxfId="103" totalsRowDxfId="102">
      <calculatedColumnFormula>#REF!*(1+Assumptions!$B$10)</calculatedColumnFormula>
      <totalsRowFormula>SUM(L26,L25)</totalsRowFormula>
    </tableColumn>
    <tableColumn id="13" xr3:uid="{F026BBF4-1922-4026-B6FC-D0F3044D4E79}" name="2027" totalsRowFunction="custom" dataDxfId="101" totalsRowDxfId="100">
      <calculatedColumnFormula>#REF!*(1+Assumptions!$B$10)</calculatedColumnFormula>
      <totalsRowFormula>SUM(M26,M25)</totalsRow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38388A-C573-4D2C-988E-8A819AA4F024}" name="Sales_Assumption" displayName="Sales_Assumption" ref="A1:H10" totalsRowShown="0">
  <autoFilter ref="A1:H10" xr:uid="{6B38388A-C573-4D2C-988E-8A819AA4F024}"/>
  <tableColumns count="8">
    <tableColumn id="1" xr3:uid="{4D4FFB6C-C6F1-4688-A8F6-9D8D8C0388D0}" name="Sales GROWTH"/>
    <tableColumn id="2" xr3:uid="{56A60C16-18AE-4B99-AEC7-693BD9F628A5}" name="Average"/>
    <tableColumn id="4" xr3:uid="{272BA97A-8A5F-49A8-86F3-0562DE05FF7E}" name="2017"/>
    <tableColumn id="5" xr3:uid="{F011AF74-24F7-41D2-A2A0-F0F8F3F4E7A1}" name="2018"/>
    <tableColumn id="6" xr3:uid="{2B3D20E6-CE4C-4751-B525-0CFAB798D4C4}" name="2019"/>
    <tableColumn id="7" xr3:uid="{8372C441-F18B-48E5-AA48-8D719F1822DD}" name="2020"/>
    <tableColumn id="8" xr3:uid="{17011E10-C7AB-4812-9391-7EE3359A92F5}" name="2021"/>
    <tableColumn id="9" xr3:uid="{F95413E7-0EC7-422D-AEBB-3498773834BF}" name="202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4D8B228-486E-4F51-83C5-D0CE8F249E35}" name="IS_Assumptions" displayName="IS_Assumptions" ref="A12:H20" totalsRowShown="0" headerRowDxfId="99" headerRowBorderDxfId="98" tableBorderDxfId="97">
  <autoFilter ref="A12:H20" xr:uid="{F4D8B228-486E-4F51-83C5-D0CE8F249E35}"/>
  <tableColumns count="8">
    <tableColumn id="1" xr3:uid="{A3F24FF5-6D45-41C5-8A41-79641991BE5D}" name="INCOME STATEMENT"/>
    <tableColumn id="2" xr3:uid="{2C4827F0-4E89-44F3-A03F-4582236F674D}" name="Average" dataDxfId="96">
      <calculatedColumnFormula>AVERAGE(IS_Assumptions[[#This Row],[2017]:[2022]])</calculatedColumnFormula>
    </tableColumn>
    <tableColumn id="3" xr3:uid="{B21550FE-8EEC-4518-94A8-5B986FCD53F9}" name="2017" dataDxfId="95"/>
    <tableColumn id="4" xr3:uid="{92A04E3B-D578-49A5-B2F6-DEEBD36929C2}" name="2018" dataDxfId="94"/>
    <tableColumn id="5" xr3:uid="{63DCD153-8D51-4040-924E-A52CB9A0404B}" name="2019" dataDxfId="93"/>
    <tableColumn id="6" xr3:uid="{B496C740-BBC4-42B2-861C-2E126CFC237C}" name="2020" dataDxfId="92"/>
    <tableColumn id="7" xr3:uid="{54515157-A5A8-41EB-8565-130BDF2B0AD0}" name="2021" dataDxfId="91"/>
    <tableColumn id="8" xr3:uid="{E7E9B707-FBCE-4F97-A87C-CA8AC202961F}" name="2022" dataDxfId="9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E8A15C3-8E81-470A-9D74-0D75D83EA7DB}" name="BS_Assumptions" displayName="BS_Assumptions" ref="A22:H75" totalsRowCount="1">
  <autoFilter ref="A22:H74" xr:uid="{1E8A15C3-8E81-470A-9D74-0D75D83EA7DB}"/>
  <tableColumns count="8">
    <tableColumn id="1" xr3:uid="{8F3086E9-C50C-4394-9218-9F2D5E4E7878}" name="Balance Sheet"/>
    <tableColumn id="2" xr3:uid="{DD58185B-46C4-4DE2-A154-C98F479AB85A}" name="Average" totalsRowDxfId="89"/>
    <tableColumn id="3" xr3:uid="{A31BEB44-2F83-4329-94A8-27F659FCDB06}" name="2017"/>
    <tableColumn id="4" xr3:uid="{F7D1AA0F-DB6E-427B-AFA7-523D26D1E3C0}" name="2018"/>
    <tableColumn id="5" xr3:uid="{3F475B93-E88B-4096-9F71-ADEB5378C4A8}" name="2019"/>
    <tableColumn id="6" xr3:uid="{FF973CCE-80D5-4964-8165-E89F1C6BCD4C}" name="2020"/>
    <tableColumn id="7" xr3:uid="{60390E84-D24D-46E8-B536-2FDB7F4FC2B1}" name="2021"/>
    <tableColumn id="8" xr3:uid="{2A440953-FFA2-467D-8DC0-8120FDD2416E}" name="202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00DDAA-AFE4-4C57-BB8C-6ADCEEF20E3F}" name="FS_CS" displayName="FS_CS" ref="A102:M139" totalsRowShown="0" headerRowDxfId="88" dataDxfId="87">
  <autoFilter ref="A102:M139" xr:uid="{BB00DDAA-AFE4-4C57-BB8C-6ADCEEF20E3F}"/>
  <tableColumns count="13">
    <tableColumn id="1" xr3:uid="{0446979A-2E77-4D21-BD40-E43D24135575}" name="CASHFLOW STATEMENT" dataDxfId="86"/>
    <tableColumn id="13" xr3:uid="{6F067499-25E8-48D4-8577-88AB521EC0CA}" name="2016" dataDxfId="85"/>
    <tableColumn id="2" xr3:uid="{767CD0F2-257F-44D7-BF39-D504641FF92B}" name="2017" dataDxfId="84"/>
    <tableColumn id="3" xr3:uid="{CF98F9F2-49AF-4B65-8A6F-8DB8F38BFB1F}" name="2018" dataDxfId="83"/>
    <tableColumn id="4" xr3:uid="{1D751748-ECB0-436A-BE32-36A5EF7BC995}" name="2019" dataDxfId="82"/>
    <tableColumn id="5" xr3:uid="{B8AFF9B1-61C7-48EE-822D-2B78F21DA9EE}" name="2020" dataDxfId="81"/>
    <tableColumn id="6" xr3:uid="{EF6F14B1-848C-481A-80F7-5BC7A8F2B51C}" name="2021" dataDxfId="80"/>
    <tableColumn id="7" xr3:uid="{8D47AF99-B281-49F3-99CC-FF6A85B6C248}" name="2022" dataDxfId="79"/>
    <tableColumn id="8" xr3:uid="{D62D0E5B-4AFC-4262-9D67-7EC28E7666C6}" name="2023" dataDxfId="78"/>
    <tableColumn id="9" xr3:uid="{6BAF1F8B-F08D-4634-BFAD-6B15BB05DFF7}" name="2024" dataDxfId="77"/>
    <tableColumn id="10" xr3:uid="{DB175D76-6494-483A-852F-6DD6A08B590C}" name="2025" dataDxfId="76"/>
    <tableColumn id="11" xr3:uid="{8E9C7DDC-9817-4182-83A6-7AE11F29D7B3}" name="2026" dataDxfId="75"/>
    <tableColumn id="12" xr3:uid="{FF722371-27E9-4786-8C45-A7ECB7DAA143}" name="2027" dataDxfId="7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A891AAB-C18B-4AB7-94A1-E9A99AAB2C73}" name="FS_IS" displayName="FS_IS" ref="A1:M29" headerRowDxfId="73" dataDxfId="72">
  <autoFilter ref="A1:M29" xr:uid="{FA891AAB-C18B-4AB7-94A1-E9A99AAB2C73}"/>
  <tableColumns count="13">
    <tableColumn id="1" xr3:uid="{76FD8990-EC41-4DA1-9BF5-B23BFAB8B593}" name="INCOME STATEMENT" dataDxfId="71" totalsRowDxfId="70"/>
    <tableColumn id="13" xr3:uid="{CF058E0D-1B91-41B4-AA76-A2366E776C87}" name="2016" dataDxfId="69" totalsRowDxfId="68"/>
    <tableColumn id="2" xr3:uid="{D17FF71F-C672-40A3-9DDD-452783744419}" name="2017" dataDxfId="67" totalsRowDxfId="66"/>
    <tableColumn id="3" xr3:uid="{4675885D-2000-4450-9B42-5B72B16A9ABF}" name="2018" dataDxfId="65" totalsRowDxfId="64"/>
    <tableColumn id="4" xr3:uid="{B2212146-E1BD-4E90-9977-F8D55D000F95}" name="2019" dataDxfId="63" totalsRowDxfId="62"/>
    <tableColumn id="5" xr3:uid="{90C63A4F-21D2-4C94-A22D-A3210FDF941D}" name="2020" dataDxfId="61" totalsRowDxfId="60"/>
    <tableColumn id="6" xr3:uid="{87D61F01-3242-4825-BB2F-5814C17804E1}" name="2021" dataDxfId="59" totalsRowDxfId="58"/>
    <tableColumn id="7" xr3:uid="{D933D09B-9E2A-4C48-B4B6-E437726F014C}" name="2022" dataDxfId="57" totalsRowDxfId="56"/>
    <tableColumn id="8" xr3:uid="{2925722E-AE37-4496-832C-A3AF555CD6F2}" name="2023" dataDxfId="55" totalsRowDxfId="54"/>
    <tableColumn id="9" xr3:uid="{5C801587-3517-42C3-A727-F87531D3DA21}" name="2024" dataDxfId="53" totalsRowDxfId="52"/>
    <tableColumn id="10" xr3:uid="{2E7FB56B-F0E1-4D75-9871-A4DC047F25F5}" name="2025" dataDxfId="51" totalsRowDxfId="50"/>
    <tableColumn id="11" xr3:uid="{698A048F-6989-4723-A657-A0AF20566981}" name="2026" dataDxfId="49" totalsRowDxfId="48"/>
    <tableColumn id="12" xr3:uid="{AF3F1087-14F2-430F-B8D1-D6A97D1C3337}" name="2027" dataDxfId="47" totalsRowDxfId="4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A2B4255-8305-4273-BC25-EF530DDEAD89}" name="FS_BS" displayName="FS_BS" ref="A31:M100" totalsRowShown="0" headerRowDxfId="45" dataDxfId="44">
  <autoFilter ref="A31:M100" xr:uid="{3A2B4255-8305-4273-BC25-EF530DDEAD89}"/>
  <tableColumns count="13">
    <tableColumn id="1" xr3:uid="{998775C5-B054-4BF1-AB2B-2C765390E563}" name="BALANCE SHEET" dataDxfId="43"/>
    <tableColumn id="13" xr3:uid="{F839D97B-276B-4619-9FB3-63CC7D015A6F}" name="2016" dataDxfId="42"/>
    <tableColumn id="2" xr3:uid="{E18F0BD1-8BDC-4ADC-B50E-CC2DEA25A29B}" name="2017" dataDxfId="41"/>
    <tableColumn id="3" xr3:uid="{8B56E542-B5F4-4577-B067-9DF77CBC569D}" name="2018" dataDxfId="40"/>
    <tableColumn id="4" xr3:uid="{098D651E-F256-41A2-B562-407D625751A0}" name="2019" dataDxfId="39"/>
    <tableColumn id="5" xr3:uid="{85918F43-817A-44C1-9141-C2486D92BBB8}" name="2020" dataDxfId="38"/>
    <tableColumn id="6" xr3:uid="{52AF2009-47EE-48CB-BE2D-697914DD1A3C}" name="2021" dataDxfId="37"/>
    <tableColumn id="7" xr3:uid="{648C87CD-439F-4BB4-A21F-944A99CC3147}" name="2022" dataDxfId="36"/>
    <tableColumn id="8" xr3:uid="{B23F9621-9CE5-418A-B2CD-7338BB44837E}" name="2023" dataDxfId="35"/>
    <tableColumn id="9" xr3:uid="{9FF0B854-D40C-463C-9A92-6B7F1C9E2FE2}" name="2024" dataDxfId="34"/>
    <tableColumn id="10" xr3:uid="{083846B7-D664-4600-B496-FC0AB03BB749}" name="2025" dataDxfId="33"/>
    <tableColumn id="11" xr3:uid="{C1F03C78-B45F-4659-80FD-F881E4F7D32E}" name="2026" dataDxfId="32"/>
    <tableColumn id="12" xr3:uid="{154A0A5F-C184-48BE-AD6D-07474703A3EE}" name="2027" dataDxfId="3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5A030B7-0064-4481-9F2A-7D8F887A92CC}" name="Table17" displayName="Table17" ref="I1:O1252" totalsRowShown="0">
  <autoFilter ref="I1:O1252" xr:uid="{75A030B7-0064-4481-9F2A-7D8F887A92CC}"/>
  <tableColumns count="7">
    <tableColumn id="1" xr3:uid="{9667DE0D-470C-469A-A598-C26D8BC039ED}" name="Date" dataDxfId="30"/>
    <tableColumn id="2" xr3:uid="{668217C8-C1C0-4BD1-B361-E5437937F783}" name="TLG"/>
    <tableColumn id="3" xr3:uid="{78E78C39-4A81-4477-9A3C-94DD9C29139F}" name="VN-Index"/>
    <tableColumn id="4" xr3:uid="{ECF809B2-514E-4E78-80DE-A5170865FF2F}" name="Changes in stock price" dataDxfId="29"/>
    <tableColumn id="5" xr3:uid="{9206F594-824F-452C-9F05-1C53A4F6BE83}" name="Changes in VNINDEX" dataDxfId="28"/>
    <tableColumn id="6" xr3:uid="{E74367E3-F7E2-4F6F-8BD0-B2BD06C0BA3B}" name="E(rTLG)" dataDxfId="27"/>
    <tableColumn id="7" xr3:uid="{A9DB8C68-441C-4869-B2CC-E3AA619720B1}" name="E(rVNINDEX)" dataDxfId="2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C0D5564-E950-465A-9040-D3BDB8F7C7AD}" name="Table23" displayName="Table23" ref="A18:E23" totalsRowShown="0" headerRowDxfId="25" headerRowBorderDxfId="24" tableBorderDxfId="23">
  <autoFilter ref="A18:E23" xr:uid="{AC0D5564-E950-465A-9040-D3BDB8F7C7AD}"/>
  <tableColumns count="5">
    <tableColumn id="1" xr3:uid="{736568E8-B963-4ABC-91D0-11A5F8B047AA}" name="Book value of Debt" dataDxfId="22"/>
    <tableColumn id="2" xr3:uid="{CEA666E4-7179-42DC-BA04-00A0A8D46F13}" name="Share price (30/06/2023)" dataDxfId="21"/>
    <tableColumn id="3" xr3:uid="{C9DECF5A-11A9-4E53-ABD0-A675B0D24E6A}" name="Exchange rate " dataDxfId="20"/>
    <tableColumn id="4" xr3:uid="{4805565B-5F01-4122-AF13-943E17DE8B83}" name="Book value of Debt (VND)" dataDxfId="19"/>
    <tableColumn id="5" xr3:uid="{E67809B4-F295-4D1E-84D8-51A260B34709}" name="Share price (VND)" dataDxfId="1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CCD143D-F52A-4EDA-8657-8EE6F87188EB}" name="Table20" displayName="Table20" ref="B1:G5" totalsRowShown="0">
  <autoFilter ref="B1:G5" xr:uid="{3CCD143D-F52A-4EDA-8657-8EE6F87188EB}"/>
  <tableColumns count="6">
    <tableColumn id="1" xr3:uid="{06F481B5-7684-464C-A002-31B67E658E52}" name="Multiply"/>
    <tableColumn id="2" xr3:uid="{5DD0A9ED-46C9-41C7-B796-B9D75C70D3D3}" name="Kokuyo Co., Ltd. (Japan)"/>
    <tableColumn id="3" xr3:uid="{F8E69960-9750-483E-B279-914A37A98A35}" name="Monami Co., Ltd. (S.Korea)"/>
    <tableColumn id="4" xr3:uid="{256FE07A-8B27-4A89-9D90-03364FDDF594}" name="Thien Long Group Corporation"/>
    <tableColumn id="5" xr3:uid="{4B2B592F-E749-4F99-A3F2-96A8D06E63E0}" name="Mitsubishi Pencil Co., Ltd. (Japan)"/>
    <tableColumn id="6" xr3:uid="{13B45643-1773-4587-A818-FF50DF1B4DEC}" name="Art Vivant Co., Ltd. (Japa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3CE8CA5-F117-4D47-8822-203EA2F78A4D}" name="Table24" displayName="Table24" ref="B7:G9" totalsRowShown="0">
  <autoFilter ref="B7:G9" xr:uid="{B3CE8CA5-F117-4D47-8822-203EA2F78A4D}"/>
  <tableColumns count="6">
    <tableColumn id="1" xr3:uid="{F786B931-AE88-4404-A479-BA3613238C96}" name="Items"/>
    <tableColumn id="2" xr3:uid="{D163D91C-B95A-46E7-9776-DA4CC5C0EECA}" name="Kokuyo Co., Ltd. (Japan)"/>
    <tableColumn id="3" xr3:uid="{772C2901-B9BF-4222-B02E-F7CF0534081F}" name="Monami Co., Ltd. (S.Korea)"/>
    <tableColumn id="4" xr3:uid="{DC8A81A9-8F8D-4C6B-8BBF-DE1679CD64BA}" name="Thien Long Group Corporation"/>
    <tableColumn id="5" xr3:uid="{B1A238CD-7DBE-469B-BF6F-0FA15627F5DA}" name="Mitsubishi Pencil Co., Ltd. (Japan)"/>
    <tableColumn id="6" xr3:uid="{9E3576E5-A998-46D3-A329-65A0C4A5F640}" name="Art Vivant Co., Ltd. (Japa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2" dT="2023-06-23T09:37:07.81" personId="{4B4BD68C-5992-4F39-AE7E-62E6FB833B44}" id="{9E9F02AF-F84E-42F4-8FE5-764030292F17}">
    <text xml:space="preserve">Look for reasons
</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3-06-22T15:35:08.89" personId="{4B4BD68C-5992-4F39-AE7E-62E6FB833B44}" id="{5BF93645-41C0-4337-A38B-7A2D0F36DEEA}">
    <text xml:space="preserve">Record manually for projections purpose only
</text>
  </threadedComment>
  <threadedComment ref="A4" dT="2023-06-21T05:36:23.99" personId="{4B4BD68C-5992-4F39-AE7E-62E6FB833B44}" id="{13ED7ED2-5E34-4397-BC0B-5DA9DCEEC72F}">
    <text xml:space="preserve">Revenue number of each category derived from percentage of sales of each category multiple back with total sales. </text>
  </threadedComment>
  <threadedComment ref="F4" dT="2023-06-21T05:45:56.46" personId="{4B4BD68C-5992-4F39-AE7E-62E6FB833B44}" id="{BCE69D2F-6589-4375-A6FA-5376492A3E80}">
    <text xml:space="preserve">Significant Outlier due to Covid pandemic (Thus the number will not be included in calculation)
</text>
  </threadedComment>
  <threadedComment ref="H17" dT="2023-07-08T09:54:29.73" personId="{4B4BD68C-5992-4F39-AE7E-62E6FB833B44}" id="{9146261C-0F5E-497E-BC7F-528858CFA661}">
    <text xml:space="preserve">Sales forecasting but have moderate deviation from the true value of sales in 2022
</text>
  </threadedComment>
  <threadedComment ref="H27" dT="2023-07-08T09:47:10.40" personId="{4B4BD68C-5992-4F39-AE7E-62E6FB833B44}" id="{4EBA983E-5099-4B27-B11E-6AC9FF851084}">
    <text xml:space="preserve">Real Data from Financial Statements in 2022
</text>
  </threadedComment>
  <threadedComment ref="H27" dT="2023-07-27T04:52:11.21" personId="{4B4BD68C-5992-4F39-AE7E-62E6FB833B44}" id="{D5481956-BA60-4EBF-B1A8-4ADE53BAC379}" parentId="{4EBA983E-5099-4B27-B11E-6AC9FF851084}">
    <text xml:space="preserve">This number is the exact sales of TLG in 2022
</text>
  </threadedComment>
</ThreadedComments>
</file>

<file path=xl/threadedComments/threadedComment3.xml><?xml version="1.0" encoding="utf-8"?>
<ThreadedComments xmlns="http://schemas.microsoft.com/office/spreadsheetml/2018/threadedcomments" xmlns:x="http://schemas.openxmlformats.org/spreadsheetml/2006/main">
  <threadedComment ref="F1" dT="2023-06-21T06:00:40.66" personId="{4B4BD68C-5992-4F39-AE7E-62E6FB833B44}" id="{62BE4377-BA79-415C-8DFD-8A02B2DC976C}">
    <text xml:space="preserve">Do not include 2020 figure due to significant outliers as Covid 19 effect
</text>
  </threadedComment>
  <threadedComment ref="F12" dT="2023-06-21T06:00:40.66" personId="{4B4BD68C-5992-4F39-AE7E-62E6FB833B44}" id="{65F43951-AFA9-4232-9AA3-734242150D58}">
    <text xml:space="preserve">Do not include 2020 figure due to significant outliers as Covid 19 effect
</text>
  </threadedComment>
  <threadedComment ref="A13" dT="2023-06-22T01:36:46.53" personId="{4B4BD68C-5992-4F39-AE7E-62E6FB833B44}" id="{63198EDA-DF1B-4C96-A28A-5C328330A6F5}">
    <text xml:space="preserve">Include Depreciation to subtract depreciation later
</text>
  </threadedComment>
  <threadedComment ref="A14" dT="2023-06-22T01:35:41.10" personId="{4B4BD68C-5992-4F39-AE7E-62E6FB833B44}" id="{1B853DC4-58D0-43C5-A567-BB375535E004}">
    <text xml:space="preserve">DISCARD in projections
</text>
  </threadedComment>
  <threadedComment ref="F22" dT="2023-06-21T06:00:40.66" personId="{4B4BD68C-5992-4F39-AE7E-62E6FB833B44}" id="{4B899FC0-59F8-46CA-82D6-A3A2C47E4107}">
    <text xml:space="preserve">Do not include 2020 figure due to significant outliers as Covid 19 effect
</text>
  </threadedComment>
  <threadedComment ref="C72" dT="2023-06-23T10:16:19.93" personId="{4B4BD68C-5992-4F39-AE7E-62E6FB833B44}" id="{02037442-FAFD-443E-880B-D28D563D1642}">
    <text xml:space="preserve">Percentage of previous year retained earning that accumulated
</text>
  </threadedComment>
  <threadedComment ref="B73" dT="2023-06-23T10:10:00.55" personId="{4B4BD68C-5992-4F39-AE7E-62E6FB833B44}" id="{7FDF6FAF-260B-43BF-8CC7-298AE68A5C95}">
    <text xml:space="preserve">Geomean to minimize outliers
</text>
  </threadedComment>
</ThreadedComments>
</file>

<file path=xl/threadedComments/threadedComment4.xml><?xml version="1.0" encoding="utf-8"?>
<ThreadedComments xmlns="http://schemas.microsoft.com/office/spreadsheetml/2018/threadedcomments" xmlns:x="http://schemas.openxmlformats.org/spreadsheetml/2006/main">
  <threadedComment ref="A4" dT="2023-06-22T01:36:46.53" personId="{4B4BD68C-5992-4F39-AE7E-62E6FB833B44}" id="{BE2D6051-CD54-423E-9D9A-4009968BD0BE}">
    <text xml:space="preserve">Include Depreciation to subtract depreciation later
</text>
  </threadedComment>
  <threadedComment ref="A6" dT="2023-06-22T01:35:41.10" personId="{4B4BD68C-5992-4F39-AE7E-62E6FB833B44}" id="{E66DC0C8-DE90-4941-A510-6994422677CC}">
    <text xml:space="preserve">DISCARD in projections
</text>
  </threadedComment>
  <threadedComment ref="C6" dT="2023-06-22T01:48:48.02" personId="{4B4BD68C-5992-4F39-AE7E-62E6FB833B44}" id="{7EEC4D32-1F23-4F6F-A73A-A2BF8B7D0308}">
    <text xml:space="preserve">Annual statement does not include this number
</text>
  </threadedComment>
  <threadedComment ref="A24" dT="2023-06-22T15:07:42.79" personId="{4B4BD68C-5992-4F39-AE7E-62E6FB833B44}" id="{8D541C1F-E461-4B39-A2E3-4CC22A634754}">
    <text xml:space="preserve">Initial NOPAT derive from financial statement. While Calculated NOPAT is calculated but is made sure to arrive at the same number of Initial NOPAT
</text>
  </threadedComment>
  <threadedComment ref="A57" dT="2023-06-23T09:16:14.78" personId="{4B4BD68C-5992-4F39-AE7E-62E6FB833B44}" id="{0D04A349-A521-4E14-BD38-C936BA8B0167}">
    <text xml:space="preserve">Historical and Accumulated depreciation are two sides of coins. Both of them added together will be the Fixed assets. Thus, we decide mention only the depreciation and hide the historical cost
</text>
  </threadedComment>
  <threadedComment ref="A60" dT="2023-06-23T09:16:06.03" personId="{4B4BD68C-5992-4F39-AE7E-62E6FB833B44}" id="{56499062-A669-45C9-B498-1918D0012F4D}">
    <text xml:space="preserve">Historical and Accumulated depreciation are two sides of coins. Both of them added together will be the Fixed assets. Thus, we decide mention only the depreciation and hide the historical cost
</text>
  </threadedComment>
</ThreadedComment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6" Type="http://schemas.openxmlformats.org/officeDocument/2006/relationships/table" Target="../tables/table12.xml"/><Relationship Id="rId11" Type="http://schemas.microsoft.com/office/2017/10/relationships/threadedComment" Target="../threadedComments/threadedComment2.xml"/><Relationship Id="rId5" Type="http://schemas.openxmlformats.org/officeDocument/2006/relationships/table" Target="../tables/table11.xml"/><Relationship Id="rId10" Type="http://schemas.openxmlformats.org/officeDocument/2006/relationships/comments" Target="../comments2.xml"/><Relationship Id="rId4" Type="http://schemas.openxmlformats.org/officeDocument/2006/relationships/table" Target="../tables/table10.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6.xml"/><Relationship Id="rId7" Type="http://schemas.microsoft.com/office/2017/10/relationships/threadedComment" Target="../threadedComments/threadedComment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18.xml"/><Relationship Id="rId4"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9.xml"/><Relationship Id="rId7" Type="http://schemas.microsoft.com/office/2017/10/relationships/threadedComment" Target="../threadedComments/threadedComment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table" Target="../tables/table21.xml"/><Relationship Id="rId4" Type="http://schemas.openxmlformats.org/officeDocument/2006/relationships/table" Target="../tables/table20.xml"/></Relationships>
</file>

<file path=xl/worksheets/_rels/sheet9.xml.rels><?xml version="1.0" encoding="UTF-8" standalone="yes"?>
<Relationships xmlns="http://schemas.openxmlformats.org/package/2006/relationships"><Relationship Id="rId1" Type="http://schemas.openxmlformats.org/officeDocument/2006/relationships/hyperlink" Target="https://pages.stern.nyu.edu/~adamodar/New_Home_Page/datafile/ctryprem.html"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hyperlink" Target="https://thienlonggroup.com/storage/media/PIKRYlxnk6260Z8tjBV5iusExh9M53hSKf0CZRbx.pdf" TargetMode="External"/><Relationship Id="rId7" Type="http://schemas.openxmlformats.org/officeDocument/2006/relationships/hyperlink" Target="https://thienlonggroup.com/old_pdf/2019/04/20190403_NQHDQT004.pdf" TargetMode="External"/><Relationship Id="rId2" Type="http://schemas.openxmlformats.org/officeDocument/2006/relationships/hyperlink" Target="https://thienlonggroup.com/storage/media/UGBr00gZZ2hyT9Jv5OAlq2QanVj4pYM9IufXCYPA.pdf" TargetMode="External"/><Relationship Id="rId1" Type="http://schemas.openxmlformats.org/officeDocument/2006/relationships/hyperlink" Target="https://thienlonggroup.com/storage/media/T4OuDa5Yi8dh4LCFCfjx7cb0NTUf72ipnlrdzNk5.pdf" TargetMode="External"/><Relationship Id="rId6" Type="http://schemas.openxmlformats.org/officeDocument/2006/relationships/hyperlink" Target="https://thienlonggroup.com/old_pdf/2019/08/CBTT-NQHDQT-11-2019.pdf" TargetMode="External"/><Relationship Id="rId5" Type="http://schemas.openxmlformats.org/officeDocument/2006/relationships/hyperlink" Target="https://thienlonggroup.com/old_pdf/2020/02/TLG-Nghi-quyet-HDQT-vv-tam-ung-co-tuc-dot-2-nam-2019_signed.pdf" TargetMode="External"/><Relationship Id="rId4" Type="http://schemas.openxmlformats.org/officeDocument/2006/relationships/hyperlink" Target="https://thienlonggroup.com/storage/media/5oYg6oThBPDPB7vwq7AWBl7yRQhzy0aNwx0mfNBw.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AA28-D2F1-E842-9AC4-A8E5B67C4D1B}">
  <sheetPr>
    <tabColor theme="0"/>
  </sheetPr>
  <dimension ref="A1:F25"/>
  <sheetViews>
    <sheetView zoomScale="81" workbookViewId="0">
      <selection activeCell="E21" sqref="E21"/>
    </sheetView>
  </sheetViews>
  <sheetFormatPr defaultColWidth="11" defaultRowHeight="14.5" x14ac:dyDescent="0.35"/>
  <cols>
    <col min="1" max="1" width="14.26953125" bestFit="1" customWidth="1"/>
    <col min="2" max="2" width="20" bestFit="1" customWidth="1"/>
    <col min="3" max="3" width="27.90625" bestFit="1" customWidth="1"/>
  </cols>
  <sheetData>
    <row r="1" spans="1:6" x14ac:dyDescent="0.35">
      <c r="A1" t="s">
        <v>1575</v>
      </c>
      <c r="B1" t="s">
        <v>1558</v>
      </c>
      <c r="C1" t="s">
        <v>1599</v>
      </c>
      <c r="D1" t="s">
        <v>1557</v>
      </c>
    </row>
    <row r="2" spans="1:6" x14ac:dyDescent="0.35">
      <c r="A2" t="s">
        <v>1576</v>
      </c>
      <c r="B2" t="s">
        <v>1577</v>
      </c>
      <c r="C2" t="s">
        <v>1600</v>
      </c>
      <c r="F2" s="568"/>
    </row>
    <row r="3" spans="1:6" x14ac:dyDescent="0.35">
      <c r="B3" t="s">
        <v>1578</v>
      </c>
      <c r="C3" t="s">
        <v>1601</v>
      </c>
      <c r="F3" s="568"/>
    </row>
    <row r="4" spans="1:6" x14ac:dyDescent="0.35">
      <c r="B4" t="s">
        <v>1602</v>
      </c>
      <c r="C4" t="s">
        <v>1603</v>
      </c>
    </row>
    <row r="5" spans="1:6" x14ac:dyDescent="0.35">
      <c r="A5" t="s">
        <v>1579</v>
      </c>
      <c r="B5" t="s">
        <v>1579</v>
      </c>
    </row>
    <row r="6" spans="1:6" x14ac:dyDescent="0.35">
      <c r="A6" t="s">
        <v>1580</v>
      </c>
      <c r="B6" t="s">
        <v>1581</v>
      </c>
      <c r="C6" t="s">
        <v>1604</v>
      </c>
    </row>
    <row r="7" spans="1:6" x14ac:dyDescent="0.35">
      <c r="B7" t="s">
        <v>9</v>
      </c>
      <c r="C7" t="s">
        <v>1605</v>
      </c>
    </row>
    <row r="8" spans="1:6" x14ac:dyDescent="0.35">
      <c r="B8" t="s">
        <v>1582</v>
      </c>
      <c r="C8" t="s">
        <v>1606</v>
      </c>
    </row>
    <row r="9" spans="1:6" x14ac:dyDescent="0.35">
      <c r="A9" t="s">
        <v>1583</v>
      </c>
      <c r="B9" t="s">
        <v>1584</v>
      </c>
      <c r="C9" t="s">
        <v>1607</v>
      </c>
    </row>
    <row r="10" spans="1:6" x14ac:dyDescent="0.35">
      <c r="A10" t="s">
        <v>1585</v>
      </c>
      <c r="B10" t="s">
        <v>92</v>
      </c>
      <c r="C10" t="s">
        <v>1608</v>
      </c>
    </row>
    <row r="11" spans="1:6" x14ac:dyDescent="0.35">
      <c r="B11" t="s">
        <v>1586</v>
      </c>
      <c r="C11" t="s">
        <v>1609</v>
      </c>
    </row>
    <row r="12" spans="1:6" x14ac:dyDescent="0.35">
      <c r="A12" t="s">
        <v>1353</v>
      </c>
      <c r="B12" t="s">
        <v>1587</v>
      </c>
      <c r="C12" t="s">
        <v>1610</v>
      </c>
    </row>
    <row r="13" spans="1:6" x14ac:dyDescent="0.35">
      <c r="B13" t="s">
        <v>1538</v>
      </c>
      <c r="C13" t="s">
        <v>1610</v>
      </c>
    </row>
    <row r="14" spans="1:6" x14ac:dyDescent="0.35">
      <c r="B14" t="s">
        <v>1539</v>
      </c>
      <c r="C14" t="s">
        <v>1610</v>
      </c>
    </row>
    <row r="15" spans="1:6" x14ac:dyDescent="0.35">
      <c r="B15" t="s">
        <v>75</v>
      </c>
      <c r="C15" t="s">
        <v>1610</v>
      </c>
    </row>
    <row r="16" spans="1:6" x14ac:dyDescent="0.35">
      <c r="B16" t="s">
        <v>76</v>
      </c>
      <c r="C16" t="s">
        <v>1610</v>
      </c>
    </row>
    <row r="17" spans="1:3" x14ac:dyDescent="0.35">
      <c r="A17" t="s">
        <v>1588</v>
      </c>
      <c r="B17" t="s">
        <v>1589</v>
      </c>
      <c r="C17" t="s">
        <v>1611</v>
      </c>
    </row>
    <row r="18" spans="1:3" x14ac:dyDescent="0.35">
      <c r="B18" t="s">
        <v>1590</v>
      </c>
      <c r="C18" t="s">
        <v>1611</v>
      </c>
    </row>
    <row r="19" spans="1:3" x14ac:dyDescent="0.35">
      <c r="B19" t="s">
        <v>1591</v>
      </c>
      <c r="C19" t="s">
        <v>1611</v>
      </c>
    </row>
    <row r="20" spans="1:3" x14ac:dyDescent="0.35">
      <c r="B20" t="s">
        <v>1592</v>
      </c>
      <c r="C20" t="s">
        <v>1611</v>
      </c>
    </row>
    <row r="21" spans="1:3" x14ac:dyDescent="0.35">
      <c r="B21" t="s">
        <v>1593</v>
      </c>
      <c r="C21" t="s">
        <v>1611</v>
      </c>
    </row>
    <row r="22" spans="1:3" x14ac:dyDescent="0.35">
      <c r="B22" t="s">
        <v>1594</v>
      </c>
      <c r="C22" t="s">
        <v>1611</v>
      </c>
    </row>
    <row r="23" spans="1:3" x14ac:dyDescent="0.35">
      <c r="A23" t="s">
        <v>11</v>
      </c>
      <c r="B23" t="s">
        <v>1595</v>
      </c>
      <c r="C23" t="s">
        <v>1612</v>
      </c>
    </row>
    <row r="24" spans="1:3" x14ac:dyDescent="0.35">
      <c r="A24" t="s">
        <v>1598</v>
      </c>
      <c r="B24" t="s">
        <v>1596</v>
      </c>
    </row>
    <row r="25" spans="1:3" x14ac:dyDescent="0.35">
      <c r="B25" t="s">
        <v>1597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5AEC6-62C2-42A0-8FC0-BA0032580A5A}">
  <sheetPr>
    <tabColor theme="4"/>
  </sheetPr>
  <dimension ref="A1:I191"/>
  <sheetViews>
    <sheetView topLeftCell="A52" zoomScale="91" zoomScaleNormal="100" workbookViewId="0">
      <selection activeCell="A160" sqref="A160"/>
    </sheetView>
  </sheetViews>
  <sheetFormatPr defaultColWidth="9.1796875" defaultRowHeight="15" customHeight="1" x14ac:dyDescent="0.35"/>
  <cols>
    <col min="1" max="1" width="96.26953125" style="2" bestFit="1" customWidth="1"/>
    <col min="2" max="2" width="19.6328125" style="2" bestFit="1" customWidth="1"/>
    <col min="3" max="8" width="18.453125" style="2" bestFit="1" customWidth="1"/>
    <col min="9" max="16384" width="9.1796875" style="2"/>
  </cols>
  <sheetData>
    <row r="1" spans="1:8" ht="15" customHeight="1" x14ac:dyDescent="0.35">
      <c r="A1" s="2" t="s">
        <v>117</v>
      </c>
      <c r="B1" s="2" t="s">
        <v>13</v>
      </c>
      <c r="C1" s="2" t="s">
        <v>2</v>
      </c>
      <c r="D1" s="2" t="s">
        <v>3</v>
      </c>
      <c r="E1" s="2" t="s">
        <v>4</v>
      </c>
      <c r="F1" s="2" t="s">
        <v>5</v>
      </c>
      <c r="G1" s="2" t="s">
        <v>6</v>
      </c>
      <c r="H1" s="2" t="s">
        <v>7</v>
      </c>
    </row>
    <row r="2" spans="1:8" ht="14.5" customHeight="1" x14ac:dyDescent="0.35">
      <c r="A2" s="2" t="s">
        <v>186</v>
      </c>
      <c r="B2" s="3">
        <v>2180202835116</v>
      </c>
      <c r="C2" s="3">
        <v>2520900957811</v>
      </c>
      <c r="D2" s="3">
        <v>2881394732494</v>
      </c>
      <c r="E2" s="3">
        <v>3298710950005</v>
      </c>
      <c r="F2" s="3">
        <v>2738400566048</v>
      </c>
      <c r="G2" s="3">
        <v>2686850511330</v>
      </c>
      <c r="H2" s="3">
        <v>3550405692241</v>
      </c>
    </row>
    <row r="3" spans="1:8" ht="15.5" x14ac:dyDescent="0.35">
      <c r="A3" s="2" t="s">
        <v>187</v>
      </c>
      <c r="B3" s="3">
        <v>17886928878</v>
      </c>
      <c r="C3" s="3">
        <v>23500239936</v>
      </c>
      <c r="D3" s="3">
        <v>25618382280</v>
      </c>
      <c r="E3" s="3">
        <v>46229433953</v>
      </c>
      <c r="F3" s="3">
        <v>53848615712</v>
      </c>
      <c r="G3" s="3">
        <v>18575418243</v>
      </c>
      <c r="H3" s="3">
        <v>29547743316</v>
      </c>
    </row>
    <row r="4" spans="1:8" ht="15" customHeight="1" x14ac:dyDescent="0.35">
      <c r="A4" s="2" t="s">
        <v>188</v>
      </c>
      <c r="B4" s="3">
        <v>2162315906238</v>
      </c>
      <c r="C4" s="3">
        <v>2497400717875</v>
      </c>
      <c r="D4" s="3">
        <v>2855776350214</v>
      </c>
      <c r="E4" s="3">
        <v>3252481516052</v>
      </c>
      <c r="F4" s="3">
        <v>2684551950336</v>
      </c>
      <c r="G4" s="3">
        <v>2668275093087</v>
      </c>
      <c r="H4" s="3">
        <v>3520857948925</v>
      </c>
    </row>
    <row r="5" spans="1:8" ht="15" customHeight="1" x14ac:dyDescent="0.35">
      <c r="A5" s="2" t="s">
        <v>189</v>
      </c>
      <c r="B5" s="3">
        <v>1315991880972</v>
      </c>
      <c r="C5" s="3">
        <v>1563850760815</v>
      </c>
      <c r="D5" s="3">
        <v>1789107482383</v>
      </c>
      <c r="E5" s="3">
        <v>2054990358755</v>
      </c>
      <c r="F5" s="3">
        <v>1654810794517</v>
      </c>
      <c r="G5" s="3">
        <v>1541112345410</v>
      </c>
      <c r="H5" s="3">
        <v>1996781932537</v>
      </c>
    </row>
    <row r="6" spans="1:8" ht="15" customHeight="1" x14ac:dyDescent="0.35">
      <c r="A6" s="2" t="s">
        <v>190</v>
      </c>
      <c r="B6" s="3">
        <v>846324025266</v>
      </c>
      <c r="C6" s="3">
        <v>933549957060</v>
      </c>
      <c r="D6" s="3">
        <v>1066668867831</v>
      </c>
      <c r="E6" s="3">
        <v>1197491157297</v>
      </c>
      <c r="F6" s="3">
        <v>1029741155819</v>
      </c>
      <c r="G6" s="3">
        <v>1127162747677</v>
      </c>
      <c r="H6" s="3">
        <v>1524076016388</v>
      </c>
    </row>
    <row r="7" spans="1:8" ht="15" customHeight="1" x14ac:dyDescent="0.35">
      <c r="A7" s="2" t="s">
        <v>191</v>
      </c>
      <c r="B7" s="3">
        <v>20405977867</v>
      </c>
      <c r="C7" s="3">
        <v>18669699664</v>
      </c>
      <c r="D7" s="3">
        <v>13513154919</v>
      </c>
      <c r="E7" s="3">
        <v>29972019720</v>
      </c>
      <c r="F7" s="3">
        <v>26526594813</v>
      </c>
      <c r="G7" s="3">
        <v>32025269716</v>
      </c>
      <c r="H7" s="3">
        <v>62117465329</v>
      </c>
    </row>
    <row r="8" spans="1:8" ht="15" customHeight="1" x14ac:dyDescent="0.35">
      <c r="A8" s="2" t="s">
        <v>192</v>
      </c>
      <c r="B8" s="3">
        <v>16302234359</v>
      </c>
      <c r="C8" s="3">
        <v>12149140252</v>
      </c>
      <c r="D8" s="3">
        <v>16908537876</v>
      </c>
      <c r="E8" s="3">
        <v>14334036161</v>
      </c>
      <c r="F8" s="3">
        <v>15968918896</v>
      </c>
      <c r="G8" s="3">
        <v>6854564215</v>
      </c>
      <c r="H8" s="3">
        <v>29129202927</v>
      </c>
    </row>
    <row r="9" spans="1:8" ht="15" customHeight="1" x14ac:dyDescent="0.35">
      <c r="A9" s="2" t="s">
        <v>193</v>
      </c>
      <c r="B9" s="3">
        <v>10697412010</v>
      </c>
      <c r="C9" s="3">
        <v>9500290007</v>
      </c>
      <c r="D9" s="3">
        <v>11068142459</v>
      </c>
      <c r="E9" s="3">
        <v>11434553822</v>
      </c>
      <c r="F9" s="3">
        <v>11853821706</v>
      </c>
      <c r="G9" s="3">
        <v>7019978348</v>
      </c>
      <c r="H9" s="3">
        <v>8881716860</v>
      </c>
    </row>
    <row r="10" spans="1:8" ht="15" customHeight="1" x14ac:dyDescent="0.35">
      <c r="A10" s="2" t="s">
        <v>194</v>
      </c>
    </row>
    <row r="11" spans="1:8" ht="15" customHeight="1" x14ac:dyDescent="0.35">
      <c r="A11" s="2" t="s">
        <v>195</v>
      </c>
      <c r="B11" s="3">
        <v>309782396478</v>
      </c>
      <c r="C11" s="3">
        <v>371405879821</v>
      </c>
      <c r="D11" s="3">
        <v>432623981454</v>
      </c>
      <c r="E11" s="3">
        <v>500044195759</v>
      </c>
      <c r="F11" s="3">
        <v>488676448608</v>
      </c>
      <c r="G11" s="3">
        <v>504674977559</v>
      </c>
      <c r="H11" s="3">
        <v>738522525878</v>
      </c>
    </row>
    <row r="12" spans="1:8" ht="15" customHeight="1" x14ac:dyDescent="0.35">
      <c r="A12" s="2" t="s">
        <v>196</v>
      </c>
      <c r="B12" s="3">
        <v>238920077749</v>
      </c>
      <c r="C12" s="3">
        <v>248369871852</v>
      </c>
      <c r="D12" s="3">
        <v>272748858876</v>
      </c>
      <c r="E12" s="3">
        <v>285140218494</v>
      </c>
      <c r="F12" s="3">
        <v>254856941468</v>
      </c>
      <c r="G12" s="3">
        <v>292392358391</v>
      </c>
      <c r="H12" s="3">
        <v>319389279653</v>
      </c>
    </row>
    <row r="13" spans="1:8" ht="15" customHeight="1" x14ac:dyDescent="0.35">
      <c r="A13" s="2" t="s">
        <v>197</v>
      </c>
      <c r="B13" s="3">
        <v>301725294547</v>
      </c>
      <c r="C13" s="3">
        <v>320294764799</v>
      </c>
      <c r="D13" s="3">
        <v>357900644544</v>
      </c>
      <c r="E13" s="3">
        <v>427944726603</v>
      </c>
      <c r="F13" s="3">
        <v>296765441660</v>
      </c>
      <c r="G13" s="3">
        <v>355266117228</v>
      </c>
      <c r="H13" s="3">
        <v>499152473259</v>
      </c>
    </row>
    <row r="14" spans="1:8" ht="15" customHeight="1" x14ac:dyDescent="0.35">
      <c r="A14" s="2" t="s">
        <v>198</v>
      </c>
      <c r="B14" s="3">
        <v>6460309364</v>
      </c>
      <c r="C14" s="3">
        <v>14976961586</v>
      </c>
      <c r="D14" s="3">
        <v>11305534329</v>
      </c>
      <c r="E14" s="3">
        <v>9723383622</v>
      </c>
      <c r="F14" s="3">
        <v>8799926472</v>
      </c>
      <c r="G14" s="3">
        <v>5391709425</v>
      </c>
      <c r="H14" s="3">
        <v>10163649081</v>
      </c>
    </row>
    <row r="15" spans="1:8" ht="15" customHeight="1" x14ac:dyDescent="0.35">
      <c r="A15" s="2" t="s">
        <v>199</v>
      </c>
      <c r="B15" s="3">
        <v>1821984864</v>
      </c>
      <c r="C15" s="3">
        <v>666120533</v>
      </c>
      <c r="D15" s="3">
        <v>935307493</v>
      </c>
      <c r="E15" s="3">
        <v>817351647</v>
      </c>
      <c r="F15" s="3">
        <v>1927894452</v>
      </c>
      <c r="G15" s="3">
        <v>2092942627</v>
      </c>
      <c r="H15" s="3">
        <v>2649474138</v>
      </c>
    </row>
    <row r="16" spans="1:8" ht="15" customHeight="1" x14ac:dyDescent="0.35">
      <c r="A16" s="2" t="s">
        <v>200</v>
      </c>
      <c r="B16" s="3">
        <v>4638324500</v>
      </c>
      <c r="C16" s="3">
        <v>14310841053</v>
      </c>
      <c r="D16" s="3">
        <v>10370226836</v>
      </c>
      <c r="E16" s="3">
        <v>8906031975</v>
      </c>
      <c r="F16" s="3">
        <v>6872032020</v>
      </c>
      <c r="G16" s="3">
        <v>3298766798</v>
      </c>
      <c r="H16" s="3">
        <v>7514174943</v>
      </c>
    </row>
    <row r="17" spans="1:9" ht="15" customHeight="1" x14ac:dyDescent="0.35">
      <c r="A17" s="2" t="s">
        <v>201</v>
      </c>
      <c r="B17" s="3">
        <v>306363619047</v>
      </c>
      <c r="C17" s="3">
        <v>334605605852</v>
      </c>
      <c r="D17" s="3">
        <v>368270871380</v>
      </c>
      <c r="E17" s="3">
        <v>436850758578</v>
      </c>
      <c r="F17" s="3">
        <v>303637473680</v>
      </c>
      <c r="G17" s="3">
        <v>358564884026</v>
      </c>
      <c r="H17" s="3">
        <v>506666648202</v>
      </c>
    </row>
    <row r="18" spans="1:9" ht="15" customHeight="1" x14ac:dyDescent="0.35">
      <c r="A18" s="2" t="s">
        <v>202</v>
      </c>
      <c r="B18" s="3">
        <v>65883045149</v>
      </c>
      <c r="C18" s="3">
        <v>68249146618</v>
      </c>
      <c r="D18" s="3">
        <v>73015976515</v>
      </c>
      <c r="E18" s="3">
        <v>94012038665</v>
      </c>
      <c r="F18" s="3">
        <v>61440847225</v>
      </c>
      <c r="G18" s="3">
        <v>63006307674</v>
      </c>
      <c r="H18" s="3">
        <v>122426716645</v>
      </c>
    </row>
    <row r="19" spans="1:9" ht="15" customHeight="1" x14ac:dyDescent="0.35">
      <c r="A19" s="2" t="s">
        <v>203</v>
      </c>
      <c r="B19" s="3">
        <v>407674877</v>
      </c>
      <c r="C19" s="3">
        <v>-1701622845</v>
      </c>
      <c r="D19" s="3">
        <v>870652717</v>
      </c>
      <c r="E19" s="3">
        <v>-6248329163</v>
      </c>
      <c r="F19" s="3">
        <v>2351589706</v>
      </c>
      <c r="G19" s="3">
        <v>18851163095</v>
      </c>
      <c r="H19" s="3">
        <v>-16697468958</v>
      </c>
    </row>
    <row r="20" spans="1:9" ht="15" customHeight="1" x14ac:dyDescent="0.35">
      <c r="A20" s="563" t="s">
        <v>204</v>
      </c>
      <c r="B20" s="3">
        <v>240072899021</v>
      </c>
      <c r="C20" s="3">
        <v>268058082079</v>
      </c>
      <c r="D20" s="3">
        <v>294384242148</v>
      </c>
      <c r="E20" s="3">
        <v>349087049076</v>
      </c>
      <c r="F20" s="3">
        <v>239845036749</v>
      </c>
      <c r="G20" s="3">
        <v>276707413257</v>
      </c>
      <c r="H20" s="3">
        <v>400937400515</v>
      </c>
      <c r="I20" s="3"/>
    </row>
    <row r="21" spans="1:9" ht="15" customHeight="1" x14ac:dyDescent="0.35">
      <c r="A21" s="2" t="s">
        <v>205</v>
      </c>
      <c r="B21" s="3">
        <v>240072899021</v>
      </c>
      <c r="C21" s="3">
        <v>268058082079</v>
      </c>
      <c r="D21" s="3">
        <v>294384242148</v>
      </c>
      <c r="E21" s="3">
        <v>349087049076</v>
      </c>
      <c r="F21" s="3">
        <v>239845036749</v>
      </c>
      <c r="G21" s="3">
        <v>276707413257</v>
      </c>
      <c r="H21" s="3">
        <v>401370891172</v>
      </c>
    </row>
    <row r="22" spans="1:9" ht="15" customHeight="1" x14ac:dyDescent="0.35">
      <c r="A22" s="2" t="s">
        <v>206</v>
      </c>
      <c r="H22" s="3">
        <v>-433490657</v>
      </c>
    </row>
    <row r="23" spans="1:9" ht="15" customHeight="1" x14ac:dyDescent="0.35">
      <c r="A23" s="2" t="s">
        <v>207</v>
      </c>
      <c r="B23" s="3">
        <v>5514</v>
      </c>
      <c r="C23" s="3">
        <v>4833</v>
      </c>
      <c r="D23" s="3">
        <v>4031</v>
      </c>
      <c r="E23" s="3">
        <v>4084</v>
      </c>
      <c r="F23" s="3">
        <v>2775</v>
      </c>
      <c r="G23" s="3">
        <v>3201</v>
      </c>
      <c r="H23" s="3">
        <v>4643</v>
      </c>
    </row>
    <row r="24" spans="1:9" ht="15" customHeight="1" x14ac:dyDescent="0.35">
      <c r="A24" s="2" t="s">
        <v>208</v>
      </c>
      <c r="B24" s="2">
        <v>5514</v>
      </c>
      <c r="F24" s="3">
        <v>2775</v>
      </c>
      <c r="G24" s="3">
        <v>3201</v>
      </c>
      <c r="H24" s="3">
        <v>4643</v>
      </c>
    </row>
    <row r="25" spans="1:9" ht="15" customHeight="1" x14ac:dyDescent="0.35">
      <c r="F25" s="3"/>
      <c r="G25" s="3"/>
      <c r="H25" s="3"/>
    </row>
    <row r="26" spans="1:9" ht="15" customHeight="1" x14ac:dyDescent="0.35">
      <c r="A26" s="2" t="s">
        <v>209</v>
      </c>
      <c r="B26" s="2" t="s">
        <v>13</v>
      </c>
      <c r="C26" s="2" t="s">
        <v>2</v>
      </c>
      <c r="D26" s="2" t="s">
        <v>3</v>
      </c>
      <c r="E26" s="2" t="s">
        <v>4</v>
      </c>
      <c r="F26" s="2" t="s">
        <v>5</v>
      </c>
      <c r="G26" s="2" t="s">
        <v>6</v>
      </c>
      <c r="H26" s="2" t="s">
        <v>7</v>
      </c>
    </row>
    <row r="27" spans="1:9" ht="15" customHeight="1" x14ac:dyDescent="0.35">
      <c r="A27" s="201" t="s">
        <v>210</v>
      </c>
      <c r="B27" s="3"/>
    </row>
    <row r="28" spans="1:9" ht="15" customHeight="1" x14ac:dyDescent="0.35">
      <c r="A28" s="201" t="s">
        <v>211</v>
      </c>
      <c r="B28" s="202">
        <v>1025111080529</v>
      </c>
      <c r="C28" s="202">
        <v>1091968239964</v>
      </c>
      <c r="D28" s="202">
        <v>1176632415566</v>
      </c>
      <c r="E28" s="202">
        <v>1830894396372</v>
      </c>
      <c r="F28" s="202">
        <v>1701751836942</v>
      </c>
      <c r="G28" s="202">
        <v>1867453670532</v>
      </c>
      <c r="H28" s="202">
        <v>2133213102262</v>
      </c>
    </row>
    <row r="29" spans="1:9" ht="15" customHeight="1" x14ac:dyDescent="0.35">
      <c r="A29" s="2" t="s">
        <v>212</v>
      </c>
      <c r="B29" s="3">
        <v>424423331022</v>
      </c>
      <c r="C29" s="3">
        <v>353869383127</v>
      </c>
      <c r="D29" s="3">
        <v>145861230396</v>
      </c>
      <c r="E29" s="3">
        <v>190855576577</v>
      </c>
      <c r="F29" s="3">
        <v>371680211939</v>
      </c>
      <c r="G29" s="3">
        <v>503425694773</v>
      </c>
      <c r="H29" s="3">
        <v>405368125624</v>
      </c>
    </row>
    <row r="30" spans="1:9" ht="15" customHeight="1" x14ac:dyDescent="0.35">
      <c r="A30" s="2" t="s">
        <v>213</v>
      </c>
      <c r="B30" s="3">
        <v>123423331022</v>
      </c>
      <c r="C30" s="3">
        <v>82869383127</v>
      </c>
      <c r="D30" s="3">
        <v>104861230396</v>
      </c>
      <c r="E30" s="3">
        <v>99855576577</v>
      </c>
      <c r="F30" s="3">
        <v>152680211939</v>
      </c>
      <c r="G30" s="3">
        <v>339074817864</v>
      </c>
      <c r="H30" s="3">
        <v>405368125624</v>
      </c>
    </row>
    <row r="31" spans="1:9" ht="15" customHeight="1" x14ac:dyDescent="0.35">
      <c r="A31" s="2" t="s">
        <v>214</v>
      </c>
      <c r="B31" s="204">
        <v>301000000000</v>
      </c>
      <c r="C31" s="3">
        <v>271000000000</v>
      </c>
      <c r="D31" s="3">
        <v>41000000000</v>
      </c>
      <c r="E31" s="3">
        <v>91000000000</v>
      </c>
      <c r="F31" s="3">
        <v>219000000000</v>
      </c>
      <c r="G31" s="3">
        <v>164350876909</v>
      </c>
    </row>
    <row r="32" spans="1:9" ht="15" customHeight="1" x14ac:dyDescent="0.35">
      <c r="A32" s="2" t="s">
        <v>215</v>
      </c>
      <c r="E32" s="3">
        <v>466000000000</v>
      </c>
      <c r="F32" s="3">
        <v>372000000000</v>
      </c>
      <c r="G32" s="3">
        <v>239999139200</v>
      </c>
      <c r="H32" s="3">
        <v>359670000000</v>
      </c>
    </row>
    <row r="33" spans="1:8" ht="15" customHeight="1" x14ac:dyDescent="0.35">
      <c r="A33" s="2" t="s">
        <v>216</v>
      </c>
    </row>
    <row r="34" spans="1:8" ht="15" customHeight="1" x14ac:dyDescent="0.35">
      <c r="A34" s="2" t="s">
        <v>217</v>
      </c>
    </row>
    <row r="35" spans="1:8" ht="15" customHeight="1" x14ac:dyDescent="0.35">
      <c r="A35" s="2" t="s">
        <v>135</v>
      </c>
      <c r="B35" s="3"/>
      <c r="E35" s="3">
        <v>466000000000</v>
      </c>
      <c r="F35" s="3">
        <v>372000000000</v>
      </c>
      <c r="G35" s="3">
        <v>239999139200</v>
      </c>
      <c r="H35" s="3">
        <v>359670000000</v>
      </c>
    </row>
    <row r="36" spans="1:8" ht="15" customHeight="1" x14ac:dyDescent="0.35">
      <c r="A36" s="2" t="s">
        <v>218</v>
      </c>
      <c r="B36" s="3">
        <v>122515004880</v>
      </c>
      <c r="C36" s="3">
        <v>204875546879</v>
      </c>
      <c r="D36" s="3">
        <v>337890452158</v>
      </c>
      <c r="E36" s="3">
        <v>581476470866</v>
      </c>
      <c r="F36" s="3">
        <v>415009507750</v>
      </c>
      <c r="G36" s="3">
        <v>398342077637</v>
      </c>
      <c r="H36" s="3">
        <v>370055589054</v>
      </c>
    </row>
    <row r="37" spans="1:8" ht="15" customHeight="1" x14ac:dyDescent="0.35">
      <c r="A37" s="2" t="s">
        <v>219</v>
      </c>
      <c r="B37" s="3">
        <v>99079216936</v>
      </c>
      <c r="C37" s="3">
        <v>176481251100</v>
      </c>
      <c r="D37" s="3">
        <v>316196499020</v>
      </c>
      <c r="E37" s="3">
        <v>540254253737</v>
      </c>
      <c r="F37" s="3">
        <v>386750747429</v>
      </c>
      <c r="G37" s="3">
        <v>360613054625</v>
      </c>
      <c r="H37" s="3">
        <v>336997466885</v>
      </c>
    </row>
    <row r="38" spans="1:8" ht="15" customHeight="1" x14ac:dyDescent="0.35">
      <c r="A38" s="2" t="s">
        <v>220</v>
      </c>
      <c r="B38" s="3">
        <v>18774948627</v>
      </c>
      <c r="C38" s="3">
        <v>22626965303</v>
      </c>
      <c r="D38" s="3">
        <v>18288552319</v>
      </c>
      <c r="E38" s="3">
        <v>18195133300</v>
      </c>
      <c r="F38" s="3">
        <v>16500972908</v>
      </c>
      <c r="G38" s="3">
        <v>30644903658</v>
      </c>
      <c r="H38" s="3">
        <v>29193396046</v>
      </c>
    </row>
    <row r="39" spans="1:8" ht="15" customHeight="1" x14ac:dyDescent="0.35">
      <c r="A39" s="2" t="s">
        <v>221</v>
      </c>
    </row>
    <row r="40" spans="1:8" ht="15" customHeight="1" x14ac:dyDescent="0.35">
      <c r="A40" s="2" t="s">
        <v>222</v>
      </c>
    </row>
    <row r="41" spans="1:8" ht="15" customHeight="1" x14ac:dyDescent="0.35">
      <c r="A41" s="2" t="s">
        <v>223</v>
      </c>
      <c r="B41" s="3"/>
    </row>
    <row r="42" spans="1:8" ht="15" customHeight="1" x14ac:dyDescent="0.35">
      <c r="A42" s="2" t="s">
        <v>224</v>
      </c>
      <c r="B42" s="3">
        <v>5550973630</v>
      </c>
      <c r="C42" s="3">
        <v>6594563494</v>
      </c>
      <c r="D42" s="3">
        <v>4271091002</v>
      </c>
      <c r="E42" s="3">
        <v>23941767031</v>
      </c>
      <c r="F42" s="3">
        <v>11926026574</v>
      </c>
      <c r="G42" s="3">
        <v>19423980217</v>
      </c>
      <c r="H42" s="3">
        <v>10093073242</v>
      </c>
    </row>
    <row r="43" spans="1:8" ht="15" customHeight="1" x14ac:dyDescent="0.35">
      <c r="A43" s="2" t="s">
        <v>225</v>
      </c>
      <c r="B43" s="3">
        <v>-890134313</v>
      </c>
      <c r="C43" s="3">
        <v>-827233018</v>
      </c>
      <c r="D43" s="3">
        <v>-865690183</v>
      </c>
      <c r="E43" s="3">
        <v>-914683202</v>
      </c>
      <c r="F43" s="3">
        <v>-168239161</v>
      </c>
      <c r="G43" s="3">
        <v>-12339860863</v>
      </c>
      <c r="H43" s="3">
        <v>-6270311172</v>
      </c>
    </row>
    <row r="44" spans="1:8" ht="15" customHeight="1" x14ac:dyDescent="0.35">
      <c r="A44" s="2" t="s">
        <v>226</v>
      </c>
      <c r="B44" s="3"/>
      <c r="H44" s="3">
        <v>41964053</v>
      </c>
    </row>
    <row r="45" spans="1:8" ht="15" customHeight="1" x14ac:dyDescent="0.35">
      <c r="A45" s="2" t="s">
        <v>227</v>
      </c>
      <c r="B45" s="3">
        <v>460697931983</v>
      </c>
      <c r="C45" s="3">
        <v>517175529421</v>
      </c>
      <c r="D45" s="3">
        <v>684484261574</v>
      </c>
      <c r="E45" s="3">
        <v>582361530894</v>
      </c>
      <c r="F45" s="3">
        <v>530224405469</v>
      </c>
      <c r="G45" s="3">
        <v>693114318297</v>
      </c>
      <c r="H45" s="3">
        <v>914140453757</v>
      </c>
    </row>
    <row r="46" spans="1:8" ht="15" customHeight="1" x14ac:dyDescent="0.35">
      <c r="A46" s="2" t="s">
        <v>228</v>
      </c>
      <c r="B46" s="3">
        <v>478811442319</v>
      </c>
      <c r="C46" s="3">
        <v>534007886465</v>
      </c>
      <c r="D46" s="3">
        <v>703440229651</v>
      </c>
      <c r="E46" s="3">
        <v>611220729006</v>
      </c>
      <c r="F46" s="3">
        <v>554826392930</v>
      </c>
      <c r="G46" s="3">
        <v>704241213936</v>
      </c>
      <c r="H46" s="3">
        <v>930756948615</v>
      </c>
    </row>
    <row r="47" spans="1:8" ht="15" customHeight="1" x14ac:dyDescent="0.35">
      <c r="A47" s="2" t="s">
        <v>229</v>
      </c>
      <c r="B47" s="3">
        <v>-18113510336</v>
      </c>
      <c r="C47" s="3">
        <v>-16832357044</v>
      </c>
      <c r="D47" s="3">
        <v>-18955968077</v>
      </c>
      <c r="E47" s="3">
        <v>-28859198112</v>
      </c>
      <c r="F47" s="3">
        <v>-24601987461</v>
      </c>
      <c r="G47" s="3">
        <v>-11126895639</v>
      </c>
      <c r="H47" s="3">
        <v>-16616494858</v>
      </c>
    </row>
    <row r="48" spans="1:8" ht="15" customHeight="1" x14ac:dyDescent="0.35">
      <c r="A48" s="2" t="s">
        <v>230</v>
      </c>
      <c r="B48" s="3">
        <v>17474812644</v>
      </c>
      <c r="C48" s="3">
        <v>16047780537</v>
      </c>
      <c r="D48" s="3">
        <v>8396471438</v>
      </c>
      <c r="E48" s="3">
        <v>10200818035</v>
      </c>
      <c r="F48" s="3">
        <v>12837711784</v>
      </c>
      <c r="G48" s="3">
        <v>32572440625</v>
      </c>
      <c r="H48" s="3">
        <v>83978933827</v>
      </c>
    </row>
    <row r="49" spans="1:8" ht="15" customHeight="1" x14ac:dyDescent="0.35">
      <c r="A49" s="2" t="s">
        <v>231</v>
      </c>
      <c r="B49" s="3">
        <v>8251259433</v>
      </c>
      <c r="C49" s="3">
        <v>10153542137</v>
      </c>
      <c r="D49" s="3">
        <v>6909637976</v>
      </c>
      <c r="E49" s="3">
        <v>7897754885</v>
      </c>
      <c r="F49" s="3">
        <v>12713482192</v>
      </c>
      <c r="G49" s="3">
        <v>13186182712</v>
      </c>
      <c r="H49" s="3">
        <v>18870696354</v>
      </c>
    </row>
    <row r="50" spans="1:8" ht="15" customHeight="1" x14ac:dyDescent="0.35">
      <c r="A50" s="2" t="s">
        <v>232</v>
      </c>
      <c r="B50" s="3">
        <v>7470492991</v>
      </c>
      <c r="C50" s="3">
        <v>4141178180</v>
      </c>
      <c r="D50" s="3">
        <v>1368651636</v>
      </c>
      <c r="E50" s="3">
        <v>2288007696</v>
      </c>
      <c r="F50" s="3">
        <v>109174138</v>
      </c>
      <c r="G50" s="3">
        <v>15920601434</v>
      </c>
      <c r="H50" s="3">
        <v>58087118106</v>
      </c>
    </row>
    <row r="51" spans="1:8" ht="15" customHeight="1" x14ac:dyDescent="0.35">
      <c r="A51" s="2" t="s">
        <v>233</v>
      </c>
      <c r="B51" s="204">
        <v>1753060220</v>
      </c>
      <c r="C51" s="3">
        <v>1753060220</v>
      </c>
      <c r="D51" s="3">
        <v>118181826</v>
      </c>
      <c r="E51" s="3">
        <v>15055454</v>
      </c>
      <c r="F51" s="3">
        <v>15055454</v>
      </c>
      <c r="G51" s="3">
        <v>3465656479</v>
      </c>
      <c r="H51" s="3">
        <v>7021119367</v>
      </c>
    </row>
    <row r="52" spans="1:8" ht="15" customHeight="1" x14ac:dyDescent="0.35">
      <c r="A52" s="2" t="s">
        <v>234</v>
      </c>
    </row>
    <row r="53" spans="1:8" ht="15" customHeight="1" x14ac:dyDescent="0.35">
      <c r="A53" s="2" t="s">
        <v>235</v>
      </c>
      <c r="B53" s="3"/>
    </row>
    <row r="54" spans="1:8" ht="15" customHeight="1" x14ac:dyDescent="0.35">
      <c r="A54" s="201" t="s">
        <v>236</v>
      </c>
      <c r="B54" s="202">
        <v>359201386196</v>
      </c>
      <c r="C54" s="202">
        <v>476548476472</v>
      </c>
      <c r="D54" s="202">
        <v>618027228802</v>
      </c>
      <c r="E54" s="202">
        <v>586009531603</v>
      </c>
      <c r="F54" s="202">
        <v>612847304820</v>
      </c>
      <c r="G54" s="202">
        <v>578684880396</v>
      </c>
      <c r="H54" s="202">
        <v>735822949093</v>
      </c>
    </row>
    <row r="55" spans="1:8" ht="15" customHeight="1" x14ac:dyDescent="0.35">
      <c r="A55" s="2" t="s">
        <v>237</v>
      </c>
      <c r="B55" s="2">
        <v>2053755852</v>
      </c>
      <c r="C55" s="3">
        <v>2002464375</v>
      </c>
      <c r="D55" s="3">
        <v>2679733353</v>
      </c>
      <c r="E55" s="3">
        <v>3084864613</v>
      </c>
      <c r="F55" s="3">
        <v>4636517123</v>
      </c>
      <c r="G55" s="3">
        <v>5799200123</v>
      </c>
      <c r="H55" s="3">
        <v>12449274241</v>
      </c>
    </row>
    <row r="56" spans="1:8" ht="15" customHeight="1" x14ac:dyDescent="0.35">
      <c r="A56" s="2" t="s">
        <v>238</v>
      </c>
    </row>
    <row r="57" spans="1:8" ht="15" customHeight="1" x14ac:dyDescent="0.35">
      <c r="A57" s="2" t="s">
        <v>239</v>
      </c>
    </row>
    <row r="58" spans="1:8" ht="15" customHeight="1" x14ac:dyDescent="0.35">
      <c r="A58" s="2" t="s">
        <v>240</v>
      </c>
    </row>
    <row r="59" spans="1:8" ht="15" customHeight="1" x14ac:dyDescent="0.35">
      <c r="A59" s="2" t="s">
        <v>241</v>
      </c>
    </row>
    <row r="60" spans="1:8" ht="15" customHeight="1" x14ac:dyDescent="0.35">
      <c r="A60" s="2" t="s">
        <v>242</v>
      </c>
      <c r="B60" s="3"/>
    </row>
    <row r="61" spans="1:8" ht="15" customHeight="1" x14ac:dyDescent="0.35">
      <c r="A61" s="2" t="s">
        <v>151</v>
      </c>
      <c r="B61" s="2">
        <v>2053755852</v>
      </c>
      <c r="C61" s="3">
        <v>2002464375</v>
      </c>
      <c r="D61" s="3">
        <v>2679733353</v>
      </c>
      <c r="E61" s="3">
        <v>3084864613</v>
      </c>
      <c r="F61" s="3">
        <v>4636517123</v>
      </c>
      <c r="G61" s="3">
        <v>5799200123</v>
      </c>
      <c r="H61" s="3">
        <v>12449274241</v>
      </c>
    </row>
    <row r="62" spans="1:8" ht="15" customHeight="1" x14ac:dyDescent="0.35">
      <c r="A62" s="2" t="s">
        <v>243</v>
      </c>
      <c r="B62" s="3"/>
    </row>
    <row r="63" spans="1:8" ht="15" customHeight="1" x14ac:dyDescent="0.35">
      <c r="A63" s="2" t="s">
        <v>244</v>
      </c>
      <c r="B63" s="3">
        <v>289918854187</v>
      </c>
      <c r="C63" s="3">
        <v>359509747304</v>
      </c>
      <c r="D63" s="3">
        <v>417122326343</v>
      </c>
      <c r="E63" s="3">
        <v>464236995775</v>
      </c>
      <c r="F63" s="3">
        <v>463588241667</v>
      </c>
      <c r="G63" s="3">
        <v>445543913696</v>
      </c>
      <c r="H63" s="3">
        <v>478349797287</v>
      </c>
    </row>
    <row r="64" spans="1:8" ht="15" customHeight="1" x14ac:dyDescent="0.35">
      <c r="A64" s="2" t="s">
        <v>245</v>
      </c>
      <c r="B64" s="3">
        <v>200871576769</v>
      </c>
      <c r="C64" s="3">
        <v>273323647755</v>
      </c>
      <c r="D64" s="3">
        <v>386671680681</v>
      </c>
      <c r="E64" s="3">
        <v>434775531550</v>
      </c>
      <c r="F64" s="3">
        <v>438944610201</v>
      </c>
      <c r="G64" s="3">
        <v>425390545912</v>
      </c>
      <c r="H64" s="3">
        <v>453705201167</v>
      </c>
    </row>
    <row r="65" spans="1:8" ht="15" customHeight="1" x14ac:dyDescent="0.35">
      <c r="A65" s="2" t="s">
        <v>154</v>
      </c>
      <c r="B65" s="3">
        <v>532701823372</v>
      </c>
      <c r="C65" s="3">
        <v>645023141721</v>
      </c>
      <c r="D65" s="3">
        <v>814013281236</v>
      </c>
      <c r="E65" s="3">
        <v>916525121861</v>
      </c>
      <c r="F65" s="3">
        <v>990029869959</v>
      </c>
      <c r="G65" s="3">
        <v>1031042278559</v>
      </c>
      <c r="H65" s="3">
        <v>1134421550236</v>
      </c>
    </row>
    <row r="66" spans="1:8" ht="15" customHeight="1" x14ac:dyDescent="0.35">
      <c r="A66" s="2" t="s">
        <v>246</v>
      </c>
      <c r="B66" s="3">
        <v>-331830246603</v>
      </c>
      <c r="C66" s="3">
        <v>-371699493966</v>
      </c>
      <c r="D66" s="3">
        <v>-427341600555</v>
      </c>
      <c r="E66" s="3">
        <v>-481749590311</v>
      </c>
      <c r="F66" s="3">
        <v>-551085259758</v>
      </c>
      <c r="G66" s="3">
        <v>-605651732647</v>
      </c>
      <c r="H66" s="3">
        <v>-680716349069</v>
      </c>
    </row>
    <row r="67" spans="1:8" ht="15" customHeight="1" x14ac:dyDescent="0.35">
      <c r="A67" s="2" t="s">
        <v>247</v>
      </c>
    </row>
    <row r="68" spans="1:8" ht="15" customHeight="1" x14ac:dyDescent="0.35">
      <c r="A68" s="2" t="s">
        <v>154</v>
      </c>
    </row>
    <row r="69" spans="1:8" ht="15" customHeight="1" x14ac:dyDescent="0.35">
      <c r="A69" s="2" t="s">
        <v>246</v>
      </c>
      <c r="B69" s="3"/>
    </row>
    <row r="70" spans="1:8" ht="15" customHeight="1" x14ac:dyDescent="0.35">
      <c r="A70" s="2" t="s">
        <v>248</v>
      </c>
      <c r="B70" s="3">
        <v>89047277418</v>
      </c>
      <c r="C70" s="3">
        <v>86186099549</v>
      </c>
      <c r="D70" s="3">
        <v>30450645662</v>
      </c>
      <c r="E70" s="3">
        <v>29461464225</v>
      </c>
      <c r="F70" s="3">
        <v>24643631466</v>
      </c>
      <c r="G70" s="3">
        <v>20153367784</v>
      </c>
      <c r="H70" s="3">
        <v>24644596120</v>
      </c>
    </row>
    <row r="71" spans="1:8" ht="15" customHeight="1" x14ac:dyDescent="0.35">
      <c r="A71" s="2" t="s">
        <v>154</v>
      </c>
      <c r="B71" s="3">
        <v>112648407893</v>
      </c>
      <c r="C71" s="3">
        <v>115656610948</v>
      </c>
      <c r="D71" s="3">
        <v>65414225817</v>
      </c>
      <c r="E71" s="3">
        <v>67432574911</v>
      </c>
      <c r="F71" s="3">
        <v>67792297411</v>
      </c>
      <c r="G71" s="3">
        <v>68137527411</v>
      </c>
      <c r="H71" s="3">
        <v>75490966251</v>
      </c>
    </row>
    <row r="72" spans="1:8" ht="15" customHeight="1" x14ac:dyDescent="0.35">
      <c r="A72" s="2" t="s">
        <v>246</v>
      </c>
      <c r="B72" s="2">
        <v>-23601130475</v>
      </c>
      <c r="C72" s="3">
        <v>-29470511399</v>
      </c>
      <c r="D72" s="3">
        <v>-34963580155</v>
      </c>
      <c r="E72" s="3">
        <v>-37971110686</v>
      </c>
      <c r="F72" s="3">
        <v>-43148665945</v>
      </c>
      <c r="G72" s="3">
        <v>-47984159627</v>
      </c>
      <c r="H72" s="3">
        <v>-50846370131</v>
      </c>
    </row>
    <row r="73" spans="1:8" ht="15" customHeight="1" x14ac:dyDescent="0.35">
      <c r="A73" s="2" t="s">
        <v>249</v>
      </c>
      <c r="D73" s="3">
        <v>59888350067</v>
      </c>
    </row>
    <row r="74" spans="1:8" ht="15" customHeight="1" x14ac:dyDescent="0.35">
      <c r="A74" s="2" t="s">
        <v>154</v>
      </c>
      <c r="D74" s="3">
        <v>59888350067</v>
      </c>
    </row>
    <row r="75" spans="1:8" ht="15" customHeight="1" x14ac:dyDescent="0.35">
      <c r="A75" s="2" t="s">
        <v>246</v>
      </c>
      <c r="B75" s="3"/>
    </row>
    <row r="76" spans="1:8" ht="15" customHeight="1" x14ac:dyDescent="0.35">
      <c r="A76" s="2" t="s">
        <v>250</v>
      </c>
      <c r="B76" s="2">
        <v>8309739078</v>
      </c>
      <c r="C76" s="3">
        <v>48211169387</v>
      </c>
      <c r="D76" s="3">
        <v>64703776055</v>
      </c>
      <c r="E76" s="3">
        <v>26712919979</v>
      </c>
      <c r="F76" s="3">
        <v>13434075449</v>
      </c>
      <c r="G76" s="3">
        <v>19040558603</v>
      </c>
      <c r="H76" s="3">
        <v>102815871219</v>
      </c>
    </row>
    <row r="77" spans="1:8" ht="15" customHeight="1" x14ac:dyDescent="0.35">
      <c r="A77" s="2" t="s">
        <v>251</v>
      </c>
      <c r="B77" s="3"/>
    </row>
    <row r="78" spans="1:8" ht="15" customHeight="1" x14ac:dyDescent="0.35">
      <c r="A78" s="2" t="s">
        <v>252</v>
      </c>
      <c r="B78" s="3">
        <v>8309739078</v>
      </c>
      <c r="C78" s="3">
        <v>48211169387</v>
      </c>
      <c r="D78" s="3">
        <v>64703776055</v>
      </c>
      <c r="E78" s="3">
        <v>26712919979</v>
      </c>
      <c r="F78" s="3">
        <v>13434075449</v>
      </c>
      <c r="G78" s="3">
        <v>19040558603</v>
      </c>
      <c r="H78" s="3">
        <v>102815871219</v>
      </c>
    </row>
    <row r="79" spans="1:8" ht="15" customHeight="1" x14ac:dyDescent="0.35">
      <c r="A79" s="2" t="s">
        <v>253</v>
      </c>
      <c r="B79" s="2">
        <v>19835883107</v>
      </c>
      <c r="C79" s="3">
        <v>19694488391</v>
      </c>
      <c r="D79" s="3">
        <v>20436762423</v>
      </c>
      <c r="E79" s="3">
        <v>21092112000</v>
      </c>
      <c r="F79" s="3">
        <v>21942320000</v>
      </c>
      <c r="G79" s="3">
        <v>33621440000</v>
      </c>
      <c r="H79" s="3">
        <v>58723584000</v>
      </c>
    </row>
    <row r="80" spans="1:8" ht="15" customHeight="1" x14ac:dyDescent="0.35">
      <c r="A80" s="2" t="s">
        <v>254</v>
      </c>
    </row>
    <row r="81" spans="1:8" ht="15" customHeight="1" x14ac:dyDescent="0.35">
      <c r="A81" s="2" t="s">
        <v>255</v>
      </c>
      <c r="B81" s="3"/>
      <c r="H81" s="3">
        <v>25000000000</v>
      </c>
    </row>
    <row r="82" spans="1:8" ht="15" customHeight="1" x14ac:dyDescent="0.35">
      <c r="A82" s="2" t="s">
        <v>256</v>
      </c>
      <c r="B82" s="3">
        <v>30685000000</v>
      </c>
      <c r="C82" s="3">
        <v>30685000000</v>
      </c>
      <c r="D82" s="3">
        <v>30685000000</v>
      </c>
      <c r="E82" s="3">
        <v>30685000000</v>
      </c>
      <c r="F82" s="3">
        <v>30685000000</v>
      </c>
      <c r="G82" s="3">
        <v>37685000000</v>
      </c>
      <c r="H82" s="3">
        <v>37685000000</v>
      </c>
    </row>
    <row r="83" spans="1:8" ht="15" customHeight="1" x14ac:dyDescent="0.35">
      <c r="A83" s="2" t="s">
        <v>257</v>
      </c>
      <c r="B83" s="2">
        <v>-10849116893</v>
      </c>
      <c r="C83" s="3">
        <v>-10990511609</v>
      </c>
      <c r="D83" s="3">
        <v>-10248237577</v>
      </c>
      <c r="E83" s="3">
        <v>-9592888000</v>
      </c>
      <c r="F83" s="3">
        <v>-8742680000</v>
      </c>
      <c r="G83" s="3">
        <v>-4063560000</v>
      </c>
      <c r="H83" s="3">
        <v>-3961416000</v>
      </c>
    </row>
    <row r="84" spans="1:8" ht="15" customHeight="1" x14ac:dyDescent="0.35">
      <c r="A84" s="2" t="s">
        <v>258</v>
      </c>
      <c r="B84" s="3"/>
    </row>
    <row r="85" spans="1:8" ht="15" customHeight="1" x14ac:dyDescent="0.35">
      <c r="A85" s="2" t="s">
        <v>259</v>
      </c>
      <c r="B85" s="3">
        <v>39083153972</v>
      </c>
      <c r="C85" s="3">
        <v>47130607015</v>
      </c>
      <c r="D85" s="3">
        <v>53196280561</v>
      </c>
      <c r="E85" s="3">
        <v>70882639236</v>
      </c>
      <c r="F85" s="3">
        <v>109246150581</v>
      </c>
      <c r="G85" s="3">
        <v>74679767974</v>
      </c>
      <c r="H85" s="3">
        <v>83484422346</v>
      </c>
    </row>
    <row r="86" spans="1:8" ht="15" customHeight="1" x14ac:dyDescent="0.35">
      <c r="A86" s="2" t="s">
        <v>260</v>
      </c>
      <c r="B86" s="3">
        <v>14861839365</v>
      </c>
      <c r="C86" s="3">
        <v>21207669563</v>
      </c>
      <c r="D86" s="3">
        <v>28143995826</v>
      </c>
      <c r="E86" s="3">
        <v>39582025338</v>
      </c>
      <c r="F86" s="3">
        <v>80297126389</v>
      </c>
      <c r="G86" s="3">
        <v>64581906877</v>
      </c>
      <c r="H86" s="3">
        <v>56689092291</v>
      </c>
    </row>
    <row r="87" spans="1:8" ht="15" customHeight="1" x14ac:dyDescent="0.35">
      <c r="A87" s="2" t="s">
        <v>261</v>
      </c>
      <c r="B87" s="2">
        <v>24221314607</v>
      </c>
      <c r="C87" s="3">
        <v>25922937452</v>
      </c>
      <c r="D87" s="3">
        <v>25052284735</v>
      </c>
      <c r="E87" s="3">
        <v>31300613898</v>
      </c>
      <c r="F87" s="3">
        <v>28949024192</v>
      </c>
      <c r="G87" s="3">
        <v>10097861097</v>
      </c>
      <c r="H87" s="3">
        <v>26795330055</v>
      </c>
    </row>
    <row r="88" spans="1:8" ht="15" customHeight="1" x14ac:dyDescent="0.35">
      <c r="A88" s="2" t="s">
        <v>262</v>
      </c>
    </row>
    <row r="89" spans="1:8" ht="15" customHeight="1" x14ac:dyDescent="0.35">
      <c r="A89" s="2" t="s">
        <v>263</v>
      </c>
    </row>
    <row r="90" spans="1:8" ht="15" customHeight="1" x14ac:dyDescent="0.35">
      <c r="A90" s="2" t="s">
        <v>264</v>
      </c>
      <c r="B90" s="3"/>
    </row>
    <row r="91" spans="1:8" ht="15" customHeight="1" thickBot="1" x14ac:dyDescent="0.4">
      <c r="A91" s="256" t="s">
        <v>265</v>
      </c>
      <c r="B91" s="257">
        <v>1384312466725</v>
      </c>
      <c r="C91" s="257">
        <v>1568516716436</v>
      </c>
      <c r="D91" s="257">
        <v>1794659644368</v>
      </c>
      <c r="E91" s="257">
        <v>2416903927975</v>
      </c>
      <c r="F91" s="257">
        <v>2314599141762</v>
      </c>
      <c r="G91" s="257">
        <v>2446138550928</v>
      </c>
      <c r="H91" s="257">
        <v>2869036051355</v>
      </c>
    </row>
    <row r="92" spans="1:8" ht="15" customHeight="1" x14ac:dyDescent="0.35">
      <c r="A92" s="201" t="s">
        <v>266</v>
      </c>
      <c r="B92" s="3"/>
    </row>
    <row r="93" spans="1:8" ht="15" customHeight="1" x14ac:dyDescent="0.35">
      <c r="A93" s="2" t="s">
        <v>267</v>
      </c>
      <c r="B93" s="3">
        <v>460086007616</v>
      </c>
      <c r="C93" s="3">
        <v>508561941187</v>
      </c>
      <c r="D93" s="3">
        <v>525991247698</v>
      </c>
      <c r="E93" s="3">
        <v>609917056329</v>
      </c>
      <c r="F93" s="3">
        <v>566339505472</v>
      </c>
      <c r="G93" s="3">
        <v>620560103651</v>
      </c>
      <c r="H93" s="3">
        <v>911164294533</v>
      </c>
    </row>
    <row r="94" spans="1:8" ht="15" customHeight="1" x14ac:dyDescent="0.35">
      <c r="A94" s="2" t="s">
        <v>268</v>
      </c>
      <c r="B94" s="3">
        <v>413093993826</v>
      </c>
      <c r="C94" s="3">
        <v>474574740460</v>
      </c>
      <c r="D94" s="3">
        <v>495903207694</v>
      </c>
      <c r="E94" s="3">
        <v>554653680656</v>
      </c>
      <c r="F94" s="3">
        <v>499556492085</v>
      </c>
      <c r="G94" s="3">
        <v>578295639397</v>
      </c>
      <c r="H94" s="3">
        <v>831255708627</v>
      </c>
    </row>
    <row r="95" spans="1:8" ht="15" customHeight="1" x14ac:dyDescent="0.35">
      <c r="A95" s="2" t="s">
        <v>269</v>
      </c>
      <c r="B95" s="3">
        <v>131879671529</v>
      </c>
      <c r="C95" s="3">
        <v>147749949303</v>
      </c>
      <c r="D95" s="3">
        <v>137335288838</v>
      </c>
      <c r="E95" s="3">
        <v>181300286706</v>
      </c>
      <c r="F95" s="3">
        <v>113224556606</v>
      </c>
      <c r="G95" s="3">
        <v>192966654832</v>
      </c>
      <c r="H95" s="3">
        <v>260162035465</v>
      </c>
    </row>
    <row r="96" spans="1:8" ht="15" customHeight="1" x14ac:dyDescent="0.35">
      <c r="A96" s="2" t="s">
        <v>270</v>
      </c>
      <c r="B96" s="3">
        <v>7660650263</v>
      </c>
      <c r="C96" s="3">
        <v>1295677775</v>
      </c>
      <c r="D96" s="3">
        <v>3860818654</v>
      </c>
      <c r="E96" s="3">
        <v>2570299065</v>
      </c>
      <c r="F96" s="3">
        <v>6686687740</v>
      </c>
      <c r="G96" s="3">
        <v>6770431424</v>
      </c>
      <c r="H96" s="3">
        <v>4379600530</v>
      </c>
    </row>
    <row r="97" spans="1:8" ht="15" customHeight="1" x14ac:dyDescent="0.35">
      <c r="A97" s="2" t="s">
        <v>271</v>
      </c>
      <c r="B97" s="3">
        <v>11734745719</v>
      </c>
      <c r="C97" s="3">
        <v>13573962561</v>
      </c>
      <c r="D97" s="3">
        <v>14259738175</v>
      </c>
      <c r="E97" s="3">
        <v>31734854675</v>
      </c>
      <c r="F97" s="3">
        <v>18846224521</v>
      </c>
      <c r="G97" s="3">
        <v>23159487331</v>
      </c>
      <c r="H97" s="3">
        <v>25063262634</v>
      </c>
    </row>
    <row r="98" spans="1:8" ht="15" customHeight="1" x14ac:dyDescent="0.35">
      <c r="A98" s="2" t="s">
        <v>272</v>
      </c>
      <c r="B98" s="3">
        <v>14449860321</v>
      </c>
      <c r="C98" s="3">
        <v>14759439048</v>
      </c>
      <c r="D98" s="3">
        <v>23729016904</v>
      </c>
      <c r="E98" s="3">
        <v>25924624973</v>
      </c>
      <c r="F98" s="3">
        <v>23820358291</v>
      </c>
      <c r="G98" s="3">
        <v>27023465313</v>
      </c>
      <c r="H98" s="3">
        <v>40288640067</v>
      </c>
    </row>
    <row r="99" spans="1:8" ht="15" customHeight="1" x14ac:dyDescent="0.35">
      <c r="A99" s="2" t="s">
        <v>273</v>
      </c>
      <c r="B99" s="2">
        <v>53220112617</v>
      </c>
      <c r="C99" s="3">
        <v>66837241960</v>
      </c>
      <c r="D99" s="3">
        <v>76135843561</v>
      </c>
      <c r="E99" s="3">
        <v>96724794495</v>
      </c>
      <c r="F99" s="3">
        <v>93748732179</v>
      </c>
      <c r="G99" s="3">
        <v>96976213042</v>
      </c>
      <c r="H99" s="3">
        <v>134394283546</v>
      </c>
    </row>
    <row r="100" spans="1:8" ht="15" customHeight="1" x14ac:dyDescent="0.35">
      <c r="A100" s="2" t="s">
        <v>274</v>
      </c>
    </row>
    <row r="101" spans="1:8" ht="15" customHeight="1" x14ac:dyDescent="0.35">
      <c r="A101" s="2" t="s">
        <v>275</v>
      </c>
    </row>
    <row r="102" spans="1:8" ht="15" customHeight="1" x14ac:dyDescent="0.35">
      <c r="A102" s="2" t="s">
        <v>276</v>
      </c>
      <c r="B102" s="3"/>
    </row>
    <row r="103" spans="1:8" ht="15" customHeight="1" x14ac:dyDescent="0.35">
      <c r="A103" s="2" t="s">
        <v>277</v>
      </c>
      <c r="B103" s="3">
        <v>4386022605</v>
      </c>
      <c r="C103" s="3">
        <v>56465313682</v>
      </c>
      <c r="D103" s="3">
        <v>6752874128</v>
      </c>
      <c r="E103" s="3">
        <v>9028740183</v>
      </c>
      <c r="F103" s="3">
        <v>90142614189</v>
      </c>
      <c r="G103" s="3">
        <v>49255503644</v>
      </c>
      <c r="H103" s="3">
        <v>171925952658</v>
      </c>
    </row>
    <row r="104" spans="1:8" ht="15" customHeight="1" x14ac:dyDescent="0.35">
      <c r="A104" s="2" t="s">
        <v>278</v>
      </c>
      <c r="B104" s="3">
        <v>171584405449</v>
      </c>
      <c r="C104" s="3">
        <v>160974445870</v>
      </c>
      <c r="D104" s="3">
        <v>222159942446</v>
      </c>
      <c r="E104" s="3">
        <v>195113477671</v>
      </c>
      <c r="F104" s="3">
        <v>147248648694</v>
      </c>
      <c r="G104" s="3">
        <v>173272413271</v>
      </c>
      <c r="H104" s="3">
        <v>182885122900</v>
      </c>
    </row>
    <row r="105" spans="1:8" ht="15" customHeight="1" x14ac:dyDescent="0.35">
      <c r="A105" s="2" t="s">
        <v>279</v>
      </c>
      <c r="B105" s="3"/>
    </row>
    <row r="106" spans="1:8" ht="15" customHeight="1" x14ac:dyDescent="0.35">
      <c r="A106" s="2" t="s">
        <v>280</v>
      </c>
      <c r="B106" s="204">
        <v>18178525323</v>
      </c>
      <c r="C106" s="3">
        <v>12918710261</v>
      </c>
      <c r="D106" s="3">
        <v>11669684988</v>
      </c>
      <c r="E106" s="3">
        <v>12256602888</v>
      </c>
      <c r="F106" s="3">
        <v>5838669865</v>
      </c>
      <c r="G106" s="3">
        <v>8871470540</v>
      </c>
      <c r="H106" s="3">
        <v>12156810827</v>
      </c>
    </row>
    <row r="107" spans="1:8" ht="15" customHeight="1" x14ac:dyDescent="0.35">
      <c r="A107" s="2" t="s">
        <v>281</v>
      </c>
    </row>
    <row r="108" spans="1:8" ht="15" customHeight="1" x14ac:dyDescent="0.35">
      <c r="A108" s="2" t="s">
        <v>282</v>
      </c>
      <c r="B108" s="3"/>
    </row>
    <row r="109" spans="1:8" ht="15" customHeight="1" x14ac:dyDescent="0.35">
      <c r="A109" s="2" t="s">
        <v>283</v>
      </c>
      <c r="B109" s="204">
        <v>46992013790</v>
      </c>
      <c r="C109" s="3">
        <v>33987200727</v>
      </c>
      <c r="D109" s="3">
        <v>30088040004</v>
      </c>
      <c r="E109" s="3">
        <v>55263375673</v>
      </c>
      <c r="F109" s="3">
        <v>66783013387</v>
      </c>
      <c r="G109" s="3">
        <v>42264464254</v>
      </c>
      <c r="H109" s="3">
        <v>79908585906</v>
      </c>
    </row>
    <row r="110" spans="1:8" ht="15" customHeight="1" x14ac:dyDescent="0.35">
      <c r="A110" s="2" t="s">
        <v>284</v>
      </c>
    </row>
    <row r="111" spans="1:8" ht="15" customHeight="1" x14ac:dyDescent="0.35">
      <c r="A111" s="2" t="s">
        <v>285</v>
      </c>
    </row>
    <row r="112" spans="1:8" ht="15" customHeight="1" x14ac:dyDescent="0.35">
      <c r="A112" s="2" t="s">
        <v>286</v>
      </c>
    </row>
    <row r="113" spans="1:8" ht="15" customHeight="1" x14ac:dyDescent="0.35">
      <c r="A113" s="2" t="s">
        <v>287</v>
      </c>
    </row>
    <row r="114" spans="1:8" ht="15" customHeight="1" x14ac:dyDescent="0.35">
      <c r="A114" s="2" t="s">
        <v>288</v>
      </c>
    </row>
    <row r="115" spans="1:8" ht="15" customHeight="1" x14ac:dyDescent="0.35">
      <c r="A115" s="2" t="s">
        <v>289</v>
      </c>
      <c r="B115" s="3"/>
    </row>
    <row r="116" spans="1:8" ht="15" customHeight="1" x14ac:dyDescent="0.35">
      <c r="A116" s="2" t="s">
        <v>290</v>
      </c>
      <c r="B116" s="3">
        <v>141717970</v>
      </c>
      <c r="C116" s="3">
        <v>54500000</v>
      </c>
    </row>
    <row r="117" spans="1:8" ht="15" customHeight="1" x14ac:dyDescent="0.35">
      <c r="A117" s="2" t="s">
        <v>291</v>
      </c>
      <c r="B117" s="2">
        <v>20808564711</v>
      </c>
      <c r="C117" s="3">
        <v>5059232137</v>
      </c>
      <c r="E117" s="3">
        <v>25846153842</v>
      </c>
      <c r="F117" s="3">
        <v>31807692298</v>
      </c>
      <c r="G117" s="3">
        <v>11689230754</v>
      </c>
      <c r="H117" s="3">
        <v>63613468906</v>
      </c>
    </row>
    <row r="118" spans="1:8" ht="15" customHeight="1" x14ac:dyDescent="0.35">
      <c r="A118" s="2" t="s">
        <v>292</v>
      </c>
    </row>
    <row r="119" spans="1:8" ht="15" customHeight="1" x14ac:dyDescent="0.35">
      <c r="A119" s="2" t="s">
        <v>293</v>
      </c>
    </row>
    <row r="120" spans="1:8" ht="15" customHeight="1" x14ac:dyDescent="0.35">
      <c r="A120" s="2" t="s">
        <v>294</v>
      </c>
      <c r="B120" s="3"/>
    </row>
    <row r="121" spans="1:8" ht="15" customHeight="1" x14ac:dyDescent="0.35">
      <c r="A121" s="2" t="s">
        <v>295</v>
      </c>
      <c r="B121" s="2">
        <v>26041731109</v>
      </c>
      <c r="C121" s="3">
        <v>28873468590</v>
      </c>
      <c r="D121" s="3">
        <v>30088040004</v>
      </c>
      <c r="E121" s="3">
        <v>29417221831</v>
      </c>
      <c r="F121" s="3">
        <v>34975321089</v>
      </c>
      <c r="G121" s="3">
        <v>30575233500</v>
      </c>
      <c r="H121" s="3">
        <v>16295117000</v>
      </c>
    </row>
    <row r="122" spans="1:8" ht="15" customHeight="1" x14ac:dyDescent="0.35">
      <c r="A122" s="2" t="s">
        <v>296</v>
      </c>
      <c r="B122" s="3"/>
    </row>
    <row r="123" spans="1:8" ht="15" customHeight="1" x14ac:dyDescent="0.35">
      <c r="A123" s="201" t="s">
        <v>297</v>
      </c>
      <c r="B123" s="202">
        <v>924226459109</v>
      </c>
      <c r="C123" s="202">
        <v>1059954775249</v>
      </c>
      <c r="D123" s="202">
        <v>1268668396670</v>
      </c>
      <c r="E123" s="202">
        <v>1806986871646</v>
      </c>
      <c r="F123" s="202">
        <v>1748259636290</v>
      </c>
      <c r="G123" s="202">
        <v>1825578447277</v>
      </c>
      <c r="H123" s="202">
        <v>1957871756822</v>
      </c>
    </row>
    <row r="124" spans="1:8" ht="15" customHeight="1" x14ac:dyDescent="0.35">
      <c r="A124" s="2" t="s">
        <v>298</v>
      </c>
      <c r="B124" s="3">
        <v>924226459109</v>
      </c>
      <c r="C124" s="3">
        <v>1059954775249</v>
      </c>
      <c r="D124" s="3">
        <v>1268668396670</v>
      </c>
      <c r="E124" s="3">
        <v>1806986871646</v>
      </c>
      <c r="F124" s="3">
        <v>1748259636290</v>
      </c>
      <c r="G124" s="3">
        <v>1825578447277</v>
      </c>
      <c r="H124" s="3">
        <v>1957871756822</v>
      </c>
    </row>
    <row r="125" spans="1:8" ht="15" customHeight="1" x14ac:dyDescent="0.35">
      <c r="A125" s="2" t="s">
        <v>299</v>
      </c>
      <c r="B125" s="3">
        <v>383126720000</v>
      </c>
      <c r="C125" s="3">
        <v>505562560000</v>
      </c>
      <c r="D125" s="3">
        <v>657228530000</v>
      </c>
      <c r="E125" s="3">
        <v>777944530000</v>
      </c>
      <c r="F125" s="3">
        <v>777944530000</v>
      </c>
      <c r="G125" s="3">
        <v>777944530000</v>
      </c>
      <c r="H125" s="3">
        <v>777944530000</v>
      </c>
    </row>
    <row r="126" spans="1:8" ht="15" customHeight="1" x14ac:dyDescent="0.35">
      <c r="A126" s="2" t="s">
        <v>300</v>
      </c>
      <c r="B126" s="3">
        <v>383126720000</v>
      </c>
      <c r="C126" s="3">
        <v>505562560000</v>
      </c>
      <c r="D126" s="3">
        <v>657228530000</v>
      </c>
      <c r="E126" s="3">
        <v>777944530000</v>
      </c>
      <c r="F126" s="3">
        <v>777944530000</v>
      </c>
      <c r="G126" s="3">
        <v>777944530000</v>
      </c>
      <c r="H126" s="3">
        <v>777944530000</v>
      </c>
    </row>
    <row r="127" spans="1:8" ht="15" customHeight="1" x14ac:dyDescent="0.35">
      <c r="A127" s="2" t="s">
        <v>301</v>
      </c>
    </row>
    <row r="128" spans="1:8" ht="15" customHeight="1" x14ac:dyDescent="0.35">
      <c r="A128" s="2" t="s">
        <v>302</v>
      </c>
      <c r="B128" s="3">
        <v>128217023000</v>
      </c>
      <c r="C128" s="3">
        <v>28281183000</v>
      </c>
      <c r="D128" s="3">
        <v>28281183000</v>
      </c>
      <c r="E128" s="3">
        <v>392944802300</v>
      </c>
      <c r="F128" s="3">
        <v>361633483771</v>
      </c>
      <c r="G128" s="3">
        <v>361633483771</v>
      </c>
      <c r="H128" s="3">
        <v>361633483771</v>
      </c>
    </row>
    <row r="129" spans="1:8" ht="15" customHeight="1" x14ac:dyDescent="0.35">
      <c r="A129" s="2" t="s">
        <v>303</v>
      </c>
    </row>
    <row r="130" spans="1:8" ht="15" customHeight="1" x14ac:dyDescent="0.35">
      <c r="A130" s="2" t="s">
        <v>304</v>
      </c>
    </row>
    <row r="131" spans="1:8" ht="15" customHeight="1" x14ac:dyDescent="0.35">
      <c r="A131" s="2" t="s">
        <v>305</v>
      </c>
    </row>
    <row r="132" spans="1:8" ht="15" customHeight="1" x14ac:dyDescent="0.35">
      <c r="A132" s="2" t="s">
        <v>306</v>
      </c>
    </row>
    <row r="133" spans="1:8" ht="15" customHeight="1" x14ac:dyDescent="0.35">
      <c r="A133" s="2" t="s">
        <v>307</v>
      </c>
      <c r="B133" s="3"/>
      <c r="F133" s="3">
        <v>92630401</v>
      </c>
      <c r="G133" s="3">
        <v>-300043194</v>
      </c>
      <c r="H133" s="3">
        <v>526982987</v>
      </c>
    </row>
    <row r="134" spans="1:8" ht="15" customHeight="1" x14ac:dyDescent="0.35">
      <c r="A134" s="2" t="s">
        <v>308</v>
      </c>
      <c r="B134" s="2">
        <v>97075895498</v>
      </c>
      <c r="C134" s="3">
        <v>125884643498</v>
      </c>
      <c r="D134" s="3">
        <v>158051613498</v>
      </c>
      <c r="E134" s="3">
        <v>158019722556</v>
      </c>
      <c r="F134" s="3">
        <v>199910168556</v>
      </c>
      <c r="G134" s="3">
        <v>228691572556</v>
      </c>
      <c r="H134" s="3">
        <v>261896462556</v>
      </c>
    </row>
    <row r="135" spans="1:8" ht="15" customHeight="1" x14ac:dyDescent="0.35">
      <c r="A135" s="2" t="s">
        <v>309</v>
      </c>
    </row>
    <row r="136" spans="1:8" ht="15" customHeight="1" x14ac:dyDescent="0.35">
      <c r="A136" s="2" t="s">
        <v>310</v>
      </c>
      <c r="B136" s="3"/>
    </row>
    <row r="137" spans="1:8" ht="15" customHeight="1" x14ac:dyDescent="0.35">
      <c r="A137" s="2" t="s">
        <v>311</v>
      </c>
      <c r="B137" s="3">
        <v>315806820611</v>
      </c>
      <c r="C137" s="3">
        <v>400226388751</v>
      </c>
      <c r="D137" s="3">
        <v>425107070172</v>
      </c>
      <c r="E137" s="3">
        <v>478077816790</v>
      </c>
      <c r="F137" s="3">
        <v>408678823562</v>
      </c>
      <c r="G137" s="3">
        <v>457608904144</v>
      </c>
      <c r="H137" s="3">
        <v>554720805316</v>
      </c>
    </row>
    <row r="138" spans="1:8" ht="15" customHeight="1" x14ac:dyDescent="0.35">
      <c r="A138" s="2" t="s">
        <v>312</v>
      </c>
      <c r="B138" s="3">
        <v>153617482353</v>
      </c>
      <c r="C138" s="3">
        <v>195591119260</v>
      </c>
      <c r="D138" s="3">
        <v>271671178810</v>
      </c>
      <c r="E138" s="3">
        <v>244956496053</v>
      </c>
      <c r="F138" s="3">
        <v>77956130749</v>
      </c>
      <c r="G138" s="3">
        <v>111618507257</v>
      </c>
      <c r="H138" s="3">
        <v>396733273144</v>
      </c>
    </row>
    <row r="139" spans="1:8" ht="15" customHeight="1" x14ac:dyDescent="0.35">
      <c r="A139" s="2" t="s">
        <v>313</v>
      </c>
      <c r="B139" s="3">
        <v>162189338258</v>
      </c>
      <c r="C139" s="3">
        <v>204635269491</v>
      </c>
      <c r="D139" s="3">
        <v>153435891362</v>
      </c>
      <c r="E139" s="3">
        <v>233121320737</v>
      </c>
      <c r="F139" s="3">
        <v>330722692813</v>
      </c>
      <c r="G139" s="3">
        <v>345990396887</v>
      </c>
      <c r="H139" s="3">
        <v>157987532172</v>
      </c>
    </row>
    <row r="140" spans="1:8" ht="15" customHeight="1" x14ac:dyDescent="0.35">
      <c r="A140" s="2" t="s">
        <v>314</v>
      </c>
    </row>
    <row r="141" spans="1:8" ht="15" customHeight="1" x14ac:dyDescent="0.35">
      <c r="A141" s="2" t="s">
        <v>315</v>
      </c>
      <c r="H141" s="3">
        <v>1149492192</v>
      </c>
    </row>
    <row r="142" spans="1:8" ht="15" customHeight="1" x14ac:dyDescent="0.35">
      <c r="A142" s="2" t="s">
        <v>316</v>
      </c>
    </row>
    <row r="143" spans="1:8" ht="15" customHeight="1" x14ac:dyDescent="0.35">
      <c r="A143" s="2" t="s">
        <v>317</v>
      </c>
    </row>
    <row r="144" spans="1:8" ht="15" customHeight="1" x14ac:dyDescent="0.35">
      <c r="A144" s="2" t="s">
        <v>318</v>
      </c>
      <c r="B144" s="3"/>
    </row>
    <row r="145" spans="1:8" ht="15" customHeight="1" x14ac:dyDescent="0.35">
      <c r="A145" s="201" t="s">
        <v>319</v>
      </c>
      <c r="B145" s="202">
        <v>1384312466725</v>
      </c>
      <c r="C145" s="202">
        <v>1568516716436</v>
      </c>
      <c r="D145" s="202">
        <v>1794659644368</v>
      </c>
      <c r="E145" s="202">
        <v>2416903927975</v>
      </c>
      <c r="F145" s="202">
        <v>2314599141762</v>
      </c>
      <c r="G145" s="202">
        <v>2446138550928</v>
      </c>
      <c r="H145" s="202">
        <v>2869036051355</v>
      </c>
    </row>
    <row r="147" spans="1:8" ht="15" customHeight="1" x14ac:dyDescent="0.35">
      <c r="A147" s="201" t="s">
        <v>320</v>
      </c>
      <c r="B147" s="2" t="s">
        <v>13</v>
      </c>
      <c r="C147" s="2" t="s">
        <v>2</v>
      </c>
      <c r="D147" s="2" t="s">
        <v>3</v>
      </c>
      <c r="E147" s="2" t="s">
        <v>4</v>
      </c>
      <c r="F147" s="2" t="s">
        <v>5</v>
      </c>
      <c r="G147" s="2" t="s">
        <v>6</v>
      </c>
      <c r="H147" s="2" t="s">
        <v>7</v>
      </c>
    </row>
    <row r="148" spans="1:8" ht="15" customHeight="1" x14ac:dyDescent="0.35">
      <c r="A148" s="201" t="s">
        <v>321</v>
      </c>
      <c r="B148" s="3"/>
      <c r="C148" s="3"/>
      <c r="D148" s="3"/>
      <c r="E148" s="3"/>
      <c r="F148" s="3"/>
      <c r="G148" s="3"/>
      <c r="H148" s="3"/>
    </row>
    <row r="149" spans="1:8" ht="15" customHeight="1" x14ac:dyDescent="0.35">
      <c r="A149" s="2" t="s">
        <v>322</v>
      </c>
      <c r="B149" s="3">
        <v>306363619047</v>
      </c>
      <c r="C149" s="3">
        <v>334605605852</v>
      </c>
      <c r="D149" s="3">
        <v>368270871380</v>
      </c>
      <c r="E149" s="3">
        <v>436850758578</v>
      </c>
      <c r="F149" s="3">
        <v>303637473680</v>
      </c>
      <c r="G149" s="3">
        <v>358564884026</v>
      </c>
      <c r="H149" s="3">
        <v>506666648202</v>
      </c>
    </row>
    <row r="150" spans="1:8" ht="15" customHeight="1" x14ac:dyDescent="0.35">
      <c r="A150" s="2" t="s">
        <v>323</v>
      </c>
      <c r="B150" s="3"/>
      <c r="C150" s="3"/>
      <c r="D150" s="3"/>
      <c r="E150" s="3"/>
      <c r="F150" s="3"/>
      <c r="G150" s="3"/>
      <c r="H150" s="3"/>
    </row>
    <row r="151" spans="1:8" ht="15" customHeight="1" x14ac:dyDescent="0.35">
      <c r="A151" s="2" t="s">
        <v>324</v>
      </c>
      <c r="B151" s="3">
        <v>44323662660</v>
      </c>
      <c r="C151" s="3">
        <v>49798331415</v>
      </c>
      <c r="D151" s="3">
        <v>65989947275</v>
      </c>
      <c r="E151" s="3">
        <v>77552153082</v>
      </c>
      <c r="F151" s="3">
        <v>80427015086</v>
      </c>
      <c r="G151" s="3">
        <v>83919429257</v>
      </c>
      <c r="H151" s="3">
        <v>82485634011</v>
      </c>
    </row>
    <row r="152" spans="1:8" ht="15" customHeight="1" x14ac:dyDescent="0.35">
      <c r="A152" s="2" t="s">
        <v>325</v>
      </c>
      <c r="B152" s="3">
        <v>-9242721037</v>
      </c>
      <c r="C152" s="3">
        <v>1629077611</v>
      </c>
      <c r="D152" s="3">
        <v>2634365580</v>
      </c>
      <c r="E152" s="3">
        <v>8626055304</v>
      </c>
      <c r="F152" s="3">
        <v>-9843622423</v>
      </c>
      <c r="G152" s="3">
        <v>-10060980737</v>
      </c>
      <c r="H152" s="3">
        <v>-15038842760</v>
      </c>
    </row>
    <row r="153" spans="1:8" ht="15" customHeight="1" x14ac:dyDescent="0.35">
      <c r="A153" s="2" t="s">
        <v>326</v>
      </c>
      <c r="B153" s="3">
        <v>547778398</v>
      </c>
      <c r="C153" s="3">
        <v>32228235</v>
      </c>
      <c r="D153" s="3">
        <v>504277463</v>
      </c>
      <c r="E153" s="3">
        <v>16650960</v>
      </c>
      <c r="F153" s="3">
        <v>284619586</v>
      </c>
      <c r="G153" s="3">
        <v>-318054357</v>
      </c>
      <c r="H153" s="3">
        <v>6966897124</v>
      </c>
    </row>
    <row r="154" spans="1:8" ht="15" customHeight="1" x14ac:dyDescent="0.35">
      <c r="A154" s="2" t="s">
        <v>327</v>
      </c>
      <c r="B154" s="3">
        <v>-16154393112</v>
      </c>
      <c r="C154" s="3">
        <v>-16289299176</v>
      </c>
      <c r="D154" s="3">
        <v>-8187154568</v>
      </c>
      <c r="E154" s="3">
        <v>-57340235185</v>
      </c>
      <c r="F154" s="3">
        <v>-22385207920</v>
      </c>
      <c r="G154" s="3">
        <v>-23868121847</v>
      </c>
      <c r="H154" s="3">
        <v>-24663621794</v>
      </c>
    </row>
    <row r="155" spans="1:8" ht="15" customHeight="1" x14ac:dyDescent="0.35">
      <c r="A155" s="2" t="s">
        <v>328</v>
      </c>
      <c r="B155" s="3">
        <v>10697412010</v>
      </c>
      <c r="C155" s="3">
        <v>9500290007</v>
      </c>
      <c r="D155" s="3">
        <v>11068142459</v>
      </c>
      <c r="E155" s="3">
        <v>11434553822</v>
      </c>
      <c r="F155" s="3">
        <v>11853821706</v>
      </c>
      <c r="G155" s="3">
        <v>7019978348</v>
      </c>
      <c r="H155" s="3">
        <v>8881716860</v>
      </c>
    </row>
    <row r="156" spans="1:8" ht="15" customHeight="1" x14ac:dyDescent="0.35">
      <c r="A156" s="2" t="s">
        <v>329</v>
      </c>
      <c r="B156" s="3"/>
      <c r="C156" s="3"/>
      <c r="D156" s="3"/>
      <c r="E156" s="3"/>
      <c r="F156" s="3"/>
      <c r="G156" s="3"/>
      <c r="H156" s="3"/>
    </row>
    <row r="157" spans="1:8" ht="15" customHeight="1" x14ac:dyDescent="0.35">
      <c r="A157" s="2" t="s">
        <v>330</v>
      </c>
      <c r="B157" s="3">
        <v>336535357966</v>
      </c>
      <c r="C157" s="3">
        <v>379276233944</v>
      </c>
      <c r="D157" s="3">
        <v>440280449589</v>
      </c>
      <c r="E157" s="3">
        <v>477139936561</v>
      </c>
      <c r="F157" s="3">
        <v>363974099715</v>
      </c>
      <c r="G157" s="3">
        <v>415257134690</v>
      </c>
      <c r="H157" s="3">
        <v>565298431643</v>
      </c>
    </row>
    <row r="158" spans="1:8" ht="15" customHeight="1" x14ac:dyDescent="0.35">
      <c r="A158" s="2" t="s">
        <v>331</v>
      </c>
      <c r="B158" s="3">
        <v>-23364463090</v>
      </c>
      <c r="C158" s="3">
        <v>-78789029547</v>
      </c>
      <c r="D158" s="3">
        <v>-128740790023</v>
      </c>
      <c r="E158" s="3">
        <v>-226056564034</v>
      </c>
      <c r="F158" s="3">
        <v>163476604891</v>
      </c>
      <c r="G158" s="3">
        <v>24949485918</v>
      </c>
      <c r="H158" s="3">
        <v>-26902790739</v>
      </c>
    </row>
    <row r="159" spans="1:8" ht="15" customHeight="1" x14ac:dyDescent="0.35">
      <c r="A159" s="2" t="s">
        <v>332</v>
      </c>
      <c r="B159" s="3">
        <v>-31581065498</v>
      </c>
      <c r="C159" s="3">
        <v>-55196444146</v>
      </c>
      <c r="D159" s="3">
        <v>-169432343186</v>
      </c>
      <c r="E159" s="3">
        <v>92205148534</v>
      </c>
      <c r="F159" s="3">
        <v>56523700153</v>
      </c>
      <c r="G159" s="3">
        <v>-142286693964</v>
      </c>
      <c r="H159" s="3">
        <v>-226515734679</v>
      </c>
    </row>
    <row r="160" spans="1:8" ht="15" customHeight="1" x14ac:dyDescent="0.35">
      <c r="A160" s="2" t="s">
        <v>333</v>
      </c>
      <c r="B160" s="3">
        <v>52953821709</v>
      </c>
      <c r="C160" s="3">
        <v>12954485568</v>
      </c>
      <c r="D160" s="3">
        <v>21265608938</v>
      </c>
      <c r="E160" s="3">
        <v>66510228951</v>
      </c>
      <c r="F160" s="3">
        <v>-60624667853</v>
      </c>
      <c r="G160" s="3">
        <v>17702900285</v>
      </c>
      <c r="H160" s="3">
        <v>143144163947</v>
      </c>
    </row>
    <row r="161" spans="1:8" ht="15" customHeight="1" x14ac:dyDescent="0.35">
      <c r="A161" s="2" t="s">
        <v>334</v>
      </c>
      <c r="B161" s="3">
        <v>63471294940</v>
      </c>
      <c r="C161" s="3">
        <v>-8001816747</v>
      </c>
      <c r="D161" s="3">
        <v>-2543260885</v>
      </c>
      <c r="E161" s="3">
        <v>-12229001807</v>
      </c>
      <c r="F161" s="3">
        <v>-33310311486</v>
      </c>
      <c r="G161" s="3">
        <v>14993621322</v>
      </c>
      <c r="H161" s="3">
        <v>1715302118</v>
      </c>
    </row>
    <row r="162" spans="1:8" ht="15" customHeight="1" x14ac:dyDescent="0.35">
      <c r="A162" s="2" t="s">
        <v>335</v>
      </c>
      <c r="B162" s="3"/>
      <c r="C162" s="3"/>
      <c r="D162" s="3"/>
      <c r="E162" s="3"/>
      <c r="F162" s="3"/>
      <c r="G162" s="3"/>
      <c r="H162" s="3"/>
    </row>
    <row r="163" spans="1:8" ht="15" customHeight="1" x14ac:dyDescent="0.35">
      <c r="A163" s="2" t="s">
        <v>336</v>
      </c>
      <c r="B163" s="3">
        <v>-10858150706</v>
      </c>
      <c r="C163" s="3">
        <v>-9502315767</v>
      </c>
      <c r="D163" s="3">
        <v>-10874257469</v>
      </c>
      <c r="E163" s="3">
        <v>-11425842447</v>
      </c>
      <c r="F163" s="3">
        <v>-12125598196</v>
      </c>
      <c r="G163" s="3">
        <v>-6928466153</v>
      </c>
      <c r="H163" s="3">
        <v>-8804653480</v>
      </c>
    </row>
    <row r="164" spans="1:8" ht="15" customHeight="1" x14ac:dyDescent="0.35">
      <c r="A164" s="2" t="s">
        <v>337</v>
      </c>
      <c r="B164" s="3">
        <v>-63781053222</v>
      </c>
      <c r="C164" s="3">
        <v>-69215627013</v>
      </c>
      <c r="D164" s="3">
        <v>-70201897515</v>
      </c>
      <c r="E164" s="3">
        <v>-87578360119</v>
      </c>
      <c r="F164" s="3">
        <v>-67079096806</v>
      </c>
      <c r="G164" s="3">
        <v>-62699502885</v>
      </c>
      <c r="H164" s="3">
        <v>-123738872889</v>
      </c>
    </row>
    <row r="165" spans="1:8" ht="15" customHeight="1" x14ac:dyDescent="0.35">
      <c r="A165" s="2" t="s">
        <v>338</v>
      </c>
      <c r="B165" s="3"/>
      <c r="C165" s="3"/>
      <c r="D165" s="3"/>
      <c r="E165" s="3"/>
      <c r="F165" s="3"/>
      <c r="G165" s="3"/>
      <c r="H165" s="3">
        <v>-35021384068</v>
      </c>
    </row>
    <row r="166" spans="1:8" ht="15" customHeight="1" x14ac:dyDescent="0.35">
      <c r="A166" s="2" t="s">
        <v>339</v>
      </c>
      <c r="B166" s="3">
        <v>-30468272965</v>
      </c>
      <c r="C166" s="3">
        <v>-51118157000</v>
      </c>
      <c r="D166" s="3">
        <v>-36251390000</v>
      </c>
      <c r="E166" s="3">
        <v>-40396702157</v>
      </c>
      <c r="F166" s="3">
        <v>-42265374888</v>
      </c>
      <c r="G166" s="3">
        <v>-39800891600</v>
      </c>
      <c r="H166" s="3"/>
    </row>
    <row r="167" spans="1:8" ht="15" customHeight="1" x14ac:dyDescent="0.35">
      <c r="A167" s="2" t="s">
        <v>340</v>
      </c>
      <c r="B167" s="3">
        <v>292907469134</v>
      </c>
      <c r="C167" s="3">
        <v>120407329292</v>
      </c>
      <c r="D167" s="3">
        <v>43502119449</v>
      </c>
      <c r="E167" s="3">
        <v>258168843482</v>
      </c>
      <c r="F167" s="3">
        <v>368569355530</v>
      </c>
      <c r="G167" s="3">
        <v>221187587613</v>
      </c>
      <c r="H167" s="3">
        <v>289174461853</v>
      </c>
    </row>
    <row r="168" spans="1:8" ht="15" customHeight="1" x14ac:dyDescent="0.35">
      <c r="A168" s="201" t="s">
        <v>341</v>
      </c>
      <c r="B168" s="3"/>
      <c r="C168" s="3"/>
      <c r="D168" s="3"/>
      <c r="E168" s="3"/>
      <c r="F168" s="3"/>
      <c r="G168" s="3"/>
      <c r="H168" s="3"/>
    </row>
    <row r="169" spans="1:8" ht="15" customHeight="1" x14ac:dyDescent="0.35">
      <c r="A169" s="2" t="s">
        <v>342</v>
      </c>
      <c r="B169" s="3">
        <v>-135038349499</v>
      </c>
      <c r="C169" s="3">
        <v>-146128176279</v>
      </c>
      <c r="D169" s="3">
        <v>-215504947563</v>
      </c>
      <c r="E169" s="3">
        <v>-84540730238</v>
      </c>
      <c r="F169" s="3">
        <v>-85086927060</v>
      </c>
      <c r="G169" s="3">
        <v>-58046246969</v>
      </c>
      <c r="H169" s="3">
        <v>-169603926893</v>
      </c>
    </row>
    <row r="170" spans="1:8" ht="15" customHeight="1" x14ac:dyDescent="0.35">
      <c r="A170" s="2" t="s">
        <v>343</v>
      </c>
      <c r="B170" s="3">
        <v>1272116663</v>
      </c>
      <c r="C170" s="3">
        <v>1852033119</v>
      </c>
      <c r="D170" s="3">
        <v>1477863636</v>
      </c>
      <c r="E170" s="3">
        <v>96605895895</v>
      </c>
      <c r="F170" s="3">
        <v>1020459916</v>
      </c>
      <c r="G170" s="3">
        <v>2166609649</v>
      </c>
      <c r="H170" s="3">
        <v>1736833818</v>
      </c>
    </row>
    <row r="171" spans="1:8" ht="15" customHeight="1" x14ac:dyDescent="0.35">
      <c r="A171" s="2" t="s">
        <v>344</v>
      </c>
      <c r="B171" s="3"/>
      <c r="C171" s="3"/>
      <c r="D171" s="3"/>
      <c r="E171" s="3">
        <v>-619000000000</v>
      </c>
      <c r="F171" s="3">
        <v>-464500000000</v>
      </c>
      <c r="G171" s="3">
        <v>-515999139200</v>
      </c>
      <c r="H171" s="3">
        <v>-616732323288</v>
      </c>
    </row>
    <row r="172" spans="1:8" ht="15" customHeight="1" x14ac:dyDescent="0.35">
      <c r="A172" s="2" t="s">
        <v>345</v>
      </c>
      <c r="B172" s="3"/>
      <c r="C172" s="3"/>
      <c r="D172" s="3"/>
      <c r="E172" s="3">
        <v>153000000000</v>
      </c>
      <c r="F172" s="3">
        <v>558500000000</v>
      </c>
      <c r="G172" s="3">
        <v>648000000000</v>
      </c>
      <c r="H172" s="3">
        <v>497061462488</v>
      </c>
    </row>
    <row r="173" spans="1:8" ht="15" customHeight="1" x14ac:dyDescent="0.35">
      <c r="A173" s="2" t="s">
        <v>346</v>
      </c>
      <c r="B173" s="3"/>
      <c r="C173" s="3"/>
      <c r="D173" s="3"/>
      <c r="E173" s="3"/>
      <c r="F173" s="3"/>
      <c r="G173" s="3">
        <v>-7000000000</v>
      </c>
      <c r="H173" s="3">
        <v>-25000000000</v>
      </c>
    </row>
    <row r="174" spans="1:8" ht="15" customHeight="1" x14ac:dyDescent="0.35">
      <c r="A174" s="2" t="s">
        <v>347</v>
      </c>
      <c r="B174" s="3"/>
      <c r="C174" s="3"/>
      <c r="D174" s="3"/>
      <c r="E174" s="3"/>
      <c r="F174" s="3"/>
      <c r="G174" s="3"/>
      <c r="H174" s="3"/>
    </row>
    <row r="175" spans="1:8" ht="15" customHeight="1" x14ac:dyDescent="0.35">
      <c r="A175" s="2" t="s">
        <v>348</v>
      </c>
      <c r="B175" s="3">
        <v>15328330255</v>
      </c>
      <c r="C175" s="3">
        <v>14676870688</v>
      </c>
      <c r="D175" s="3">
        <v>7645687575</v>
      </c>
      <c r="E175" s="3">
        <v>11134804294</v>
      </c>
      <c r="F175" s="3">
        <v>28851374215</v>
      </c>
      <c r="G175" s="3">
        <v>30217926187</v>
      </c>
      <c r="H175" s="3">
        <v>21502569973</v>
      </c>
    </row>
    <row r="176" spans="1:8" ht="15" customHeight="1" x14ac:dyDescent="0.35">
      <c r="A176" s="2" t="s">
        <v>349</v>
      </c>
      <c r="B176" s="3">
        <v>-118437902581</v>
      </c>
      <c r="C176" s="3">
        <v>-129599272472</v>
      </c>
      <c r="D176" s="3">
        <v>-206381396352</v>
      </c>
      <c r="E176" s="3">
        <v>-442800030049</v>
      </c>
      <c r="F176" s="3">
        <v>38784907071</v>
      </c>
      <c r="G176" s="3">
        <v>99339149667</v>
      </c>
      <c r="H176" s="3">
        <v>-291035383902</v>
      </c>
    </row>
    <row r="177" spans="1:8" ht="15" customHeight="1" x14ac:dyDescent="0.35">
      <c r="A177" s="201" t="s">
        <v>350</v>
      </c>
      <c r="B177" s="3"/>
      <c r="C177" s="3"/>
      <c r="D177" s="3"/>
      <c r="E177" s="3"/>
      <c r="F177" s="3"/>
      <c r="G177" s="3"/>
      <c r="H177" s="3"/>
    </row>
    <row r="178" spans="1:8" ht="15" customHeight="1" x14ac:dyDescent="0.35">
      <c r="A178" s="2" t="s">
        <v>351</v>
      </c>
      <c r="B178" s="3"/>
      <c r="C178" s="3">
        <v>22500000000</v>
      </c>
      <c r="D178" s="3"/>
      <c r="E178" s="3">
        <v>414663619300</v>
      </c>
      <c r="F178" s="3">
        <v>15000000000</v>
      </c>
      <c r="G178" s="3"/>
      <c r="H178" s="3">
        <v>1656180000</v>
      </c>
    </row>
    <row r="179" spans="1:8" ht="15.5" x14ac:dyDescent="0.35">
      <c r="A179" s="2" t="s">
        <v>352</v>
      </c>
      <c r="B179" s="3"/>
      <c r="C179" s="3"/>
      <c r="D179" s="3"/>
      <c r="E179" s="3"/>
      <c r="F179" s="3">
        <v>-46311318529</v>
      </c>
      <c r="G179" s="3"/>
      <c r="H179" s="3"/>
    </row>
    <row r="180" spans="1:8" ht="15.5" x14ac:dyDescent="0.35">
      <c r="A180" s="2" t="s">
        <v>353</v>
      </c>
      <c r="B180" s="3">
        <v>602933842572</v>
      </c>
      <c r="C180" s="3">
        <v>550564264097</v>
      </c>
      <c r="D180" s="3">
        <v>828374937236</v>
      </c>
      <c r="E180" s="3">
        <v>631294976475</v>
      </c>
      <c r="F180" s="3">
        <v>694739377675</v>
      </c>
      <c r="G180" s="3">
        <v>583271414505</v>
      </c>
      <c r="H180" s="3">
        <v>780517479565</v>
      </c>
    </row>
    <row r="181" spans="1:8" ht="15.5" x14ac:dyDescent="0.35">
      <c r="A181" s="2" t="s">
        <v>354</v>
      </c>
      <c r="B181" s="3">
        <v>-654127263813</v>
      </c>
      <c r="C181" s="3">
        <v>-576920673014</v>
      </c>
      <c r="D181" s="3">
        <v>-772248672797</v>
      </c>
      <c r="E181" s="3">
        <v>-632495287408</v>
      </c>
      <c r="F181" s="3">
        <v>-736642668196</v>
      </c>
      <c r="G181" s="3">
        <v>-577366111472</v>
      </c>
      <c r="H181" s="3">
        <v>-718980531784</v>
      </c>
    </row>
    <row r="182" spans="1:8" ht="15.5" x14ac:dyDescent="0.35">
      <c r="A182" s="2" t="s">
        <v>355</v>
      </c>
      <c r="B182" s="3"/>
      <c r="C182" s="3"/>
      <c r="D182" s="3"/>
      <c r="E182" s="3"/>
      <c r="F182" s="3"/>
      <c r="G182" s="3"/>
      <c r="H182" s="3"/>
    </row>
    <row r="183" spans="1:8" ht="15.5" x14ac:dyDescent="0.35">
      <c r="A183" s="2" t="s">
        <v>356</v>
      </c>
      <c r="B183" s="3">
        <v>-125206631250</v>
      </c>
      <c r="C183" s="3">
        <v>-57508258525</v>
      </c>
      <c r="D183" s="3">
        <v>-101107152100</v>
      </c>
      <c r="E183" s="3">
        <v>-183880080350</v>
      </c>
      <c r="F183" s="3">
        <v>-153373200000</v>
      </c>
      <c r="G183" s="3">
        <v>-194455871500</v>
      </c>
      <c r="H183" s="3">
        <v>-155619167000</v>
      </c>
    </row>
    <row r="184" spans="1:8" ht="15.5" x14ac:dyDescent="0.35">
      <c r="A184" s="2" t="s">
        <v>357</v>
      </c>
      <c r="B184" s="3"/>
      <c r="C184" s="3"/>
      <c r="D184" s="3"/>
      <c r="E184" s="3"/>
      <c r="F184" s="3"/>
      <c r="G184" s="3"/>
      <c r="H184" s="3"/>
    </row>
    <row r="185" spans="1:8" ht="15.5" x14ac:dyDescent="0.35">
      <c r="A185" s="2" t="s">
        <v>358</v>
      </c>
      <c r="B185" s="3">
        <v>-176400052491</v>
      </c>
      <c r="C185" s="3">
        <v>-61364667442</v>
      </c>
      <c r="D185" s="3">
        <v>-44980887661</v>
      </c>
      <c r="E185" s="3">
        <v>229583228017</v>
      </c>
      <c r="F185" s="3">
        <v>-226587809050</v>
      </c>
      <c r="G185" s="3">
        <v>-188550568467</v>
      </c>
      <c r="H185" s="3">
        <v>-92426039219</v>
      </c>
    </row>
    <row r="186" spans="1:8" ht="15.5" x14ac:dyDescent="0.35">
      <c r="A186" s="2" t="s">
        <v>359</v>
      </c>
      <c r="B186" s="3">
        <v>-1930485938</v>
      </c>
      <c r="C186" s="3">
        <v>-70556610622</v>
      </c>
      <c r="D186" s="3">
        <v>-207860164564</v>
      </c>
      <c r="E186" s="3">
        <v>44952041450</v>
      </c>
      <c r="F186" s="3">
        <v>180766453551</v>
      </c>
      <c r="G186" s="3">
        <v>131976168813</v>
      </c>
      <c r="H186" s="3">
        <v>-94286961268</v>
      </c>
    </row>
    <row r="187" spans="1:8" ht="15.5" x14ac:dyDescent="0.35">
      <c r="A187" s="2" t="s">
        <v>360</v>
      </c>
      <c r="B187" s="3">
        <v>426351225090</v>
      </c>
      <c r="C187" s="3">
        <v>424423331022</v>
      </c>
      <c r="D187" s="3">
        <v>353869383127</v>
      </c>
      <c r="E187" s="3">
        <v>145861230396</v>
      </c>
      <c r="F187" s="3">
        <v>190855576577</v>
      </c>
      <c r="G187" s="3">
        <v>371680211939</v>
      </c>
      <c r="H187" s="3">
        <v>503425694773</v>
      </c>
    </row>
    <row r="188" spans="1:8" ht="15.5" x14ac:dyDescent="0.35">
      <c r="A188" s="2" t="s">
        <v>361</v>
      </c>
      <c r="B188" s="3">
        <v>2491870</v>
      </c>
      <c r="C188" s="3">
        <v>2662727</v>
      </c>
      <c r="D188" s="3">
        <v>-147988167</v>
      </c>
      <c r="E188" s="3">
        <v>42304731</v>
      </c>
      <c r="F188" s="3">
        <v>58181811</v>
      </c>
      <c r="G188" s="3">
        <v>-230685979</v>
      </c>
      <c r="H188" s="3">
        <v>-3770607881</v>
      </c>
    </row>
    <row r="189" spans="1:8" ht="15.5" x14ac:dyDescent="0.35">
      <c r="A189" s="201" t="s">
        <v>362</v>
      </c>
      <c r="B189" s="3">
        <v>424423231022</v>
      </c>
      <c r="C189" s="3">
        <v>353869383127</v>
      </c>
      <c r="D189" s="3">
        <v>145861230396</v>
      </c>
      <c r="E189" s="3">
        <v>190855576577</v>
      </c>
      <c r="F189" s="3">
        <v>371680211939</v>
      </c>
      <c r="G189" s="3">
        <v>503425694773</v>
      </c>
      <c r="H189" s="3">
        <v>405368125624</v>
      </c>
    </row>
    <row r="190" spans="1:8" ht="15.5" x14ac:dyDescent="0.35"/>
    <row r="191" spans="1:8" ht="15.5" x14ac:dyDescent="0.35"/>
  </sheetData>
  <phoneticPr fontId="7" type="noConversion"/>
  <pageMargins left="0.7" right="0.7" top="0.75" bottom="0.75" header="0.3" footer="0.3"/>
  <pageSetup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51287-C01B-498E-903E-762DE8026796}">
  <sheetPr>
    <tabColor theme="4"/>
  </sheetPr>
  <dimension ref="A1:G133"/>
  <sheetViews>
    <sheetView topLeftCell="A76" zoomScaleNormal="100" workbookViewId="0">
      <selection activeCell="A103" sqref="A103"/>
    </sheetView>
  </sheetViews>
  <sheetFormatPr defaultColWidth="9.26953125" defaultRowHeight="14.5" x14ac:dyDescent="0.35"/>
  <cols>
    <col min="1" max="1" width="89" bestFit="1" customWidth="1"/>
    <col min="2" max="7" width="24" bestFit="1" customWidth="1"/>
  </cols>
  <sheetData>
    <row r="1" spans="1:7" ht="15.5" x14ac:dyDescent="0.35">
      <c r="A1" s="229" t="s">
        <v>117</v>
      </c>
      <c r="B1" s="229" t="s">
        <v>2</v>
      </c>
      <c r="C1" s="229" t="s">
        <v>3</v>
      </c>
      <c r="D1" s="229" t="s">
        <v>4</v>
      </c>
      <c r="E1" s="229" t="s">
        <v>5</v>
      </c>
      <c r="F1" s="229" t="s">
        <v>6</v>
      </c>
      <c r="G1" s="229" t="s">
        <v>7</v>
      </c>
    </row>
    <row r="2" spans="1:7" ht="15.5" x14ac:dyDescent="0.35">
      <c r="A2" s="225" t="s">
        <v>186</v>
      </c>
      <c r="B2" s="226">
        <v>4841225074000</v>
      </c>
      <c r="C2" s="226">
        <v>2881394732494</v>
      </c>
      <c r="D2" s="226">
        <v>3298710950005</v>
      </c>
      <c r="E2" s="226">
        <v>2738400566048</v>
      </c>
      <c r="F2" s="226">
        <v>2686850511330</v>
      </c>
      <c r="G2" s="226">
        <v>3550405692241</v>
      </c>
    </row>
    <row r="3" spans="1:7" ht="15.5" x14ac:dyDescent="0.35">
      <c r="A3" s="227" t="s">
        <v>187</v>
      </c>
      <c r="B3" s="227"/>
      <c r="C3" s="224">
        <v>25618382280</v>
      </c>
      <c r="D3" s="224">
        <v>46229433953</v>
      </c>
      <c r="E3" s="224">
        <v>53848615712</v>
      </c>
      <c r="F3" s="224">
        <v>18575418243</v>
      </c>
      <c r="G3" s="224">
        <v>29547743316</v>
      </c>
    </row>
    <row r="4" spans="1:7" ht="15.5" x14ac:dyDescent="0.35">
      <c r="A4" s="225" t="s">
        <v>188</v>
      </c>
      <c r="B4" s="226">
        <v>4841225074000</v>
      </c>
      <c r="C4" s="226">
        <v>2855776350214</v>
      </c>
      <c r="D4" s="226">
        <v>3252481516052</v>
      </c>
      <c r="E4" s="226">
        <v>2684551950336</v>
      </c>
      <c r="F4" s="226">
        <v>2668275093087</v>
      </c>
      <c r="G4" s="226">
        <v>3520857948925</v>
      </c>
    </row>
    <row r="5" spans="1:7" ht="15.5" x14ac:dyDescent="0.35">
      <c r="A5" s="227" t="s">
        <v>189</v>
      </c>
      <c r="B5" s="224">
        <v>3109682997000</v>
      </c>
      <c r="C5" s="224">
        <v>1789107482383</v>
      </c>
      <c r="D5" s="224">
        <v>2054990358755</v>
      </c>
      <c r="E5" s="224">
        <v>1654810794517</v>
      </c>
      <c r="F5" s="224">
        <v>1541112345410</v>
      </c>
      <c r="G5" s="224">
        <v>1996781932537</v>
      </c>
    </row>
    <row r="6" spans="1:7" ht="15.5" x14ac:dyDescent="0.35">
      <c r="A6" s="225" t="s">
        <v>190</v>
      </c>
      <c r="B6" s="226">
        <v>1731542077000</v>
      </c>
      <c r="C6" s="226">
        <v>1066668867831</v>
      </c>
      <c r="D6" s="226">
        <v>1197491157297</v>
      </c>
      <c r="E6" s="226">
        <v>1029741155819</v>
      </c>
      <c r="F6" s="226">
        <v>1127162747677</v>
      </c>
      <c r="G6" s="226">
        <v>1524076016388</v>
      </c>
    </row>
    <row r="7" spans="1:7" ht="15.5" x14ac:dyDescent="0.35">
      <c r="A7" s="227" t="s">
        <v>191</v>
      </c>
      <c r="B7" s="224">
        <v>1665916448000</v>
      </c>
      <c r="C7" s="224">
        <v>13513154919</v>
      </c>
      <c r="D7" s="224">
        <v>29972019720</v>
      </c>
      <c r="E7" s="224">
        <v>26526594813</v>
      </c>
      <c r="F7" s="224">
        <v>32025269716</v>
      </c>
      <c r="G7" s="224">
        <v>62117465329</v>
      </c>
    </row>
    <row r="8" spans="1:7" ht="15.5" x14ac:dyDescent="0.35">
      <c r="A8" s="225" t="s">
        <v>192</v>
      </c>
      <c r="B8" s="226">
        <v>1697932438000</v>
      </c>
      <c r="C8" s="226">
        <v>16908537876</v>
      </c>
      <c r="D8" s="226">
        <v>14334036161</v>
      </c>
      <c r="E8" s="226">
        <v>15968918896</v>
      </c>
      <c r="F8" s="226">
        <v>6854564215</v>
      </c>
      <c r="G8" s="226">
        <v>29129202927</v>
      </c>
    </row>
    <row r="9" spans="1:7" ht="15.5" x14ac:dyDescent="0.35">
      <c r="A9" s="227" t="s">
        <v>193</v>
      </c>
      <c r="B9" s="224">
        <v>1585315746000</v>
      </c>
      <c r="C9" s="224">
        <v>11068142459</v>
      </c>
      <c r="D9" s="224">
        <v>11434553822</v>
      </c>
      <c r="E9" s="224">
        <v>11853821706</v>
      </c>
      <c r="F9" s="224">
        <v>7019978348</v>
      </c>
      <c r="G9" s="224">
        <v>8881716860</v>
      </c>
    </row>
    <row r="10" spans="1:7" ht="15.5" x14ac:dyDescent="0.35">
      <c r="A10" s="225" t="s">
        <v>194</v>
      </c>
      <c r="B10" s="226"/>
      <c r="C10" s="225"/>
      <c r="D10" s="225"/>
      <c r="E10" s="225"/>
      <c r="F10" s="225"/>
      <c r="G10" s="225"/>
    </row>
    <row r="11" spans="1:7" ht="15.5" x14ac:dyDescent="0.35">
      <c r="A11" s="227" t="s">
        <v>195</v>
      </c>
      <c r="B11" s="224">
        <v>143923122000</v>
      </c>
      <c r="C11" s="224">
        <v>432623981454</v>
      </c>
      <c r="D11" s="224">
        <v>500044195759</v>
      </c>
      <c r="E11" s="224">
        <v>488676448608</v>
      </c>
      <c r="F11" s="224">
        <v>504674977559</v>
      </c>
      <c r="G11" s="224">
        <v>738522525878</v>
      </c>
    </row>
    <row r="12" spans="1:7" ht="15.5" x14ac:dyDescent="0.35">
      <c r="A12" s="225" t="s">
        <v>196</v>
      </c>
      <c r="B12" s="226">
        <v>707548329000</v>
      </c>
      <c r="C12" s="226">
        <v>272748858876</v>
      </c>
      <c r="D12" s="226">
        <v>285140218494</v>
      </c>
      <c r="E12" s="226">
        <v>254856941468</v>
      </c>
      <c r="F12" s="226">
        <v>292392358391</v>
      </c>
      <c r="G12" s="226">
        <v>319389279653</v>
      </c>
    </row>
    <row r="13" spans="1:7" ht="15.5" x14ac:dyDescent="0.35">
      <c r="A13" s="227" t="s">
        <v>197</v>
      </c>
      <c r="B13" s="224">
        <v>829621123000</v>
      </c>
      <c r="C13" s="224">
        <v>357900644544</v>
      </c>
      <c r="D13" s="224">
        <v>427944726603</v>
      </c>
      <c r="E13" s="224">
        <v>296765441660</v>
      </c>
      <c r="F13" s="224">
        <v>355266117228</v>
      </c>
      <c r="G13" s="224">
        <v>499152473259</v>
      </c>
    </row>
    <row r="14" spans="1:7" ht="15.5" x14ac:dyDescent="0.35">
      <c r="A14" s="225" t="s">
        <v>198</v>
      </c>
      <c r="B14" s="226">
        <v>267202683000</v>
      </c>
      <c r="C14" s="226">
        <v>11305534329</v>
      </c>
      <c r="D14" s="226">
        <v>9723383622</v>
      </c>
      <c r="E14" s="226">
        <v>8799926472</v>
      </c>
      <c r="F14" s="226">
        <v>5391709425</v>
      </c>
      <c r="G14" s="226">
        <v>10163649081</v>
      </c>
    </row>
    <row r="15" spans="1:7" ht="15.5" x14ac:dyDescent="0.35">
      <c r="A15" s="227" t="s">
        <v>199</v>
      </c>
      <c r="B15" s="224">
        <v>666678513000</v>
      </c>
      <c r="C15" s="224">
        <v>935307493</v>
      </c>
      <c r="D15" s="224">
        <v>817351647</v>
      </c>
      <c r="E15" s="224">
        <v>1927894452</v>
      </c>
      <c r="F15" s="224">
        <v>2092942627</v>
      </c>
      <c r="G15" s="224">
        <v>2649474138</v>
      </c>
    </row>
    <row r="16" spans="1:7" ht="15.5" x14ac:dyDescent="0.35">
      <c r="A16" s="225" t="s">
        <v>200</v>
      </c>
      <c r="B16" s="226">
        <v>-399475830000</v>
      </c>
      <c r="C16" s="226">
        <v>10370226836</v>
      </c>
      <c r="D16" s="226">
        <v>8906031975</v>
      </c>
      <c r="E16" s="226">
        <v>6872032020</v>
      </c>
      <c r="F16" s="226">
        <v>3298766798</v>
      </c>
      <c r="G16" s="226">
        <v>7514174943</v>
      </c>
    </row>
    <row r="17" spans="1:7" ht="15.5" x14ac:dyDescent="0.35">
      <c r="A17" s="227" t="s">
        <v>201</v>
      </c>
      <c r="B17" s="224">
        <v>430145293000</v>
      </c>
      <c r="C17" s="224">
        <v>368270871380</v>
      </c>
      <c r="D17" s="224">
        <v>436850758578</v>
      </c>
      <c r="E17" s="224">
        <v>303637473680</v>
      </c>
      <c r="F17" s="224">
        <v>358564884026</v>
      </c>
      <c r="G17" s="224">
        <v>506666648202</v>
      </c>
    </row>
    <row r="18" spans="1:7" ht="15.5" x14ac:dyDescent="0.35">
      <c r="A18" s="225" t="s">
        <v>202</v>
      </c>
      <c r="B18" s="226">
        <v>24802221000</v>
      </c>
      <c r="C18" s="226">
        <v>73015976515</v>
      </c>
      <c r="D18" s="226">
        <v>94012038665</v>
      </c>
      <c r="E18" s="226">
        <v>61440847225</v>
      </c>
      <c r="F18" s="226">
        <v>63006307674</v>
      </c>
      <c r="G18" s="226">
        <v>122426716645</v>
      </c>
    </row>
    <row r="19" spans="1:7" ht="15.5" x14ac:dyDescent="0.35">
      <c r="A19" s="227" t="s">
        <v>203</v>
      </c>
      <c r="B19" s="224">
        <v>33735757000</v>
      </c>
      <c r="C19" s="224">
        <v>870652717</v>
      </c>
      <c r="D19" s="224">
        <v>-6248329163</v>
      </c>
      <c r="E19" s="224">
        <v>2351589706</v>
      </c>
      <c r="F19" s="224">
        <v>18851163095</v>
      </c>
      <c r="G19" s="224">
        <v>-16697468958</v>
      </c>
    </row>
    <row r="20" spans="1:7" ht="15.5" x14ac:dyDescent="0.35">
      <c r="A20" s="225" t="s">
        <v>204</v>
      </c>
      <c r="B20" s="226">
        <v>371607315000</v>
      </c>
      <c r="C20" s="226">
        <v>294384242148</v>
      </c>
      <c r="D20" s="226">
        <v>349087049076</v>
      </c>
      <c r="E20" s="226">
        <v>239845036749</v>
      </c>
      <c r="F20" s="226">
        <v>276707413257</v>
      </c>
      <c r="G20" s="226">
        <v>400937400515</v>
      </c>
    </row>
    <row r="21" spans="1:7" ht="15.5" x14ac:dyDescent="0.35">
      <c r="A21" s="227" t="s">
        <v>205</v>
      </c>
      <c r="B21" s="3">
        <v>268058082079</v>
      </c>
      <c r="C21" s="224">
        <v>294384242148</v>
      </c>
      <c r="D21" s="224">
        <v>349087049076</v>
      </c>
      <c r="E21" s="224">
        <v>239845036749</v>
      </c>
      <c r="F21" s="224">
        <v>276707413257</v>
      </c>
      <c r="G21" s="224">
        <v>401370891172</v>
      </c>
    </row>
    <row r="22" spans="1:7" ht="15.5" x14ac:dyDescent="0.35">
      <c r="A22" s="225" t="s">
        <v>206</v>
      </c>
      <c r="B22" s="226">
        <v>302019303000</v>
      </c>
      <c r="C22" s="225"/>
      <c r="D22" s="225"/>
      <c r="E22" s="225"/>
      <c r="F22" s="225"/>
      <c r="G22" s="226">
        <v>-433490657</v>
      </c>
    </row>
    <row r="23" spans="1:7" ht="15.5" x14ac:dyDescent="0.35">
      <c r="A23" s="227" t="s">
        <v>207</v>
      </c>
      <c r="B23" s="227">
        <v>80</v>
      </c>
      <c r="C23" s="224">
        <v>4031</v>
      </c>
      <c r="D23" s="224">
        <v>4084</v>
      </c>
      <c r="E23" s="224">
        <v>2775</v>
      </c>
      <c r="F23" s="224">
        <v>3201</v>
      </c>
      <c r="G23" s="224">
        <v>4643</v>
      </c>
    </row>
    <row r="24" spans="1:7" ht="15.5" x14ac:dyDescent="0.35">
      <c r="A24" s="225" t="s">
        <v>208</v>
      </c>
      <c r="B24" s="225">
        <v>80</v>
      </c>
      <c r="C24" s="231"/>
      <c r="D24" s="225"/>
      <c r="E24" s="226">
        <v>2775</v>
      </c>
      <c r="F24" s="226">
        <v>3201</v>
      </c>
      <c r="G24" s="226">
        <v>4643</v>
      </c>
    </row>
    <row r="26" spans="1:7" ht="15.5" x14ac:dyDescent="0.35">
      <c r="A26" s="42" t="s">
        <v>209</v>
      </c>
      <c r="B26" s="235" t="s">
        <v>2</v>
      </c>
      <c r="C26" s="235" t="s">
        <v>3</v>
      </c>
      <c r="D26" s="235" t="s">
        <v>4</v>
      </c>
      <c r="E26" s="235" t="s">
        <v>5</v>
      </c>
      <c r="F26" s="235" t="s">
        <v>6</v>
      </c>
      <c r="G26" s="236" t="s">
        <v>7</v>
      </c>
    </row>
    <row r="27" spans="1:7" ht="15.5" x14ac:dyDescent="0.35">
      <c r="A27" s="54" t="s">
        <v>211</v>
      </c>
      <c r="B27" s="237">
        <v>1091968239964</v>
      </c>
      <c r="C27" s="237">
        <v>1176632415566</v>
      </c>
      <c r="D27" s="237">
        <v>1830894396372</v>
      </c>
      <c r="E27" s="237">
        <v>1701751836942</v>
      </c>
      <c r="F27" s="237">
        <v>1867453670532</v>
      </c>
      <c r="G27" s="238">
        <v>2133213102262</v>
      </c>
    </row>
    <row r="28" spans="1:7" ht="15.5" x14ac:dyDescent="0.35">
      <c r="A28" s="31" t="s">
        <v>212</v>
      </c>
      <c r="B28" s="8">
        <v>353869383127</v>
      </c>
      <c r="C28" s="8">
        <v>145861230396</v>
      </c>
      <c r="D28" s="8">
        <v>190855576577</v>
      </c>
      <c r="E28" s="8">
        <v>371680211939</v>
      </c>
      <c r="F28" s="8">
        <v>503425694773</v>
      </c>
      <c r="G28" s="160">
        <v>405368125624</v>
      </c>
    </row>
    <row r="29" spans="1:7" ht="15.5" x14ac:dyDescent="0.35">
      <c r="A29" s="31" t="s">
        <v>213</v>
      </c>
      <c r="B29" s="8">
        <v>82869383127</v>
      </c>
      <c r="C29" s="8">
        <v>104861230396</v>
      </c>
      <c r="D29" s="8">
        <v>99855576577</v>
      </c>
      <c r="E29" s="8">
        <v>152680211939</v>
      </c>
      <c r="F29" s="8">
        <v>339074817864</v>
      </c>
      <c r="G29" s="160">
        <v>405368125624</v>
      </c>
    </row>
    <row r="30" spans="1:7" ht="15.5" x14ac:dyDescent="0.35">
      <c r="A30" s="31" t="s">
        <v>214</v>
      </c>
      <c r="B30" s="8">
        <v>271000000000</v>
      </c>
      <c r="C30" s="8">
        <v>41000000000</v>
      </c>
      <c r="D30" s="8">
        <v>91000000000</v>
      </c>
      <c r="E30" s="8">
        <v>219000000000</v>
      </c>
      <c r="F30" s="8">
        <v>164350876909</v>
      </c>
      <c r="G30" s="160"/>
    </row>
    <row r="31" spans="1:7" ht="15.5" x14ac:dyDescent="0.35">
      <c r="A31" s="31" t="s">
        <v>215</v>
      </c>
      <c r="B31" s="8"/>
      <c r="C31" s="8"/>
      <c r="D31" s="8">
        <v>466000000000</v>
      </c>
      <c r="E31" s="8">
        <v>372000000000</v>
      </c>
      <c r="F31" s="8">
        <v>239999139200</v>
      </c>
      <c r="G31" s="160">
        <v>359670000000</v>
      </c>
    </row>
    <row r="32" spans="1:7" ht="15.5" x14ac:dyDescent="0.35">
      <c r="A32" s="31" t="s">
        <v>218</v>
      </c>
      <c r="B32" s="8">
        <v>204875546879</v>
      </c>
      <c r="C32" s="8">
        <v>337890452158</v>
      </c>
      <c r="D32" s="8">
        <v>581476470866</v>
      </c>
      <c r="E32" s="8">
        <v>415009507750</v>
      </c>
      <c r="F32" s="8">
        <v>398342077637</v>
      </c>
      <c r="G32" s="160">
        <v>370055589054</v>
      </c>
    </row>
    <row r="33" spans="1:7" ht="15.5" x14ac:dyDescent="0.35">
      <c r="A33" s="31" t="s">
        <v>219</v>
      </c>
      <c r="B33" s="8">
        <v>176481251100</v>
      </c>
      <c r="C33" s="8">
        <v>316196499020</v>
      </c>
      <c r="D33" s="8">
        <v>540254253737</v>
      </c>
      <c r="E33" s="8">
        <v>386750747429</v>
      </c>
      <c r="F33" s="8">
        <v>360613054625</v>
      </c>
      <c r="G33" s="160">
        <v>336997466885</v>
      </c>
    </row>
    <row r="34" spans="1:7" ht="15.5" x14ac:dyDescent="0.35">
      <c r="A34" s="31" t="s">
        <v>220</v>
      </c>
      <c r="B34" s="8">
        <v>22626965303</v>
      </c>
      <c r="C34" s="8">
        <v>18288552319</v>
      </c>
      <c r="D34" s="8">
        <v>18195133300</v>
      </c>
      <c r="E34" s="8">
        <v>16500972908</v>
      </c>
      <c r="F34" s="8">
        <v>30644903658</v>
      </c>
      <c r="G34" s="160">
        <v>29193396046</v>
      </c>
    </row>
    <row r="35" spans="1:7" ht="15.5" x14ac:dyDescent="0.35">
      <c r="A35" s="31" t="s">
        <v>224</v>
      </c>
      <c r="B35" s="8">
        <v>6594563494</v>
      </c>
      <c r="C35" s="8">
        <v>4271091002</v>
      </c>
      <c r="D35" s="8">
        <v>23941767031</v>
      </c>
      <c r="E35" s="8">
        <v>11926026574</v>
      </c>
      <c r="F35" s="8">
        <v>19423980217</v>
      </c>
      <c r="G35" s="160">
        <v>10093073242</v>
      </c>
    </row>
    <row r="36" spans="1:7" ht="15.5" x14ac:dyDescent="0.35">
      <c r="A36" s="31" t="s">
        <v>225</v>
      </c>
      <c r="B36" s="8">
        <v>-827233018</v>
      </c>
      <c r="C36" s="8">
        <v>-865690183</v>
      </c>
      <c r="D36" s="8">
        <v>-914683202</v>
      </c>
      <c r="E36" s="8">
        <v>-168239161</v>
      </c>
      <c r="F36" s="8">
        <v>-12339860863</v>
      </c>
      <c r="G36" s="160">
        <v>-6270311172</v>
      </c>
    </row>
    <row r="37" spans="1:7" ht="15.5" x14ac:dyDescent="0.35">
      <c r="A37" s="31" t="s">
        <v>226</v>
      </c>
      <c r="B37" s="8"/>
      <c r="C37" s="8"/>
      <c r="D37" s="8"/>
      <c r="E37" s="8"/>
      <c r="F37" s="8"/>
      <c r="G37" s="160">
        <v>41964053</v>
      </c>
    </row>
    <row r="38" spans="1:7" ht="15.5" x14ac:dyDescent="0.35">
      <c r="A38" s="31" t="s">
        <v>227</v>
      </c>
      <c r="B38" s="8">
        <v>517175529421</v>
      </c>
      <c r="C38" s="8">
        <v>684484261574</v>
      </c>
      <c r="D38" s="8">
        <v>582361530894</v>
      </c>
      <c r="E38" s="8">
        <v>530224405469</v>
      </c>
      <c r="F38" s="8">
        <v>693114318297</v>
      </c>
      <c r="G38" s="160">
        <v>914140453757</v>
      </c>
    </row>
    <row r="39" spans="1:7" ht="15.5" x14ac:dyDescent="0.35">
      <c r="A39" s="31" t="s">
        <v>228</v>
      </c>
      <c r="B39" s="8">
        <v>534007886465</v>
      </c>
      <c r="C39" s="8">
        <v>703440229651</v>
      </c>
      <c r="D39" s="8">
        <v>611220729006</v>
      </c>
      <c r="E39" s="8">
        <v>554826392930</v>
      </c>
      <c r="F39" s="8">
        <v>704241213936</v>
      </c>
      <c r="G39" s="160">
        <v>930756948615</v>
      </c>
    </row>
    <row r="40" spans="1:7" ht="15.5" x14ac:dyDescent="0.35">
      <c r="A40" s="31" t="s">
        <v>229</v>
      </c>
      <c r="B40" s="8">
        <v>-16832357044</v>
      </c>
      <c r="C40" s="8">
        <v>-18955968077</v>
      </c>
      <c r="D40" s="8">
        <v>-28859198112</v>
      </c>
      <c r="E40" s="8">
        <v>-24601987461</v>
      </c>
      <c r="F40" s="8">
        <v>-11126895639</v>
      </c>
      <c r="G40" s="160">
        <v>-16616494858</v>
      </c>
    </row>
    <row r="41" spans="1:7" ht="15.5" x14ac:dyDescent="0.35">
      <c r="A41" s="31" t="s">
        <v>230</v>
      </c>
      <c r="B41" s="8">
        <v>16047780537</v>
      </c>
      <c r="C41" s="8">
        <v>8396471438</v>
      </c>
      <c r="D41" s="8">
        <v>10200818035</v>
      </c>
      <c r="E41" s="8">
        <v>12837711784</v>
      </c>
      <c r="F41" s="8">
        <v>32572440625</v>
      </c>
      <c r="G41" s="160">
        <v>83978933827</v>
      </c>
    </row>
    <row r="42" spans="1:7" ht="15.5" x14ac:dyDescent="0.35">
      <c r="A42" s="31" t="s">
        <v>231</v>
      </c>
      <c r="B42" s="8">
        <v>10153542137</v>
      </c>
      <c r="C42" s="8">
        <v>6909637976</v>
      </c>
      <c r="D42" s="8">
        <v>7897754885</v>
      </c>
      <c r="E42" s="8">
        <v>12713482192</v>
      </c>
      <c r="F42" s="8">
        <v>13186182712</v>
      </c>
      <c r="G42" s="160">
        <v>18870696354</v>
      </c>
    </row>
    <row r="43" spans="1:7" ht="15.5" x14ac:dyDescent="0.35">
      <c r="A43" s="31" t="s">
        <v>232</v>
      </c>
      <c r="B43" s="8">
        <v>4141178180</v>
      </c>
      <c r="C43" s="8">
        <v>1368651636</v>
      </c>
      <c r="D43" s="8">
        <v>2288007696</v>
      </c>
      <c r="E43" s="8">
        <v>109174138</v>
      </c>
      <c r="F43" s="8">
        <v>15920601434</v>
      </c>
      <c r="G43" s="160">
        <v>58087118106</v>
      </c>
    </row>
    <row r="44" spans="1:7" ht="15.5" x14ac:dyDescent="0.35">
      <c r="A44" s="31" t="s">
        <v>233</v>
      </c>
      <c r="B44" s="8">
        <v>1753060220</v>
      </c>
      <c r="C44" s="8">
        <v>118181826</v>
      </c>
      <c r="D44" s="8">
        <v>15055454</v>
      </c>
      <c r="E44" s="8">
        <v>15055454</v>
      </c>
      <c r="F44" s="8">
        <v>3465656479</v>
      </c>
      <c r="G44" s="160">
        <v>7021119367</v>
      </c>
    </row>
    <row r="45" spans="1:7" ht="15.5" x14ac:dyDescent="0.35">
      <c r="A45" s="54" t="s">
        <v>236</v>
      </c>
      <c r="B45" s="237">
        <v>476548476472</v>
      </c>
      <c r="C45" s="237">
        <v>618027228802</v>
      </c>
      <c r="D45" s="237">
        <v>586009531603</v>
      </c>
      <c r="E45" s="237">
        <v>612847304820</v>
      </c>
      <c r="F45" s="237">
        <v>578684880396</v>
      </c>
      <c r="G45" s="238">
        <v>735822949093</v>
      </c>
    </row>
    <row r="46" spans="1:7" ht="15.5" x14ac:dyDescent="0.35">
      <c r="A46" s="31" t="s">
        <v>237</v>
      </c>
      <c r="B46" s="8">
        <v>2002464375</v>
      </c>
      <c r="C46" s="8">
        <v>2679733353</v>
      </c>
      <c r="D46" s="8">
        <v>3084864613</v>
      </c>
      <c r="E46" s="8">
        <v>4636517123</v>
      </c>
      <c r="F46" s="8">
        <v>5799200123</v>
      </c>
      <c r="G46" s="160">
        <v>12449274241</v>
      </c>
    </row>
    <row r="47" spans="1:7" ht="15.5" x14ac:dyDescent="0.35">
      <c r="A47" s="31" t="s">
        <v>244</v>
      </c>
      <c r="B47" s="8">
        <v>359509747304</v>
      </c>
      <c r="C47" s="8">
        <v>417122326343</v>
      </c>
      <c r="D47" s="8">
        <v>464236995775</v>
      </c>
      <c r="E47" s="8">
        <v>463588241667</v>
      </c>
      <c r="F47" s="8">
        <v>445543913696</v>
      </c>
      <c r="G47" s="160">
        <v>478349797287</v>
      </c>
    </row>
    <row r="48" spans="1:7" ht="15.5" x14ac:dyDescent="0.35">
      <c r="A48" s="31" t="s">
        <v>245</v>
      </c>
      <c r="B48" s="8">
        <v>273323647755</v>
      </c>
      <c r="C48" s="8">
        <v>386671680681</v>
      </c>
      <c r="D48" s="8">
        <v>434775531550</v>
      </c>
      <c r="E48" s="8">
        <v>438944610201</v>
      </c>
      <c r="F48" s="8">
        <v>425390545912</v>
      </c>
      <c r="G48" s="160">
        <v>453705201167</v>
      </c>
    </row>
    <row r="49" spans="1:7" ht="15.5" x14ac:dyDescent="0.35">
      <c r="A49" s="31" t="s">
        <v>154</v>
      </c>
      <c r="B49" s="8">
        <v>645023141721</v>
      </c>
      <c r="C49" s="8">
        <v>814013281236</v>
      </c>
      <c r="D49" s="8">
        <v>916525121861</v>
      </c>
      <c r="E49" s="8">
        <v>990029869959</v>
      </c>
      <c r="F49" s="8">
        <v>1031042278559</v>
      </c>
      <c r="G49" s="160">
        <v>1134421550236</v>
      </c>
    </row>
    <row r="50" spans="1:7" ht="15.5" x14ac:dyDescent="0.35">
      <c r="A50" s="31" t="s">
        <v>246</v>
      </c>
      <c r="B50" s="8">
        <v>-371699493966</v>
      </c>
      <c r="C50" s="8">
        <v>-427341600555</v>
      </c>
      <c r="D50" s="8">
        <v>-481749590311</v>
      </c>
      <c r="E50" s="8">
        <v>-551085259758</v>
      </c>
      <c r="F50" s="8">
        <v>-605651732647</v>
      </c>
      <c r="G50" s="160">
        <v>-680716349069</v>
      </c>
    </row>
    <row r="51" spans="1:7" ht="15.5" x14ac:dyDescent="0.35">
      <c r="A51" s="31" t="s">
        <v>248</v>
      </c>
      <c r="B51" s="8">
        <v>86186099549</v>
      </c>
      <c r="C51" s="8">
        <v>30450645662</v>
      </c>
      <c r="D51" s="8">
        <v>29461464225</v>
      </c>
      <c r="E51" s="8">
        <v>24643631466</v>
      </c>
      <c r="F51" s="8">
        <v>20153367784</v>
      </c>
      <c r="G51" s="160">
        <v>24644596120</v>
      </c>
    </row>
    <row r="52" spans="1:7" ht="15.5" x14ac:dyDescent="0.35">
      <c r="A52" s="31" t="s">
        <v>154</v>
      </c>
      <c r="B52" s="8">
        <v>115656610948</v>
      </c>
      <c r="C52" s="8">
        <v>65414225817</v>
      </c>
      <c r="D52" s="8">
        <v>67432574911</v>
      </c>
      <c r="E52" s="8">
        <v>67792297411</v>
      </c>
      <c r="F52" s="8">
        <v>68137527411</v>
      </c>
      <c r="G52" s="160">
        <v>75490966251</v>
      </c>
    </row>
    <row r="53" spans="1:7" ht="15.5" x14ac:dyDescent="0.35">
      <c r="A53" s="31" t="s">
        <v>246</v>
      </c>
      <c r="B53" s="8">
        <v>-29470511399</v>
      </c>
      <c r="C53" s="8">
        <v>-34963580155</v>
      </c>
      <c r="D53" s="8">
        <v>-37971110686</v>
      </c>
      <c r="E53" s="8">
        <v>-43148665945</v>
      </c>
      <c r="F53" s="8">
        <v>-47984159627</v>
      </c>
      <c r="G53" s="160">
        <v>-50846370131</v>
      </c>
    </row>
    <row r="54" spans="1:7" ht="15.5" x14ac:dyDescent="0.35">
      <c r="A54" s="31" t="s">
        <v>249</v>
      </c>
      <c r="B54" s="8"/>
      <c r="C54" s="8">
        <v>59888350067</v>
      </c>
      <c r="D54" s="8"/>
      <c r="E54" s="8"/>
      <c r="F54" s="8"/>
      <c r="G54" s="160"/>
    </row>
    <row r="55" spans="1:7" ht="15.5" x14ac:dyDescent="0.35">
      <c r="A55" s="31" t="s">
        <v>250</v>
      </c>
      <c r="B55" s="8">
        <v>48211169387</v>
      </c>
      <c r="C55" s="8">
        <v>64703776055</v>
      </c>
      <c r="D55" s="8">
        <v>26712919979</v>
      </c>
      <c r="E55" s="8">
        <v>13434075449</v>
      </c>
      <c r="F55" s="8">
        <v>19040558603</v>
      </c>
      <c r="G55" s="160">
        <v>102815871219</v>
      </c>
    </row>
    <row r="56" spans="1:7" ht="15.5" x14ac:dyDescent="0.35">
      <c r="A56" s="31" t="s">
        <v>253</v>
      </c>
      <c r="B56" s="8">
        <v>19694488391</v>
      </c>
      <c r="C56" s="8">
        <v>20436762423</v>
      </c>
      <c r="D56" s="8">
        <v>21092112000</v>
      </c>
      <c r="E56" s="8">
        <v>21942320000</v>
      </c>
      <c r="F56" s="8">
        <v>33621440000</v>
      </c>
      <c r="G56" s="160">
        <v>58723584000</v>
      </c>
    </row>
    <row r="57" spans="1:7" ht="15.5" x14ac:dyDescent="0.35">
      <c r="A57" s="31" t="s">
        <v>255</v>
      </c>
      <c r="B57" s="8"/>
      <c r="C57" s="8"/>
      <c r="D57" s="8"/>
      <c r="E57" s="8"/>
      <c r="F57" s="8"/>
      <c r="G57" s="160">
        <v>25000000000</v>
      </c>
    </row>
    <row r="58" spans="1:7" ht="15.5" x14ac:dyDescent="0.35">
      <c r="A58" s="31" t="s">
        <v>256</v>
      </c>
      <c r="B58" s="8">
        <v>30685000000</v>
      </c>
      <c r="C58" s="8">
        <v>30685000000</v>
      </c>
      <c r="D58" s="8">
        <v>30685000000</v>
      </c>
      <c r="E58" s="8">
        <v>30685000000</v>
      </c>
      <c r="F58" s="8">
        <v>37685000000</v>
      </c>
      <c r="G58" s="160">
        <v>37685000000</v>
      </c>
    </row>
    <row r="59" spans="1:7" ht="15.5" x14ac:dyDescent="0.35">
      <c r="A59" s="31" t="s">
        <v>257</v>
      </c>
      <c r="B59" s="8">
        <v>-10990511609</v>
      </c>
      <c r="C59" s="8">
        <v>-10248237577</v>
      </c>
      <c r="D59" s="8">
        <v>-9592888000</v>
      </c>
      <c r="E59" s="8">
        <v>-8742680000</v>
      </c>
      <c r="F59" s="8">
        <v>-4063560000</v>
      </c>
      <c r="G59" s="160">
        <v>-3961416000</v>
      </c>
    </row>
    <row r="60" spans="1:7" ht="15.5" x14ac:dyDescent="0.35">
      <c r="A60" s="31" t="s">
        <v>259</v>
      </c>
      <c r="B60" s="8">
        <v>47130607015</v>
      </c>
      <c r="C60" s="8">
        <v>53196280561</v>
      </c>
      <c r="D60" s="8">
        <v>70882639236</v>
      </c>
      <c r="E60" s="8">
        <v>109246150581</v>
      </c>
      <c r="F60" s="8">
        <v>74679767974</v>
      </c>
      <c r="G60" s="160">
        <v>83484422346</v>
      </c>
    </row>
    <row r="61" spans="1:7" ht="15.5" x14ac:dyDescent="0.35">
      <c r="A61" s="31" t="s">
        <v>260</v>
      </c>
      <c r="B61" s="8">
        <v>21207669563</v>
      </c>
      <c r="C61" s="8">
        <v>28143995826</v>
      </c>
      <c r="D61" s="8">
        <v>39582025338</v>
      </c>
      <c r="E61" s="8">
        <v>80297126389</v>
      </c>
      <c r="F61" s="8">
        <v>64581906877</v>
      </c>
      <c r="G61" s="160">
        <v>56689092291</v>
      </c>
    </row>
    <row r="62" spans="1:7" ht="15.5" x14ac:dyDescent="0.35">
      <c r="A62" s="31" t="s">
        <v>261</v>
      </c>
      <c r="B62" s="8">
        <v>25922937452</v>
      </c>
      <c r="C62" s="8">
        <v>25052284735</v>
      </c>
      <c r="D62" s="8">
        <v>31300613898</v>
      </c>
      <c r="E62" s="8">
        <v>28949024192</v>
      </c>
      <c r="F62" s="8">
        <v>10097861097</v>
      </c>
      <c r="G62" s="160">
        <v>26795330055</v>
      </c>
    </row>
    <row r="63" spans="1:7" ht="16" thickBot="1" x14ac:dyDescent="0.4">
      <c r="A63" s="239" t="s">
        <v>265</v>
      </c>
      <c r="B63" s="234">
        <v>1568516716436</v>
      </c>
      <c r="C63" s="234">
        <v>1794659644368</v>
      </c>
      <c r="D63" s="234">
        <v>2416903927975</v>
      </c>
      <c r="E63" s="234">
        <v>2314599141762</v>
      </c>
      <c r="F63" s="234">
        <v>2446138550928</v>
      </c>
      <c r="G63" s="240">
        <v>2869036051355</v>
      </c>
    </row>
    <row r="64" spans="1:7" ht="15.5" x14ac:dyDescent="0.35">
      <c r="A64" s="241" t="s">
        <v>267</v>
      </c>
      <c r="B64" s="233">
        <v>508561941187</v>
      </c>
      <c r="C64" s="233">
        <v>525991247698</v>
      </c>
      <c r="D64" s="233">
        <v>609917056329</v>
      </c>
      <c r="E64" s="233">
        <v>566339505472</v>
      </c>
      <c r="F64" s="233">
        <v>620560103651</v>
      </c>
      <c r="G64" s="242">
        <v>911164294533</v>
      </c>
    </row>
    <row r="65" spans="1:7" ht="15.5" x14ac:dyDescent="0.35">
      <c r="A65" s="243" t="s">
        <v>268</v>
      </c>
      <c r="B65" s="244">
        <v>474574740460</v>
      </c>
      <c r="C65" s="244">
        <v>495903207694</v>
      </c>
      <c r="D65" s="244">
        <v>554653680656</v>
      </c>
      <c r="E65" s="244">
        <v>499556492085</v>
      </c>
      <c r="F65" s="244">
        <v>578295639397</v>
      </c>
      <c r="G65" s="245">
        <v>831255708627</v>
      </c>
    </row>
    <row r="66" spans="1:7" ht="15.5" x14ac:dyDescent="0.35">
      <c r="A66" s="246" t="s">
        <v>269</v>
      </c>
      <c r="B66" s="247">
        <v>147749949303</v>
      </c>
      <c r="C66" s="247">
        <v>137335288838</v>
      </c>
      <c r="D66" s="247">
        <v>181300286706</v>
      </c>
      <c r="E66" s="247">
        <v>113224556606</v>
      </c>
      <c r="F66" s="247">
        <v>192966654832</v>
      </c>
      <c r="G66" s="248">
        <v>260162035465</v>
      </c>
    </row>
    <row r="67" spans="1:7" ht="15.5" x14ac:dyDescent="0.35">
      <c r="A67" s="243" t="s">
        <v>270</v>
      </c>
      <c r="B67" s="244">
        <v>1295677775</v>
      </c>
      <c r="C67" s="244">
        <v>3860818654</v>
      </c>
      <c r="D67" s="244">
        <v>2570299065</v>
      </c>
      <c r="E67" s="244">
        <v>6686687740</v>
      </c>
      <c r="F67" s="244">
        <v>6770431424</v>
      </c>
      <c r="G67" s="245">
        <v>4379600530</v>
      </c>
    </row>
    <row r="68" spans="1:7" ht="15.5" x14ac:dyDescent="0.35">
      <c r="A68" s="246" t="s">
        <v>271</v>
      </c>
      <c r="B68" s="247">
        <v>13573962561</v>
      </c>
      <c r="C68" s="247">
        <v>14259738175</v>
      </c>
      <c r="D68" s="247">
        <v>31734854675</v>
      </c>
      <c r="E68" s="247">
        <v>18846224521</v>
      </c>
      <c r="F68" s="247">
        <v>23159487331</v>
      </c>
      <c r="G68" s="248">
        <v>25063262634</v>
      </c>
    </row>
    <row r="69" spans="1:7" ht="15.5" x14ac:dyDescent="0.35">
      <c r="A69" s="243" t="s">
        <v>272</v>
      </c>
      <c r="B69" s="244">
        <v>14759439048</v>
      </c>
      <c r="C69" s="244">
        <v>23729016904</v>
      </c>
      <c r="D69" s="244">
        <v>25924624973</v>
      </c>
      <c r="E69" s="244">
        <v>23820358291</v>
      </c>
      <c r="F69" s="244">
        <v>27023465313</v>
      </c>
      <c r="G69" s="245">
        <v>40288640067</v>
      </c>
    </row>
    <row r="70" spans="1:7" ht="15.5" x14ac:dyDescent="0.35">
      <c r="A70" s="246" t="s">
        <v>273</v>
      </c>
      <c r="B70" s="247">
        <v>66837241960</v>
      </c>
      <c r="C70" s="247">
        <v>76135843561</v>
      </c>
      <c r="D70" s="247">
        <v>96724794495</v>
      </c>
      <c r="E70" s="247">
        <v>93748732179</v>
      </c>
      <c r="F70" s="247">
        <v>96976213042</v>
      </c>
      <c r="G70" s="248">
        <v>134394283546</v>
      </c>
    </row>
    <row r="71" spans="1:7" ht="15.5" x14ac:dyDescent="0.35">
      <c r="A71" s="243" t="s">
        <v>277</v>
      </c>
      <c r="B71" s="244">
        <v>56465313682</v>
      </c>
      <c r="C71" s="244">
        <v>6752874128</v>
      </c>
      <c r="D71" s="244">
        <v>9028740183</v>
      </c>
      <c r="E71" s="244">
        <v>90142614189</v>
      </c>
      <c r="F71" s="244">
        <v>49255503644</v>
      </c>
      <c r="G71" s="245">
        <v>171925952658</v>
      </c>
    </row>
    <row r="72" spans="1:7" ht="15.5" x14ac:dyDescent="0.35">
      <c r="A72" s="246" t="s">
        <v>278</v>
      </c>
      <c r="B72" s="247">
        <v>160974445870</v>
      </c>
      <c r="C72" s="247">
        <v>222159942446</v>
      </c>
      <c r="D72" s="247">
        <v>195113477671</v>
      </c>
      <c r="E72" s="247">
        <v>147248648694</v>
      </c>
      <c r="F72" s="247">
        <v>173272413271</v>
      </c>
      <c r="G72" s="248">
        <v>182885122900</v>
      </c>
    </row>
    <row r="73" spans="1:7" ht="15.5" x14ac:dyDescent="0.35">
      <c r="A73" s="243" t="s">
        <v>280</v>
      </c>
      <c r="B73" s="244">
        <v>12918710261</v>
      </c>
      <c r="C73" s="244">
        <v>11669684988</v>
      </c>
      <c r="D73" s="244">
        <v>12256602888</v>
      </c>
      <c r="E73" s="244">
        <v>5838669865</v>
      </c>
      <c r="F73" s="244">
        <v>8871470540</v>
      </c>
      <c r="G73" s="245">
        <v>12156810827</v>
      </c>
    </row>
    <row r="74" spans="1:7" ht="15.5" x14ac:dyDescent="0.35">
      <c r="A74" s="246" t="s">
        <v>283</v>
      </c>
      <c r="B74" s="247">
        <v>33987200727</v>
      </c>
      <c r="C74" s="247">
        <v>30088040004</v>
      </c>
      <c r="D74" s="247">
        <v>55263375673</v>
      </c>
      <c r="E74" s="247">
        <v>66783013387</v>
      </c>
      <c r="F74" s="247">
        <v>42264464254</v>
      </c>
      <c r="G74" s="248">
        <v>79908585906</v>
      </c>
    </row>
    <row r="75" spans="1:7" ht="15.5" x14ac:dyDescent="0.35">
      <c r="A75" s="243" t="s">
        <v>290</v>
      </c>
      <c r="B75" s="244">
        <v>54500000</v>
      </c>
      <c r="C75" s="249"/>
      <c r="D75" s="249"/>
      <c r="E75" s="249"/>
      <c r="F75" s="249"/>
      <c r="G75" s="250"/>
    </row>
    <row r="76" spans="1:7" ht="15.5" x14ac:dyDescent="0.35">
      <c r="A76" s="246" t="s">
        <v>291</v>
      </c>
      <c r="B76" s="247">
        <v>5059232137</v>
      </c>
      <c r="C76" s="247"/>
      <c r="D76" s="247">
        <v>25846153842</v>
      </c>
      <c r="E76" s="247">
        <v>31807692298</v>
      </c>
      <c r="F76" s="247">
        <v>11689230754</v>
      </c>
      <c r="G76" s="248">
        <v>63613468906</v>
      </c>
    </row>
    <row r="77" spans="1:7" ht="15.5" x14ac:dyDescent="0.35">
      <c r="A77" s="243" t="s">
        <v>295</v>
      </c>
      <c r="B77" s="244">
        <v>28873468590</v>
      </c>
      <c r="C77" s="244">
        <v>30088040004</v>
      </c>
      <c r="D77" s="244">
        <v>29417221831</v>
      </c>
      <c r="E77" s="244">
        <v>34975321089</v>
      </c>
      <c r="F77" s="244">
        <v>30575233500</v>
      </c>
      <c r="G77" s="245">
        <v>16295117000</v>
      </c>
    </row>
    <row r="78" spans="1:7" ht="15.5" x14ac:dyDescent="0.35">
      <c r="A78" s="251" t="s">
        <v>297</v>
      </c>
      <c r="B78" s="232">
        <v>1059954775249</v>
      </c>
      <c r="C78" s="232">
        <v>1268668396670</v>
      </c>
      <c r="D78" s="232">
        <v>1806986871646</v>
      </c>
      <c r="E78" s="232">
        <v>1748259636290</v>
      </c>
      <c r="F78" s="232">
        <v>1825578447277</v>
      </c>
      <c r="G78" s="252">
        <v>1957871756822</v>
      </c>
    </row>
    <row r="79" spans="1:7" ht="15.5" x14ac:dyDescent="0.35">
      <c r="A79" s="243" t="s">
        <v>298</v>
      </c>
      <c r="B79" s="244">
        <v>1059954775249</v>
      </c>
      <c r="C79" s="244">
        <v>1268668396670</v>
      </c>
      <c r="D79" s="244">
        <v>1806986871646</v>
      </c>
      <c r="E79" s="244">
        <v>1748259636290</v>
      </c>
      <c r="F79" s="244">
        <v>1825578447277</v>
      </c>
      <c r="G79" s="245">
        <v>1957871756822</v>
      </c>
    </row>
    <row r="80" spans="1:7" ht="15.5" x14ac:dyDescent="0.35">
      <c r="A80" s="246" t="s">
        <v>299</v>
      </c>
      <c r="B80" s="247">
        <v>505562560000</v>
      </c>
      <c r="C80" s="247">
        <v>657228530000</v>
      </c>
      <c r="D80" s="247">
        <v>777944530000</v>
      </c>
      <c r="E80" s="247">
        <v>777944530000</v>
      </c>
      <c r="F80" s="247">
        <v>777944530000</v>
      </c>
      <c r="G80" s="248">
        <v>777944530000</v>
      </c>
    </row>
    <row r="81" spans="1:7" ht="15.5" x14ac:dyDescent="0.35">
      <c r="A81" s="243" t="s">
        <v>300</v>
      </c>
      <c r="B81" s="244">
        <v>505562560000</v>
      </c>
      <c r="C81" s="244">
        <v>657228530000</v>
      </c>
      <c r="D81" s="244">
        <v>777944530000</v>
      </c>
      <c r="E81" s="244">
        <v>777944530000</v>
      </c>
      <c r="F81" s="244">
        <v>777944530000</v>
      </c>
      <c r="G81" s="245">
        <v>777944530000</v>
      </c>
    </row>
    <row r="82" spans="1:7" ht="15.5" x14ac:dyDescent="0.35">
      <c r="A82" s="246" t="s">
        <v>302</v>
      </c>
      <c r="B82" s="247">
        <v>28281183000</v>
      </c>
      <c r="C82" s="247">
        <v>28281183000</v>
      </c>
      <c r="D82" s="247">
        <v>392944802300</v>
      </c>
      <c r="E82" s="247">
        <v>361633483771</v>
      </c>
      <c r="F82" s="247">
        <v>361633483771</v>
      </c>
      <c r="G82" s="248">
        <v>361633483771</v>
      </c>
    </row>
    <row r="83" spans="1:7" ht="15.5" x14ac:dyDescent="0.35">
      <c r="A83" s="243" t="s">
        <v>307</v>
      </c>
      <c r="B83" s="249"/>
      <c r="C83" s="249"/>
      <c r="D83" s="249"/>
      <c r="E83" s="244">
        <v>92630401</v>
      </c>
      <c r="F83" s="244">
        <v>-300043194</v>
      </c>
      <c r="G83" s="245">
        <v>526982987</v>
      </c>
    </row>
    <row r="84" spans="1:7" ht="15.5" x14ac:dyDescent="0.35">
      <c r="A84" s="246" t="s">
        <v>308</v>
      </c>
      <c r="B84" s="247">
        <v>125884643498</v>
      </c>
      <c r="C84" s="247">
        <v>158051613498</v>
      </c>
      <c r="D84" s="247">
        <v>158019722556</v>
      </c>
      <c r="E84" s="247">
        <v>199910168556</v>
      </c>
      <c r="F84" s="247">
        <v>228691572556</v>
      </c>
      <c r="G84" s="248">
        <v>261896462556</v>
      </c>
    </row>
    <row r="85" spans="1:7" ht="15.5" x14ac:dyDescent="0.35">
      <c r="A85" s="243" t="s">
        <v>311</v>
      </c>
      <c r="B85" s="244">
        <v>400226388751</v>
      </c>
      <c r="C85" s="244">
        <v>425107070172</v>
      </c>
      <c r="D85" s="244">
        <v>478077816790</v>
      </c>
      <c r="E85" s="244">
        <v>408678823562</v>
      </c>
      <c r="F85" s="244">
        <v>457608904144</v>
      </c>
      <c r="G85" s="245">
        <v>554720805316</v>
      </c>
    </row>
    <row r="86" spans="1:7" ht="15.5" x14ac:dyDescent="0.35">
      <c r="A86" s="246" t="s">
        <v>312</v>
      </c>
      <c r="B86" s="247">
        <v>195591119260</v>
      </c>
      <c r="C86" s="247">
        <v>271671178810</v>
      </c>
      <c r="D86" s="247">
        <v>244956496053</v>
      </c>
      <c r="E86" s="247">
        <v>77956130749</v>
      </c>
      <c r="F86" s="247">
        <v>111618507257</v>
      </c>
      <c r="G86" s="248">
        <v>396733273144</v>
      </c>
    </row>
    <row r="87" spans="1:7" ht="15.5" x14ac:dyDescent="0.35">
      <c r="A87" s="243" t="s">
        <v>313</v>
      </c>
      <c r="B87" s="244">
        <v>204635269491</v>
      </c>
      <c r="C87" s="244">
        <v>153435891362</v>
      </c>
      <c r="D87" s="244">
        <v>233121320737</v>
      </c>
      <c r="E87" s="244">
        <v>330722692813</v>
      </c>
      <c r="F87" s="244">
        <v>345990396887</v>
      </c>
      <c r="G87" s="245">
        <v>157987532172</v>
      </c>
    </row>
    <row r="88" spans="1:7" ht="15.5" x14ac:dyDescent="0.35">
      <c r="A88" s="246" t="s">
        <v>315</v>
      </c>
      <c r="B88" s="247"/>
      <c r="C88" s="247"/>
      <c r="D88" s="247"/>
      <c r="E88" s="247"/>
      <c r="F88" s="247"/>
      <c r="G88" s="248">
        <v>1149492192</v>
      </c>
    </row>
    <row r="89" spans="1:7" ht="15.5" x14ac:dyDescent="0.35">
      <c r="A89" s="253" t="s">
        <v>319</v>
      </c>
      <c r="B89" s="254">
        <v>1568516716436</v>
      </c>
      <c r="C89" s="254">
        <v>1794659644368</v>
      </c>
      <c r="D89" s="254">
        <v>2416903927975</v>
      </c>
      <c r="E89" s="254">
        <v>2314599141762</v>
      </c>
      <c r="F89" s="254">
        <v>2446138550928</v>
      </c>
      <c r="G89" s="255">
        <v>2869036051355</v>
      </c>
    </row>
    <row r="91" spans="1:7" ht="15.5" x14ac:dyDescent="0.35">
      <c r="A91" s="229" t="s">
        <v>320</v>
      </c>
      <c r="B91" s="229" t="s">
        <v>2</v>
      </c>
      <c r="C91" s="229" t="s">
        <v>3</v>
      </c>
      <c r="D91" s="229" t="s">
        <v>4</v>
      </c>
      <c r="E91" s="229" t="s">
        <v>5</v>
      </c>
      <c r="F91" s="229" t="s">
        <v>6</v>
      </c>
      <c r="G91" s="229" t="s">
        <v>7</v>
      </c>
    </row>
    <row r="92" spans="1:7" ht="15.5" x14ac:dyDescent="0.35">
      <c r="A92" s="228" t="s">
        <v>321</v>
      </c>
      <c r="B92" s="228"/>
      <c r="C92" s="228"/>
      <c r="D92" s="228"/>
      <c r="E92" s="228"/>
      <c r="F92" s="228"/>
      <c r="G92" s="228"/>
    </row>
    <row r="93" spans="1:7" ht="15.5" x14ac:dyDescent="0.35">
      <c r="A93" s="227" t="s">
        <v>322</v>
      </c>
      <c r="B93" s="224">
        <v>334605605852</v>
      </c>
      <c r="C93" s="224">
        <v>368270871380</v>
      </c>
      <c r="D93" s="224">
        <v>436850758578</v>
      </c>
      <c r="E93" s="224">
        <v>303637473680</v>
      </c>
      <c r="F93" s="224">
        <v>358564884026</v>
      </c>
      <c r="G93" s="224">
        <v>506666648202</v>
      </c>
    </row>
    <row r="94" spans="1:7" ht="15.5" x14ac:dyDescent="0.35">
      <c r="A94" s="225" t="s">
        <v>323</v>
      </c>
      <c r="B94" s="225"/>
      <c r="C94" s="225"/>
      <c r="D94" s="225"/>
      <c r="E94" s="225"/>
      <c r="F94" s="225"/>
      <c r="G94" s="225"/>
    </row>
    <row r="95" spans="1:7" ht="15.5" x14ac:dyDescent="0.35">
      <c r="A95" s="227" t="s">
        <v>324</v>
      </c>
      <c r="B95" s="224">
        <v>49798331415</v>
      </c>
      <c r="C95" s="224">
        <v>65989947275</v>
      </c>
      <c r="D95" s="224">
        <v>77552153082</v>
      </c>
      <c r="E95" s="224">
        <v>80427015086</v>
      </c>
      <c r="F95" s="224">
        <v>83919429257</v>
      </c>
      <c r="G95" s="224">
        <v>82485634011</v>
      </c>
    </row>
    <row r="96" spans="1:7" ht="15.5" x14ac:dyDescent="0.35">
      <c r="A96" s="225" t="s">
        <v>325</v>
      </c>
      <c r="B96" s="226">
        <v>1629077611</v>
      </c>
      <c r="C96" s="226">
        <v>2634365580</v>
      </c>
      <c r="D96" s="226">
        <v>8626055304</v>
      </c>
      <c r="E96" s="226">
        <v>-9843622423</v>
      </c>
      <c r="F96" s="226">
        <v>-10060980737</v>
      </c>
      <c r="G96" s="226">
        <v>-15038842760</v>
      </c>
    </row>
    <row r="97" spans="1:7" ht="15.5" x14ac:dyDescent="0.35">
      <c r="A97" s="227" t="s">
        <v>326</v>
      </c>
      <c r="B97" s="224">
        <v>32228235</v>
      </c>
      <c r="C97" s="224">
        <v>504277463</v>
      </c>
      <c r="D97" s="224">
        <v>16650960</v>
      </c>
      <c r="E97" s="224">
        <v>284619586</v>
      </c>
      <c r="F97" s="224">
        <v>-318054357</v>
      </c>
      <c r="G97" s="224">
        <v>6966897124</v>
      </c>
    </row>
    <row r="98" spans="1:7" ht="15.5" x14ac:dyDescent="0.35">
      <c r="A98" s="225" t="s">
        <v>327</v>
      </c>
      <c r="B98" s="226">
        <v>-16289299176</v>
      </c>
      <c r="C98" s="226">
        <v>-8187154568</v>
      </c>
      <c r="D98" s="226">
        <v>-57340235185</v>
      </c>
      <c r="E98" s="226">
        <v>-22385207920</v>
      </c>
      <c r="F98" s="226">
        <v>-23868121847</v>
      </c>
      <c r="G98" s="226">
        <v>-24663621794</v>
      </c>
    </row>
    <row r="99" spans="1:7" ht="15.5" x14ac:dyDescent="0.35">
      <c r="A99" s="227" t="s">
        <v>328</v>
      </c>
      <c r="B99" s="224">
        <v>9500290007</v>
      </c>
      <c r="C99" s="224">
        <v>11068142459</v>
      </c>
      <c r="D99" s="224">
        <v>11434553822</v>
      </c>
      <c r="E99" s="224">
        <v>11853821706</v>
      </c>
      <c r="F99" s="224">
        <v>7019978348</v>
      </c>
      <c r="G99" s="224">
        <v>8881716860</v>
      </c>
    </row>
    <row r="100" spans="1:7" ht="15.5" x14ac:dyDescent="0.35">
      <c r="A100" s="225" t="s">
        <v>329</v>
      </c>
      <c r="B100" s="225"/>
      <c r="C100" s="225"/>
      <c r="D100" s="225"/>
      <c r="E100" s="225"/>
      <c r="F100" s="225"/>
      <c r="G100" s="225"/>
    </row>
    <row r="101" spans="1:7" ht="15.5" x14ac:dyDescent="0.35">
      <c r="A101" s="227" t="s">
        <v>330</v>
      </c>
      <c r="B101" s="224">
        <v>379276233944</v>
      </c>
      <c r="C101" s="224">
        <v>440280449589</v>
      </c>
      <c r="D101" s="224">
        <v>477139936561</v>
      </c>
      <c r="E101" s="224">
        <v>363974099715</v>
      </c>
      <c r="F101" s="224">
        <v>415257134690</v>
      </c>
      <c r="G101" s="224">
        <v>565298431643</v>
      </c>
    </row>
    <row r="102" spans="1:7" ht="15.5" x14ac:dyDescent="0.35">
      <c r="A102" s="225" t="s">
        <v>331</v>
      </c>
      <c r="B102" s="226">
        <v>-78789029547</v>
      </c>
      <c r="C102" s="226">
        <v>-128740790023</v>
      </c>
      <c r="D102" s="226">
        <v>-226056564034</v>
      </c>
      <c r="E102" s="226">
        <v>163476604891</v>
      </c>
      <c r="F102" s="226">
        <v>24949485918</v>
      </c>
      <c r="G102" s="226">
        <v>-26902790739</v>
      </c>
    </row>
    <row r="103" spans="1:7" ht="15.5" x14ac:dyDescent="0.35">
      <c r="A103" s="227" t="s">
        <v>332</v>
      </c>
      <c r="B103" s="224">
        <v>-55196444146</v>
      </c>
      <c r="C103" s="224">
        <v>-169432343186</v>
      </c>
      <c r="D103" s="224">
        <v>92205148534</v>
      </c>
      <c r="E103" s="224">
        <v>56523700153</v>
      </c>
      <c r="F103" s="224">
        <v>-142286693964</v>
      </c>
      <c r="G103" s="224">
        <v>-226515734679</v>
      </c>
    </row>
    <row r="104" spans="1:7" ht="15.5" x14ac:dyDescent="0.35">
      <c r="A104" s="225" t="s">
        <v>333</v>
      </c>
      <c r="B104" s="226">
        <v>12954485568</v>
      </c>
      <c r="C104" s="226">
        <v>21265608938</v>
      </c>
      <c r="D104" s="226">
        <v>66510228951</v>
      </c>
      <c r="E104" s="226">
        <v>-60624667853</v>
      </c>
      <c r="F104" s="226">
        <v>17702900285</v>
      </c>
      <c r="G104" s="226">
        <v>143144163947</v>
      </c>
    </row>
    <row r="105" spans="1:7" ht="15.5" x14ac:dyDescent="0.35">
      <c r="A105" s="227" t="s">
        <v>334</v>
      </c>
      <c r="B105" s="224">
        <v>-8001816747</v>
      </c>
      <c r="C105" s="224">
        <v>-2543260885</v>
      </c>
      <c r="D105" s="224">
        <v>-12229001807</v>
      </c>
      <c r="E105" s="224">
        <v>-33310311486</v>
      </c>
      <c r="F105" s="224">
        <v>14993621322</v>
      </c>
      <c r="G105" s="224">
        <v>1715302118</v>
      </c>
    </row>
    <row r="106" spans="1:7" ht="15.5" x14ac:dyDescent="0.35">
      <c r="A106" s="225" t="s">
        <v>335</v>
      </c>
      <c r="B106" s="225"/>
      <c r="C106" s="225"/>
      <c r="D106" s="225"/>
      <c r="E106" s="225"/>
      <c r="F106" s="225"/>
      <c r="G106" s="225"/>
    </row>
    <row r="107" spans="1:7" ht="15.5" x14ac:dyDescent="0.35">
      <c r="A107" s="227" t="s">
        <v>336</v>
      </c>
      <c r="B107" s="224">
        <v>-9502315767</v>
      </c>
      <c r="C107" s="224">
        <v>-10874257469</v>
      </c>
      <c r="D107" s="224">
        <v>-11425842447</v>
      </c>
      <c r="E107" s="224">
        <v>-12125598196</v>
      </c>
      <c r="F107" s="224">
        <v>-6928466153</v>
      </c>
      <c r="G107" s="224">
        <v>-8804653480</v>
      </c>
    </row>
    <row r="108" spans="1:7" ht="15.5" x14ac:dyDescent="0.35">
      <c r="A108" s="225" t="s">
        <v>337</v>
      </c>
      <c r="B108" s="226">
        <v>-69215627013</v>
      </c>
      <c r="C108" s="226">
        <v>-70201897515</v>
      </c>
      <c r="D108" s="226">
        <v>-87578360119</v>
      </c>
      <c r="E108" s="226">
        <v>-67079096806</v>
      </c>
      <c r="F108" s="226">
        <v>-62699502885</v>
      </c>
      <c r="G108" s="226">
        <v>-123738872889</v>
      </c>
    </row>
    <row r="109" spans="1:7" ht="15.5" x14ac:dyDescent="0.35">
      <c r="A109" s="227" t="s">
        <v>338</v>
      </c>
      <c r="B109" s="227"/>
      <c r="C109" s="227"/>
      <c r="D109" s="227"/>
      <c r="E109" s="227"/>
      <c r="F109" s="227"/>
      <c r="G109" s="224">
        <v>-35021384068</v>
      </c>
    </row>
    <row r="110" spans="1:7" ht="15.5" x14ac:dyDescent="0.35">
      <c r="A110" s="225" t="s">
        <v>339</v>
      </c>
      <c r="B110" s="226">
        <v>-51118157000</v>
      </c>
      <c r="C110" s="226">
        <v>-36251390000</v>
      </c>
      <c r="D110" s="226">
        <v>-40396702157</v>
      </c>
      <c r="E110" s="226">
        <v>-42265374888</v>
      </c>
      <c r="F110" s="226">
        <v>-39800891600</v>
      </c>
      <c r="G110" s="225"/>
    </row>
    <row r="111" spans="1:7" ht="15.5" x14ac:dyDescent="0.35">
      <c r="A111" s="227" t="s">
        <v>340</v>
      </c>
      <c r="B111" s="224">
        <v>120407329292</v>
      </c>
      <c r="C111" s="224">
        <v>43502119449</v>
      </c>
      <c r="D111" s="224">
        <v>258168843482</v>
      </c>
      <c r="E111" s="224">
        <v>368569355530</v>
      </c>
      <c r="F111" s="224">
        <v>221187587613</v>
      </c>
      <c r="G111" s="224">
        <v>289174461853</v>
      </c>
    </row>
    <row r="112" spans="1:7" ht="15.5" x14ac:dyDescent="0.35">
      <c r="A112" s="228" t="s">
        <v>341</v>
      </c>
      <c r="B112" s="228"/>
      <c r="C112" s="228"/>
      <c r="D112" s="228"/>
      <c r="E112" s="228"/>
      <c r="F112" s="228"/>
      <c r="G112" s="228"/>
    </row>
    <row r="113" spans="1:7" ht="15.5" x14ac:dyDescent="0.35">
      <c r="A113" s="227" t="s">
        <v>342</v>
      </c>
      <c r="B113" s="224">
        <v>-146128176279</v>
      </c>
      <c r="C113" s="224">
        <v>-215504947563</v>
      </c>
      <c r="D113" s="224">
        <v>-84540730238</v>
      </c>
      <c r="E113" s="224">
        <v>-85086927060</v>
      </c>
      <c r="F113" s="224">
        <v>-58046246969</v>
      </c>
      <c r="G113" s="224">
        <v>-169603926893</v>
      </c>
    </row>
    <row r="114" spans="1:7" ht="15.5" x14ac:dyDescent="0.35">
      <c r="A114" s="225" t="s">
        <v>343</v>
      </c>
      <c r="B114" s="226">
        <v>1852033119</v>
      </c>
      <c r="C114" s="226">
        <v>1477863636</v>
      </c>
      <c r="D114" s="226">
        <v>96605895895</v>
      </c>
      <c r="E114" s="226">
        <v>1020459916</v>
      </c>
      <c r="F114" s="226">
        <v>2166609649</v>
      </c>
      <c r="G114" s="226">
        <v>1736833818</v>
      </c>
    </row>
    <row r="115" spans="1:7" ht="15.5" x14ac:dyDescent="0.35">
      <c r="A115" s="227" t="s">
        <v>344</v>
      </c>
      <c r="B115" s="227"/>
      <c r="C115" s="227"/>
      <c r="D115" s="224">
        <v>-619000000000</v>
      </c>
      <c r="E115" s="224">
        <v>-464500000000</v>
      </c>
      <c r="F115" s="224">
        <v>-515999139200</v>
      </c>
      <c r="G115" s="224">
        <v>-616732323288</v>
      </c>
    </row>
    <row r="116" spans="1:7" ht="15.5" x14ac:dyDescent="0.35">
      <c r="A116" s="225" t="s">
        <v>345</v>
      </c>
      <c r="B116" s="225"/>
      <c r="C116" s="225"/>
      <c r="D116" s="226">
        <v>153000000000</v>
      </c>
      <c r="E116" s="226">
        <v>558500000000</v>
      </c>
      <c r="F116" s="226">
        <v>648000000000</v>
      </c>
      <c r="G116" s="226">
        <v>497061462488</v>
      </c>
    </row>
    <row r="117" spans="1:7" ht="15.5" x14ac:dyDescent="0.35">
      <c r="A117" s="227" t="s">
        <v>346</v>
      </c>
      <c r="B117" s="227"/>
      <c r="C117" s="227"/>
      <c r="D117" s="227"/>
      <c r="E117" s="227"/>
      <c r="F117" s="224">
        <v>-7000000000</v>
      </c>
      <c r="G117" s="224">
        <v>-25000000000</v>
      </c>
    </row>
    <row r="118" spans="1:7" ht="15.5" x14ac:dyDescent="0.35">
      <c r="A118" s="225" t="s">
        <v>347</v>
      </c>
      <c r="B118" s="225"/>
      <c r="C118" s="225"/>
      <c r="D118" s="225"/>
      <c r="E118" s="225"/>
      <c r="F118" s="225"/>
      <c r="G118" s="225"/>
    </row>
    <row r="119" spans="1:7" ht="15.5" x14ac:dyDescent="0.35">
      <c r="A119" s="227" t="s">
        <v>348</v>
      </c>
      <c r="B119" s="224">
        <v>14676870688</v>
      </c>
      <c r="C119" s="224">
        <v>7645687575</v>
      </c>
      <c r="D119" s="224">
        <v>11134804294</v>
      </c>
      <c r="E119" s="224">
        <v>28851374215</v>
      </c>
      <c r="F119" s="224">
        <v>30217926187</v>
      </c>
      <c r="G119" s="224">
        <v>21502569973</v>
      </c>
    </row>
    <row r="120" spans="1:7" ht="15.5" x14ac:dyDescent="0.35">
      <c r="A120" s="225" t="s">
        <v>349</v>
      </c>
      <c r="B120" s="226">
        <v>-129599272472</v>
      </c>
      <c r="C120" s="226">
        <v>-206381396352</v>
      </c>
      <c r="D120" s="226">
        <v>-442800030049</v>
      </c>
      <c r="E120" s="226">
        <v>38784907071</v>
      </c>
      <c r="F120" s="226">
        <v>99339149667</v>
      </c>
      <c r="G120" s="226">
        <v>-291035383902</v>
      </c>
    </row>
    <row r="121" spans="1:7" ht="15.5" x14ac:dyDescent="0.35">
      <c r="A121" s="228" t="s">
        <v>350</v>
      </c>
      <c r="B121" s="228"/>
      <c r="C121" s="228"/>
      <c r="D121" s="228"/>
      <c r="E121" s="228"/>
      <c r="F121" s="228"/>
      <c r="G121" s="228"/>
    </row>
    <row r="122" spans="1:7" ht="15.5" x14ac:dyDescent="0.35">
      <c r="A122" s="225" t="s">
        <v>351</v>
      </c>
      <c r="B122" s="226">
        <v>22500000000</v>
      </c>
      <c r="C122" s="225"/>
      <c r="D122" s="226">
        <v>414663619300</v>
      </c>
      <c r="E122" s="226">
        <v>15000000000</v>
      </c>
      <c r="F122" s="225"/>
      <c r="G122" s="226">
        <v>1656180000</v>
      </c>
    </row>
    <row r="123" spans="1:7" ht="15.5" x14ac:dyDescent="0.35">
      <c r="A123" s="227" t="s">
        <v>352</v>
      </c>
      <c r="B123" s="227"/>
      <c r="C123" s="227"/>
      <c r="D123" s="227"/>
      <c r="E123" s="224">
        <v>-46311318529</v>
      </c>
      <c r="F123" s="227"/>
      <c r="G123" s="227"/>
    </row>
    <row r="124" spans="1:7" ht="15.5" x14ac:dyDescent="0.35">
      <c r="A124" s="225" t="s">
        <v>353</v>
      </c>
      <c r="B124" s="226">
        <v>550564264097</v>
      </c>
      <c r="C124" s="226">
        <v>828374937236</v>
      </c>
      <c r="D124" s="226">
        <v>631294976475</v>
      </c>
      <c r="E124" s="226">
        <v>694739377675</v>
      </c>
      <c r="F124" s="226">
        <v>583271414505</v>
      </c>
      <c r="G124" s="226">
        <v>780517479565</v>
      </c>
    </row>
    <row r="125" spans="1:7" ht="15.5" x14ac:dyDescent="0.35">
      <c r="A125" s="227" t="s">
        <v>354</v>
      </c>
      <c r="B125" s="224">
        <v>-576920673014</v>
      </c>
      <c r="C125" s="224">
        <v>-772248672797</v>
      </c>
      <c r="D125" s="224">
        <v>-632495287408</v>
      </c>
      <c r="E125" s="224">
        <v>-736642668196</v>
      </c>
      <c r="F125" s="224">
        <v>-577366111472</v>
      </c>
      <c r="G125" s="224">
        <v>-718980531784</v>
      </c>
    </row>
    <row r="126" spans="1:7" ht="15.5" x14ac:dyDescent="0.35">
      <c r="A126" s="225" t="s">
        <v>355</v>
      </c>
      <c r="B126" s="225"/>
      <c r="C126" s="225"/>
      <c r="D126" s="225"/>
      <c r="E126" s="225"/>
      <c r="F126" s="225"/>
      <c r="G126" s="225"/>
    </row>
    <row r="127" spans="1:7" ht="15.5" x14ac:dyDescent="0.35">
      <c r="A127" s="227" t="s">
        <v>356</v>
      </c>
      <c r="B127" s="224">
        <v>-57508258525</v>
      </c>
      <c r="C127" s="224">
        <v>-101107152100</v>
      </c>
      <c r="D127" s="224">
        <v>-183880080350</v>
      </c>
      <c r="E127" s="224">
        <v>-153373200000</v>
      </c>
      <c r="F127" s="224">
        <v>-194455871500</v>
      </c>
      <c r="G127" s="224">
        <v>-155619167000</v>
      </c>
    </row>
    <row r="128" spans="1:7" ht="15.5" x14ac:dyDescent="0.35">
      <c r="A128" s="225" t="s">
        <v>357</v>
      </c>
      <c r="B128" s="225"/>
      <c r="C128" s="225"/>
      <c r="D128" s="225"/>
      <c r="E128" s="225"/>
      <c r="F128" s="225"/>
      <c r="G128" s="225"/>
    </row>
    <row r="129" spans="1:7" ht="15.5" x14ac:dyDescent="0.35">
      <c r="A129" s="227" t="s">
        <v>358</v>
      </c>
      <c r="B129" s="224">
        <v>-61364667442</v>
      </c>
      <c r="C129" s="224">
        <v>-44980887661</v>
      </c>
      <c r="D129" s="224">
        <v>229583228017</v>
      </c>
      <c r="E129" s="224">
        <v>-226587809050</v>
      </c>
      <c r="F129" s="224">
        <v>-188550568467</v>
      </c>
      <c r="G129" s="224">
        <v>-92426039219</v>
      </c>
    </row>
    <row r="130" spans="1:7" ht="15.5" x14ac:dyDescent="0.35">
      <c r="A130" s="225" t="s">
        <v>359</v>
      </c>
      <c r="B130" s="226">
        <v>-70556610622</v>
      </c>
      <c r="C130" s="226">
        <v>-207860164564</v>
      </c>
      <c r="D130" s="226">
        <v>44952041450</v>
      </c>
      <c r="E130" s="226">
        <v>180766453551</v>
      </c>
      <c r="F130" s="226">
        <v>131976168813</v>
      </c>
      <c r="G130" s="226">
        <v>-94286961268</v>
      </c>
    </row>
    <row r="131" spans="1:7" ht="15.5" x14ac:dyDescent="0.35">
      <c r="A131" s="227" t="s">
        <v>360</v>
      </c>
      <c r="B131" s="224">
        <v>424423331022</v>
      </c>
      <c r="C131" s="224">
        <v>353869383127</v>
      </c>
      <c r="D131" s="224">
        <v>145861230396</v>
      </c>
      <c r="E131" s="224">
        <v>190855576577</v>
      </c>
      <c r="F131" s="224">
        <v>371680211939</v>
      </c>
      <c r="G131" s="224">
        <v>503425694773</v>
      </c>
    </row>
    <row r="132" spans="1:7" ht="15.5" x14ac:dyDescent="0.35">
      <c r="A132" s="225" t="s">
        <v>361</v>
      </c>
      <c r="B132" s="226">
        <v>2662727</v>
      </c>
      <c r="C132" s="226">
        <v>-147988167</v>
      </c>
      <c r="D132" s="226">
        <v>42304731</v>
      </c>
      <c r="E132" s="226">
        <v>58181811</v>
      </c>
      <c r="F132" s="226">
        <v>-230685979</v>
      </c>
      <c r="G132" s="226">
        <v>-3770607881</v>
      </c>
    </row>
    <row r="133" spans="1:7" ht="15.5" x14ac:dyDescent="0.35">
      <c r="A133" s="228" t="s">
        <v>362</v>
      </c>
      <c r="B133" s="230">
        <v>353869383127</v>
      </c>
      <c r="C133" s="230">
        <v>145861230396</v>
      </c>
      <c r="D133" s="230">
        <v>190855576577</v>
      </c>
      <c r="E133" s="230">
        <v>371680211939</v>
      </c>
      <c r="F133" s="230">
        <v>503425694773</v>
      </c>
      <c r="G133" s="230">
        <v>405368125624</v>
      </c>
    </row>
  </sheetData>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A7196-832D-49DE-8A78-52849DF904FC}">
  <sheetPr>
    <tabColor theme="1"/>
  </sheetPr>
  <dimension ref="B1:Q38"/>
  <sheetViews>
    <sheetView showGridLines="0" topLeftCell="A6" zoomScaleNormal="100" workbookViewId="0">
      <selection activeCell="E15" sqref="E15"/>
    </sheetView>
  </sheetViews>
  <sheetFormatPr defaultColWidth="8.81640625" defaultRowHeight="14.5" x14ac:dyDescent="0.35"/>
  <cols>
    <col min="2" max="2" width="27.81640625" bestFit="1" customWidth="1"/>
    <col min="3" max="3" width="17.81640625" hidden="1" customWidth="1"/>
    <col min="4" max="4" width="17.1796875" hidden="1" customWidth="1"/>
    <col min="5" max="9" width="10.1796875" bestFit="1" customWidth="1"/>
  </cols>
  <sheetData>
    <row r="1" spans="2:17" x14ac:dyDescent="0.35">
      <c r="C1" s="152"/>
    </row>
    <row r="2" spans="2:17" x14ac:dyDescent="0.35">
      <c r="B2" s="589" t="s">
        <v>1301</v>
      </c>
      <c r="C2" s="590" t="s">
        <v>1</v>
      </c>
      <c r="D2" s="591" t="s">
        <v>2</v>
      </c>
      <c r="E2" s="592" t="s">
        <v>3</v>
      </c>
      <c r="F2" s="592" t="s">
        <v>4</v>
      </c>
      <c r="G2" s="592" t="s">
        <v>5</v>
      </c>
      <c r="H2" s="592" t="s">
        <v>6</v>
      </c>
      <c r="I2" s="592" t="s">
        <v>7</v>
      </c>
    </row>
    <row r="3" spans="2:17" x14ac:dyDescent="0.35">
      <c r="B3" s="572" t="s">
        <v>1302</v>
      </c>
      <c r="C3" s="573"/>
      <c r="D3" s="574"/>
      <c r="E3" s="573"/>
      <c r="F3" s="573"/>
      <c r="G3" s="573"/>
      <c r="H3" s="573"/>
      <c r="I3" s="573"/>
      <c r="M3" s="57"/>
      <c r="N3" s="57"/>
      <c r="O3" s="57"/>
      <c r="P3" s="57"/>
      <c r="Q3" s="57"/>
    </row>
    <row r="4" spans="2:17" x14ac:dyDescent="0.35">
      <c r="B4" s="575" t="s">
        <v>1303</v>
      </c>
      <c r="C4" s="576">
        <f>AVERAGE(D4:I4)</f>
        <v>0.39239687008282087</v>
      </c>
      <c r="D4" s="577">
        <f>(FS!C2-FS!C3)/FS!C2</f>
        <v>0.37380863646677548</v>
      </c>
      <c r="E4" s="560">
        <f>(FS!D2-FS!D3)/FS!D2</f>
        <v>0.37351274645546673</v>
      </c>
      <c r="F4" s="560">
        <f>(FS!E2-FS!E3)/FS!E2</f>
        <v>0.36817769797830108</v>
      </c>
      <c r="G4" s="560">
        <f>(FS!F2-FS!F3)/FS!F2</f>
        <v>0.38358026772032372</v>
      </c>
      <c r="H4" s="560">
        <f>(FS!G2-FS!G3)/FS!G2</f>
        <v>0.42243123679311295</v>
      </c>
      <c r="I4" s="560">
        <f>(FS!H2-FS!H3)/FS!H2</f>
        <v>0.43287063508294504</v>
      </c>
      <c r="M4" s="9"/>
      <c r="N4" s="9"/>
      <c r="O4" s="9"/>
      <c r="P4" s="9"/>
      <c r="Q4" s="9"/>
    </row>
    <row r="5" spans="2:17" x14ac:dyDescent="0.35">
      <c r="B5" s="575" t="s">
        <v>1304</v>
      </c>
      <c r="C5" s="576">
        <f>AVERAGE(D5:I5)</f>
        <v>0.16018924000146059</v>
      </c>
      <c r="D5" s="577">
        <f>FS!C15/FS!C2</f>
        <v>0.15772568032621015</v>
      </c>
      <c r="E5" s="560">
        <f>FS!D15/FS!D2</f>
        <v>0.15593971883709623</v>
      </c>
      <c r="F5" s="560">
        <f>FS!E15/FS!E2</f>
        <v>0.16167269910277118</v>
      </c>
      <c r="G5" s="560">
        <f>FS!F15/FS!F2</f>
        <v>0.14748021934254119</v>
      </c>
      <c r="H5" s="560">
        <f>FS!G15/FS!G2</f>
        <v>0.16846249953596662</v>
      </c>
      <c r="I5" s="560">
        <f>FS!H15/FS!H2</f>
        <v>0.16985462286417824</v>
      </c>
      <c r="M5" s="9"/>
      <c r="N5" s="9"/>
      <c r="O5" s="9"/>
      <c r="P5" s="9"/>
      <c r="Q5" s="9"/>
    </row>
    <row r="6" spans="2:17" x14ac:dyDescent="0.35">
      <c r="B6" s="575" t="s">
        <v>1305</v>
      </c>
      <c r="C6" s="578">
        <f>AVERAGE(D6:I6)</f>
        <v>0.10411139695074874</v>
      </c>
      <c r="D6" s="577">
        <f>FS!C23/FS!C2</f>
        <v>0.1073348302338467</v>
      </c>
      <c r="E6" s="560">
        <f>FS!D23/FS!D2</f>
        <v>0.10308378740020732</v>
      </c>
      <c r="F6" s="560">
        <f>FS!E23/FS!E2</f>
        <v>0.10732944902319896</v>
      </c>
      <c r="G6" s="560">
        <f>FS!F23/FS!F2</f>
        <v>8.9342669162718519E-2</v>
      </c>
      <c r="H6" s="560">
        <f>FS!G23/FS!G2</f>
        <v>0.10370273064194055</v>
      </c>
      <c r="I6" s="560">
        <f>FS!H23/FS!H2</f>
        <v>0.11387491524258045</v>
      </c>
      <c r="M6" s="9"/>
      <c r="N6" s="9"/>
      <c r="O6" s="9"/>
      <c r="P6" s="9"/>
      <c r="Q6" s="9"/>
    </row>
    <row r="7" spans="2:17" x14ac:dyDescent="0.35">
      <c r="B7" s="575" t="s">
        <v>1306</v>
      </c>
      <c r="C7" s="579">
        <f>AVERAGE(D7:I7)</f>
        <v>1.6968770722703141</v>
      </c>
      <c r="D7" s="580">
        <f>'Data Clean'!B2/AVERAGE(FS!B72:C72)</f>
        <v>3.2790417418033471</v>
      </c>
      <c r="E7" s="154">
        <f>'Data Clean'!C2/AVERAGE(FS!C72:D72)</f>
        <v>1.7134960664418886</v>
      </c>
      <c r="F7" s="154">
        <f>'Data Clean'!D2/AVERAGE(FS!D72:E72)</f>
        <v>1.5665017959920491</v>
      </c>
      <c r="G7" s="154">
        <f>'Data Clean'!E2/AVERAGE(FS!E72:F72)</f>
        <v>1.1575182455499131</v>
      </c>
      <c r="H7" s="154">
        <f>'Data Clean'!F2/AVERAGE(FS!F72:G72)</f>
        <v>1.1287538548723637</v>
      </c>
      <c r="I7" s="154">
        <f>'Data Clean'!G2/AVERAGE(FS!G72:H72)</f>
        <v>1.3359507289623231</v>
      </c>
      <c r="M7" s="9"/>
      <c r="N7" s="9"/>
      <c r="O7" s="9"/>
      <c r="P7" s="9"/>
      <c r="Q7" s="9"/>
    </row>
    <row r="8" spans="2:17" x14ac:dyDescent="0.35">
      <c r="B8" s="575" t="s">
        <v>1307</v>
      </c>
      <c r="C8" s="578">
        <f>AVERAGE(E8:I8)</f>
        <v>0.13299165586433365</v>
      </c>
      <c r="D8" s="577">
        <f>FS!C23/FS!C72</f>
        <v>0.17089909165143255</v>
      </c>
      <c r="E8" s="560">
        <f>FS!D23/FS!D72</f>
        <v>0.16403346621842002</v>
      </c>
      <c r="F8" s="560">
        <f>FS!E23/FS!E72</f>
        <v>0.14443563314015637</v>
      </c>
      <c r="G8" s="560">
        <f>FS!F23/FS!F72</f>
        <v>0.10362271048213419</v>
      </c>
      <c r="H8" s="560">
        <f>FS!G23/FS!G72</f>
        <v>0.113120090091391</v>
      </c>
      <c r="I8" s="560">
        <f>FS!H23/FS!H72</f>
        <v>0.13974637938956663</v>
      </c>
      <c r="M8" s="9"/>
      <c r="N8" s="9"/>
      <c r="O8" s="9"/>
      <c r="P8" s="9"/>
      <c r="Q8" s="9"/>
    </row>
    <row r="9" spans="2:17" x14ac:dyDescent="0.35">
      <c r="B9" s="575" t="s">
        <v>1308</v>
      </c>
      <c r="C9" s="579">
        <f>AVERAGE(D9:I9)</f>
        <v>1.3949319463756582</v>
      </c>
      <c r="D9" s="580">
        <f>AVERAGE(FS!B72:C72)/AVERAGE(FS!B90:C90)</f>
        <v>1.4881852181796362</v>
      </c>
      <c r="E9" s="154">
        <f>AVERAGE(FS!C72:D72)/AVERAGE(FS!C90:D90)</f>
        <v>1.4442767732283763</v>
      </c>
      <c r="F9" s="154">
        <f>AVERAGE(FS!D72:E72)/AVERAGE(FS!D90:E90)</f>
        <v>1.3693223735860811</v>
      </c>
      <c r="G9" s="154">
        <f>AVERAGE(FS!E72:F72)/AVERAGE(FS!E90:F90)</f>
        <v>1.3308509154499883</v>
      </c>
      <c r="H9" s="154">
        <f>AVERAGE(FS!F72:G72)/AVERAGE(FS!F90:G90)</f>
        <v>1.332107829557396</v>
      </c>
      <c r="I9" s="154">
        <f>AVERAGE(FS!G72:H72)/AVERAGE(FS!G90:H90)</f>
        <v>1.4048485682524712</v>
      </c>
      <c r="M9" s="9"/>
      <c r="N9" s="9"/>
      <c r="O9" s="9"/>
      <c r="P9" s="9"/>
      <c r="Q9" s="9"/>
    </row>
    <row r="10" spans="2:17" x14ac:dyDescent="0.35">
      <c r="B10" s="575" t="s">
        <v>1309</v>
      </c>
      <c r="C10" s="578">
        <f>AVERAGE(D10:I10)</f>
        <v>0.19527841992253747</v>
      </c>
      <c r="D10" s="577">
        <f>FS!C23/FS!C90</f>
        <v>0.25289577285599657</v>
      </c>
      <c r="E10" s="560">
        <f>FS!D23/FS!D90</f>
        <v>0.23204191333267193</v>
      </c>
      <c r="F10" s="560">
        <f>FS!E23/FS!E90</f>
        <v>0.19318737427129926</v>
      </c>
      <c r="G10" s="560">
        <f>FS!F23/FS!F90</f>
        <v>0.13719074202157847</v>
      </c>
      <c r="H10" s="560">
        <f>FS!G23/FS!G90</f>
        <v>0.15157245840064107</v>
      </c>
      <c r="I10" s="560">
        <f>FS!H23/FS!H90</f>
        <v>0.20478225865303762</v>
      </c>
      <c r="M10" s="9"/>
      <c r="N10" s="9"/>
      <c r="O10" s="9"/>
      <c r="P10" s="9"/>
      <c r="Q10" s="9"/>
    </row>
    <row r="11" spans="2:17" x14ac:dyDescent="0.35">
      <c r="B11" s="572" t="s">
        <v>1310</v>
      </c>
      <c r="C11" s="573"/>
      <c r="D11" s="574"/>
      <c r="E11" s="573"/>
      <c r="F11" s="573"/>
      <c r="G11" s="573"/>
      <c r="H11" s="573"/>
      <c r="I11" s="573"/>
      <c r="M11" s="9"/>
      <c r="N11" s="9"/>
      <c r="O11" s="9"/>
      <c r="P11" s="9"/>
      <c r="Q11" s="9"/>
    </row>
    <row r="12" spans="2:17" x14ac:dyDescent="0.35">
      <c r="B12" s="575" t="s">
        <v>1311</v>
      </c>
      <c r="C12" s="581">
        <f>AVERAGE(D12:I12)</f>
        <v>2.8627718337640058</v>
      </c>
      <c r="D12" s="580">
        <f>FS!C32/FS!C75</f>
        <v>2.3009404986568973</v>
      </c>
      <c r="E12" s="154">
        <f>FS!D32/FS!D75</f>
        <v>2.3727057968377734</v>
      </c>
      <c r="F12" s="154">
        <f>FS!E32/FS!E75</f>
        <v>3.3009686228108404</v>
      </c>
      <c r="G12" s="154">
        <f>FS!F32/FS!F75</f>
        <v>3.4065253157643789</v>
      </c>
      <c r="H12" s="154">
        <f>FS!G32/FS!G75</f>
        <v>3.2292369910989298</v>
      </c>
      <c r="I12" s="154">
        <f>FS!H32/FS!H75</f>
        <v>2.566253777415215</v>
      </c>
      <c r="M12" s="9"/>
      <c r="N12" s="9"/>
      <c r="O12" s="9"/>
      <c r="P12" s="9"/>
      <c r="Q12" s="9"/>
    </row>
    <row r="13" spans="2:17" x14ac:dyDescent="0.35">
      <c r="B13" s="575" t="s">
        <v>1312</v>
      </c>
      <c r="C13" s="581">
        <f>AVERAGE(D13:I13)</f>
        <v>1.7161640573298047</v>
      </c>
      <c r="D13" s="580">
        <f>(FS!C32-FS!C44)/FS!C75</f>
        <v>1.2111742609517309</v>
      </c>
      <c r="E13" s="154">
        <f>(FS!D32-FS!D44)/FS!D75</f>
        <v>0.99242784954051544</v>
      </c>
      <c r="F13" s="154">
        <f>(FS!E32-FS!E44)/FS!E75</f>
        <v>2.2510133963256771</v>
      </c>
      <c r="G13" s="154">
        <f>(FS!F32-FS!F44)/FS!F75</f>
        <v>2.3451350348453954</v>
      </c>
      <c r="H13" s="154">
        <f>(FS!G32-FS!G44)/FS!G75</f>
        <v>2.0306903117227484</v>
      </c>
      <c r="I13" s="154">
        <f>(FS!H32-FS!H44)/FS!H75</f>
        <v>1.4665434905927615</v>
      </c>
      <c r="M13" s="9"/>
      <c r="N13" s="9"/>
      <c r="O13" s="9"/>
      <c r="P13" s="9"/>
      <c r="Q13" s="9"/>
    </row>
    <row r="14" spans="2:17" x14ac:dyDescent="0.35">
      <c r="B14" s="572" t="s">
        <v>1313</v>
      </c>
      <c r="C14" s="573"/>
      <c r="D14" s="574"/>
      <c r="E14" s="573"/>
      <c r="F14" s="573"/>
      <c r="G14" s="573"/>
      <c r="H14" s="573"/>
      <c r="I14" s="573"/>
      <c r="M14" s="9"/>
      <c r="N14" s="9"/>
      <c r="O14" s="9"/>
      <c r="P14" s="9"/>
      <c r="Q14" s="9"/>
    </row>
    <row r="15" spans="2:17" x14ac:dyDescent="0.35">
      <c r="B15" s="575" t="s">
        <v>1314</v>
      </c>
      <c r="C15" s="579">
        <f>AVERAGE(D15:I15)</f>
        <v>9.3326022267974151E-2</v>
      </c>
      <c r="D15" s="71">
        <f>(FS!C87+FS!C82)/FS!C72</f>
        <v>0.10585394230560924</v>
      </c>
      <c r="E15" s="71">
        <f>(FS!D87+FS!D82)/FS!D72</f>
        <v>0.12378945676032903</v>
      </c>
      <c r="F15" s="71">
        <f>(FS!E87+FS!E82)/FS!E72</f>
        <v>9.1422596055826991E-2</v>
      </c>
      <c r="G15" s="71">
        <f>(FS!F87+FS!F82)/FS!F72</f>
        <v>7.7359546956235578E-2</v>
      </c>
      <c r="H15" s="71">
        <f>(FS!G87+FS!G82)/FS!G72</f>
        <v>7.561372349690923E-2</v>
      </c>
      <c r="I15" s="71">
        <f>(FS!H87+FS!H82)/FS!H72</f>
        <v>8.5916868032934843E-2</v>
      </c>
      <c r="M15" s="9"/>
      <c r="N15" s="9"/>
      <c r="O15" s="9"/>
      <c r="P15" s="9"/>
      <c r="Q15" s="9"/>
    </row>
    <row r="16" spans="2:17" x14ac:dyDescent="0.35">
      <c r="B16" s="575" t="s">
        <v>1315</v>
      </c>
      <c r="C16" s="579">
        <f>AVERAGE(D16:I16)</f>
        <v>0.13061223739554337</v>
      </c>
      <c r="D16" s="580">
        <f>(FS!C82+FS!C87)/FS!C89</f>
        <v>0.1566422284082791</v>
      </c>
      <c r="E16" s="594">
        <f>(FS!D82+FS!D87)/FS!D89</f>
        <v>0.17511269534980556</v>
      </c>
      <c r="F16" s="594">
        <f>(FS!E82+FS!E87)/FS!E89</f>
        <v>0.12228070661726831</v>
      </c>
      <c r="G16" s="594">
        <f>(FS!F82+FS!F87)/FS!F89</f>
        <v>0.10241976493375854</v>
      </c>
      <c r="H16" s="594">
        <f>(FS!G82+FS!G87)/FS!G89</f>
        <v>0.10131673295162169</v>
      </c>
      <c r="I16" s="594">
        <f>(FS!H82+FS!H87)/FS!H89</f>
        <v>0.12590129611252696</v>
      </c>
      <c r="M16" s="9"/>
      <c r="N16" s="9"/>
      <c r="O16" s="9"/>
      <c r="P16" s="9"/>
      <c r="Q16" s="9"/>
    </row>
    <row r="17" spans="2:17" x14ac:dyDescent="0.35">
      <c r="B17" s="575" t="s">
        <v>1316</v>
      </c>
      <c r="C17" s="70">
        <f>AVERAGE(D17:I17)</f>
        <v>-7.7696728757992967E-2</v>
      </c>
      <c r="D17" s="582">
        <f>(FS!C82+FS!C87-FS!C33)/FS!C89</f>
        <v>-0.17721105608102425</v>
      </c>
      <c r="E17" s="70">
        <f>(FS!D82+FS!D87-FS!D33)/FS!D89</f>
        <v>6.0140784030144369E-2</v>
      </c>
      <c r="F17" s="70">
        <f>(FS!E82+FS!E87-FS!E33)/FS!E89</f>
        <v>1.6659808329751703E-2</v>
      </c>
      <c r="G17" s="70">
        <f>(FS!F82+FS!F87-FS!F33)/FS!F89</f>
        <v>-0.11018035705255377</v>
      </c>
      <c r="H17" s="70">
        <f>(FS!G82+FS!G87-FS!G33)/FS!G89</f>
        <v>-0.17444555791235114</v>
      </c>
      <c r="I17" s="70">
        <f>(FS!H82+FS!H87-FS!H33)/FS!H89</f>
        <v>-8.1143993861924654E-2</v>
      </c>
      <c r="M17" s="9"/>
      <c r="N17" s="9"/>
      <c r="O17" s="9"/>
      <c r="P17" s="9"/>
      <c r="Q17" s="9"/>
    </row>
    <row r="18" spans="2:17" x14ac:dyDescent="0.35">
      <c r="B18" s="575" t="s">
        <v>1317</v>
      </c>
      <c r="C18" s="579">
        <f>AVERAGE(D18:I18)</f>
        <v>41.072836363305328</v>
      </c>
      <c r="D18" s="580">
        <f>FS!C17/FS_IS[[#This Row],[2017]]</f>
        <v>36.220567541144113</v>
      </c>
      <c r="E18" s="594">
        <f>FS!D17/FS_IS[[#This Row],[2018]]</f>
        <v>34.273051258980004</v>
      </c>
      <c r="F18" s="594">
        <f>FS!E17/FS_IS[[#This Row],[2019]]</f>
        <v>39.204442899862194</v>
      </c>
      <c r="G18" s="594">
        <f>FS!F17/FS_IS[[#This Row],[2020]]</f>
        <v>26.615154438024749</v>
      </c>
      <c r="H18" s="594">
        <f>FS!G17/FS_IS[[#This Row],[2021]]</f>
        <v>52.077776347865168</v>
      </c>
      <c r="I18" s="594">
        <f>FS!H17/FS_IS[[#This Row],[2022]]</f>
        <v>58.046025693955748</v>
      </c>
      <c r="M18" s="9"/>
      <c r="N18" s="9"/>
      <c r="O18" s="9"/>
      <c r="P18" s="9"/>
      <c r="Q18" s="9"/>
    </row>
    <row r="19" spans="2:17" x14ac:dyDescent="0.35">
      <c r="B19" s="572" t="s">
        <v>1318</v>
      </c>
      <c r="C19" s="569" t="s">
        <v>1</v>
      </c>
      <c r="D19" s="570">
        <v>2017</v>
      </c>
      <c r="E19" s="571">
        <v>2018</v>
      </c>
      <c r="F19" s="571">
        <v>2019</v>
      </c>
      <c r="G19" s="571">
        <v>2020</v>
      </c>
      <c r="H19" s="571">
        <v>2021</v>
      </c>
      <c r="I19" s="571">
        <v>2022</v>
      </c>
      <c r="M19" s="9"/>
      <c r="N19" s="9"/>
      <c r="O19" s="9"/>
      <c r="P19" s="9"/>
      <c r="Q19" s="9"/>
    </row>
    <row r="20" spans="2:17" s="57" customFormat="1" x14ac:dyDescent="0.35">
      <c r="B20" s="583" t="s">
        <v>1319</v>
      </c>
      <c r="C20" s="579">
        <f t="shared" ref="C20:C28" si="0">AVERAGE(D20:I20)</f>
        <v>2.8058142523117859</v>
      </c>
      <c r="D20" s="580">
        <f>FS!C3/AVERAGE(FS!B45:C45)</f>
        <v>3.0881139732840075</v>
      </c>
      <c r="E20" s="594">
        <f>FS!D3/AVERAGE(FS!C45:D45)</f>
        <v>2.8916080748476194</v>
      </c>
      <c r="F20" s="594">
        <f>FS!E3/AVERAGE(FS!D45:E45)</f>
        <v>3.1262666548709075</v>
      </c>
      <c r="G20" s="594">
        <f>FS!F3/AVERAGE(FS!E45:F45)</f>
        <v>2.8383257646903681</v>
      </c>
      <c r="H20" s="594">
        <f>FS!G3/AVERAGE(FS!F45:G45)</f>
        <v>2.4480215947196826</v>
      </c>
      <c r="I20" s="594">
        <f>FS!H3/AVERAGE(FS!G45:H45)</f>
        <v>2.4425494514581327</v>
      </c>
      <c r="M20" s="9"/>
      <c r="N20" s="9"/>
      <c r="O20" s="9"/>
      <c r="P20" s="9"/>
      <c r="Q20" s="9"/>
    </row>
    <row r="21" spans="2:17" s="57" customFormat="1" x14ac:dyDescent="0.35">
      <c r="B21" s="584" t="s">
        <v>1321</v>
      </c>
      <c r="C21" s="579">
        <f t="shared" si="0"/>
        <v>131.3843489131576</v>
      </c>
      <c r="D21" s="580">
        <f>365/D20</f>
        <v>118.19511946699504</v>
      </c>
      <c r="E21" s="580">
        <f t="shared" ref="E21:I21" si="1">365/E20</f>
        <v>126.22734151800105</v>
      </c>
      <c r="F21" s="580">
        <f t="shared" si="1"/>
        <v>116.7526766890817</v>
      </c>
      <c r="G21" s="580">
        <f t="shared" si="1"/>
        <v>128.59693715947284</v>
      </c>
      <c r="H21" s="580">
        <f t="shared" si="1"/>
        <v>149.09999192298599</v>
      </c>
      <c r="I21" s="580">
        <f t="shared" si="1"/>
        <v>149.43402672240899</v>
      </c>
      <c r="M21" s="9"/>
      <c r="N21" s="9"/>
      <c r="O21" s="9"/>
      <c r="P21" s="9"/>
      <c r="Q21" s="9"/>
    </row>
    <row r="22" spans="2:17" x14ac:dyDescent="0.35">
      <c r="B22" s="583" t="s">
        <v>1322</v>
      </c>
      <c r="C22" s="579">
        <f t="shared" si="0"/>
        <v>8.9947179770314332</v>
      </c>
      <c r="D22" s="580">
        <f>FS!C2/AVERAGE(FS!B38:C38)</f>
        <v>15.256400677765413</v>
      </c>
      <c r="E22" s="154">
        <f>FS!D2/AVERAGE(FS!C38:D38)</f>
        <v>10.523048073316485</v>
      </c>
      <c r="F22" s="154">
        <f>FS!E2/AVERAGE(FS!D38:E38)</f>
        <v>7.0754808218548328</v>
      </c>
      <c r="G22" s="154">
        <f>FS!F2/AVERAGE(FS!E38:F38)</f>
        <v>5.388037579945725</v>
      </c>
      <c r="H22" s="154">
        <f>FS!G2/AVERAGE(FS!F38:G38)</f>
        <v>6.5611849562386002</v>
      </c>
      <c r="I22" s="154">
        <f>FS!H2/AVERAGE(FS!G38:H38)</f>
        <v>9.1641557530675382</v>
      </c>
      <c r="M22" s="9"/>
      <c r="N22" s="9"/>
      <c r="O22" s="9"/>
      <c r="P22" s="9"/>
      <c r="Q22" s="9"/>
    </row>
    <row r="23" spans="2:17" s="57" customFormat="1" x14ac:dyDescent="0.35">
      <c r="B23" s="584" t="s">
        <v>1323</v>
      </c>
      <c r="C23" s="579">
        <f t="shared" si="0"/>
        <v>45.566449976955234</v>
      </c>
      <c r="D23" s="580">
        <f>365/D22</f>
        <v>23.924384768679339</v>
      </c>
      <c r="E23" s="580">
        <f t="shared" ref="E23:I23" si="2">365/E22</f>
        <v>34.685767608107597</v>
      </c>
      <c r="F23" s="580">
        <f t="shared" si="2"/>
        <v>51.586600146322702</v>
      </c>
      <c r="G23" s="580">
        <f t="shared" si="2"/>
        <v>67.742660399869877</v>
      </c>
      <c r="H23" s="580">
        <f t="shared" si="2"/>
        <v>55.630195221511848</v>
      </c>
      <c r="I23" s="580">
        <f t="shared" si="2"/>
        <v>39.829091717240047</v>
      </c>
      <c r="M23" s="9"/>
      <c r="N23" s="9"/>
      <c r="O23" s="9"/>
      <c r="P23" s="9"/>
      <c r="Q23" s="9"/>
    </row>
    <row r="24" spans="2:17" x14ac:dyDescent="0.35">
      <c r="B24" s="583" t="s">
        <v>1320</v>
      </c>
      <c r="C24" s="581">
        <f t="shared" si="0"/>
        <v>176.95079889011285</v>
      </c>
      <c r="D24" s="580">
        <f>D21+D23</f>
        <v>142.11950423567438</v>
      </c>
      <c r="E24" s="580">
        <f t="shared" ref="E24:I24" si="3">E21+E23</f>
        <v>160.91310912610865</v>
      </c>
      <c r="F24" s="580">
        <f t="shared" si="3"/>
        <v>168.33927683540441</v>
      </c>
      <c r="G24" s="580">
        <f t="shared" si="3"/>
        <v>196.33959755934274</v>
      </c>
      <c r="H24" s="580">
        <f t="shared" si="3"/>
        <v>204.73018714449785</v>
      </c>
      <c r="I24" s="580">
        <f t="shared" si="3"/>
        <v>189.26311843964902</v>
      </c>
      <c r="M24" s="9"/>
      <c r="N24" s="9"/>
      <c r="O24" s="9"/>
      <c r="P24" s="9"/>
      <c r="Q24" s="9"/>
    </row>
    <row r="25" spans="2:17" s="57" customFormat="1" x14ac:dyDescent="0.35">
      <c r="B25" s="583" t="s">
        <v>1324</v>
      </c>
      <c r="C25" s="581">
        <f t="shared" si="0"/>
        <v>157.5990892007629</v>
      </c>
      <c r="D25" s="580">
        <f>SUM(D26:D27)-D28</f>
        <v>105.40882311622357</v>
      </c>
      <c r="E25" s="580">
        <f>SUM(E26:E27)-E28</f>
        <v>128.18202624152039</v>
      </c>
      <c r="F25" s="580">
        <f t="shared" ref="F25:I25" si="4">SUM(F26:F27)-F28</f>
        <v>135.79544514230119</v>
      </c>
      <c r="G25" s="154">
        <f t="shared" si="4"/>
        <v>266.6557350814374</v>
      </c>
      <c r="H25" s="154">
        <f t="shared" si="4"/>
        <v>164.2396820628687</v>
      </c>
      <c r="I25" s="154">
        <f t="shared" si="4"/>
        <v>145.31282356022615</v>
      </c>
      <c r="M25" s="9"/>
      <c r="N25" s="9"/>
      <c r="O25" s="9"/>
      <c r="P25" s="9"/>
      <c r="Q25" s="9"/>
    </row>
    <row r="26" spans="2:17" x14ac:dyDescent="0.35">
      <c r="B26" s="584" t="s">
        <v>1325</v>
      </c>
      <c r="C26" s="579">
        <f t="shared" si="0"/>
        <v>127.27804652273596</v>
      </c>
      <c r="D26" s="580">
        <f>(AVERAGE(FS!B44:C44)/FS!C3)*365</f>
        <v>114.11696766590737</v>
      </c>
      <c r="E26" s="154">
        <f>(AVERAGE(FS!C44:D44)/FS!D3)*365</f>
        <v>122.57671158162459</v>
      </c>
      <c r="F26" s="154">
        <f>(AVERAGE(FS!D44:E44)/FS!E3)*365</f>
        <v>112.5062977256401</v>
      </c>
      <c r="G26" s="154">
        <f>(AVERAGE(FS!E44:F44)/FS!F3)*365</f>
        <v>122.70099642751731</v>
      </c>
      <c r="H26" s="154">
        <f>(AVERAGE(FS!F44:G44)/FS!G3)*365</f>
        <v>144.8689433656433</v>
      </c>
      <c r="I26" s="154">
        <f>(AVERAGE(FS!G44:H44)/FS!H3)*365</f>
        <v>146.89836237008308</v>
      </c>
      <c r="M26" s="9"/>
      <c r="N26" s="9"/>
      <c r="O26" s="9"/>
      <c r="P26" s="9"/>
      <c r="Q26" s="9"/>
    </row>
    <row r="27" spans="2:17" x14ac:dyDescent="0.35">
      <c r="B27" s="584" t="s">
        <v>1326</v>
      </c>
      <c r="C27" s="579">
        <f t="shared" si="0"/>
        <v>56.803720015673299</v>
      </c>
      <c r="D27" s="580">
        <f>(AVERAGE(FS!B38:C38)/(FS!C2/365))</f>
        <v>23.924384768679342</v>
      </c>
      <c r="E27" s="154">
        <f>(AVERAGE(FS!C38:D38)/(FS!D2/365))</f>
        <v>34.685767608107597</v>
      </c>
      <c r="F27" s="154">
        <f>(AVERAGE(FS!D38:E38)/(FS!E2/365))</f>
        <v>51.586600146322709</v>
      </c>
      <c r="G27" s="154">
        <f>(AVERAGE(FS!E45:F45)/FS!F4)*365</f>
        <v>135.16628063217829</v>
      </c>
      <c r="H27" s="154">
        <f>(AVERAGE(FS!F38:G38)/(FS!G2/365))</f>
        <v>55.63019522151184</v>
      </c>
      <c r="I27" s="154">
        <f>(AVERAGE(FS!G38:H38)/(FS!H2/365))</f>
        <v>39.829091717240047</v>
      </c>
      <c r="M27" s="9"/>
      <c r="N27" s="9"/>
      <c r="O27" s="9"/>
      <c r="P27" s="9"/>
      <c r="Q27" s="9"/>
    </row>
    <row r="28" spans="2:17" x14ac:dyDescent="0.35">
      <c r="B28" s="584" t="s">
        <v>1327</v>
      </c>
      <c r="C28" s="579">
        <f t="shared" si="0"/>
        <v>26.482677337646354</v>
      </c>
      <c r="D28" s="580">
        <f>AVERAGE(FS!B76:C76)/(FS!C3/365)</f>
        <v>32.632529318363147</v>
      </c>
      <c r="E28" s="154">
        <f>AVERAGE(FS!C76:D76)/(FS!D3/365)</f>
        <v>29.080452948211796</v>
      </c>
      <c r="F28" s="154">
        <f>AVERAGE(FS!D76:E76)/(FS!E3/365)</f>
        <v>28.297452729661625</v>
      </c>
      <c r="G28" s="154">
        <f>(AVERAGE(FS!E46:F46)/FS!F5)*365</f>
        <v>-8.7884580217418282</v>
      </c>
      <c r="H28" s="154">
        <f>AVERAGE(FS!F76:G76)/(FS!G3/365)</f>
        <v>36.259456524286435</v>
      </c>
      <c r="I28" s="154">
        <f>AVERAGE(FS!G76:H76)/(FS!H3/365)</f>
        <v>41.414630527096961</v>
      </c>
      <c r="M28" s="9"/>
      <c r="N28" s="9"/>
      <c r="O28" s="9"/>
      <c r="P28" s="9"/>
      <c r="Q28" s="9"/>
    </row>
    <row r="29" spans="2:17" x14ac:dyDescent="0.35">
      <c r="B29" s="572" t="s">
        <v>1328</v>
      </c>
      <c r="C29" s="573"/>
      <c r="D29" s="574"/>
      <c r="E29" s="573"/>
      <c r="F29" s="573"/>
      <c r="G29" s="573"/>
      <c r="H29" s="573"/>
      <c r="I29" s="573"/>
      <c r="M29" s="9"/>
      <c r="N29" s="9"/>
      <c r="O29" s="9"/>
      <c r="P29" s="9"/>
      <c r="Q29" s="9"/>
    </row>
    <row r="30" spans="2:17" x14ac:dyDescent="0.35">
      <c r="B30" s="575" t="s">
        <v>1329</v>
      </c>
      <c r="C30" s="585">
        <f>AVERAGE(D30:I30)</f>
        <v>3927.8333333333335</v>
      </c>
      <c r="D30" s="586">
        <f>FS!C25</f>
        <v>4833</v>
      </c>
      <c r="E30" s="155">
        <f>FS!D25</f>
        <v>4031</v>
      </c>
      <c r="F30" s="155">
        <f>FS!E25</f>
        <v>4084</v>
      </c>
      <c r="G30" s="155">
        <f>FS!F25</f>
        <v>2775</v>
      </c>
      <c r="H30" s="155">
        <f>FS!G25</f>
        <v>3201</v>
      </c>
      <c r="I30" s="155">
        <f>FS!H25</f>
        <v>4643</v>
      </c>
      <c r="M30" s="9"/>
      <c r="N30" s="9"/>
      <c r="O30" s="9"/>
      <c r="P30" s="9"/>
      <c r="Q30" s="9"/>
    </row>
    <row r="31" spans="2:17" x14ac:dyDescent="0.35">
      <c r="B31" s="31" t="s">
        <v>1459</v>
      </c>
      <c r="C31" s="576"/>
      <c r="D31" s="587">
        <v>20966</v>
      </c>
      <c r="E31" s="155">
        <v>19303</v>
      </c>
      <c r="F31" s="155">
        <v>23228</v>
      </c>
      <c r="G31" s="155">
        <v>22473</v>
      </c>
      <c r="H31" s="155">
        <v>23467</v>
      </c>
      <c r="I31" s="155">
        <v>25167</v>
      </c>
      <c r="M31" s="9"/>
      <c r="N31" s="9"/>
      <c r="O31" s="9"/>
      <c r="P31" s="9"/>
      <c r="Q31" s="9"/>
    </row>
    <row r="32" spans="2:17" x14ac:dyDescent="0.35">
      <c r="B32" s="31" t="s">
        <v>1412</v>
      </c>
      <c r="C32" s="576"/>
      <c r="D32" s="70"/>
      <c r="E32" s="70">
        <f>1/(E31/Beta!J1124)</f>
        <v>2.9880847536652331</v>
      </c>
      <c r="F32" s="70">
        <f>1/(F31/Beta!J874)</f>
        <v>1.7177544343034268</v>
      </c>
      <c r="G32" s="588">
        <f>1/(G31/Beta!J622)</f>
        <v>1.555244070662573</v>
      </c>
      <c r="H32" s="70">
        <f>1/(H31/Beta!J372)</f>
        <v>1.7992926236843227</v>
      </c>
      <c r="I32" s="70">
        <f>1/(I31/Beta!J123)</f>
        <v>2.0264632256526403</v>
      </c>
      <c r="M32" s="9"/>
      <c r="N32" s="9"/>
      <c r="O32" s="9"/>
      <c r="P32" s="9"/>
      <c r="Q32" s="9"/>
    </row>
    <row r="38" spans="5:5" x14ac:dyDescent="0.35">
      <c r="E38" t="s">
        <v>1458</v>
      </c>
    </row>
  </sheetData>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8CAB-3BED-42DE-A715-B84BB023780E}">
  <sheetPr>
    <tabColor rgb="FFFFFF00"/>
  </sheetPr>
  <dimension ref="A1:I19"/>
  <sheetViews>
    <sheetView zoomScaleNormal="100" workbookViewId="0">
      <selection activeCell="B5" sqref="B5:H12"/>
    </sheetView>
  </sheetViews>
  <sheetFormatPr defaultColWidth="8.81640625" defaultRowHeight="14.5" x14ac:dyDescent="0.35"/>
  <cols>
    <col min="1" max="1" width="34.1796875" bestFit="1" customWidth="1"/>
    <col min="2" max="2" width="10.453125" bestFit="1" customWidth="1"/>
    <col min="3" max="8" width="7.81640625" bestFit="1" customWidth="1"/>
  </cols>
  <sheetData>
    <row r="1" spans="1:9" ht="16" thickBot="1" x14ac:dyDescent="0.4">
      <c r="A1" s="62" t="s">
        <v>0</v>
      </c>
      <c r="B1" s="62" t="s">
        <v>1</v>
      </c>
      <c r="C1" s="259" t="s">
        <v>2</v>
      </c>
      <c r="D1" s="259" t="s">
        <v>3</v>
      </c>
      <c r="E1" s="259" t="s">
        <v>4</v>
      </c>
      <c r="F1" s="259" t="s">
        <v>5</v>
      </c>
      <c r="G1" s="259" t="s">
        <v>6</v>
      </c>
      <c r="H1" s="259" t="s">
        <v>7</v>
      </c>
    </row>
    <row r="2" spans="1:9" x14ac:dyDescent="0.35">
      <c r="A2" t="s">
        <v>8</v>
      </c>
      <c r="B2" s="9">
        <f>AVERAGE(C2:H2)</f>
        <v>0.46641704725856276</v>
      </c>
      <c r="C2" s="322">
        <f>-FS!C122/FS!B23</f>
        <v>0.60868251633108184</v>
      </c>
      <c r="D2" s="322">
        <f>-FS!D122/FS!C23</f>
        <v>0.80394870354809167</v>
      </c>
      <c r="E2" s="322">
        <f>-FS!E122/FS!D23</f>
        <v>0.28717817781665644</v>
      </c>
      <c r="F2" s="322">
        <f>-FS!F122/FS!E23</f>
        <v>0.24374128826955038</v>
      </c>
      <c r="G2" s="322">
        <f>-FS!G122/FS!F23</f>
        <v>0.24201562707234972</v>
      </c>
      <c r="H2" s="322">
        <f>-FS!H122/FS!G23</f>
        <v>0.61293597051364668</v>
      </c>
    </row>
    <row r="3" spans="1:9" x14ac:dyDescent="0.35">
      <c r="A3" t="s">
        <v>9</v>
      </c>
      <c r="B3" s="9">
        <f>AVERAGE(C3:H3)</f>
        <v>0.16634197338659196</v>
      </c>
      <c r="C3" s="9">
        <f>FS!C106/FS!C54</f>
        <v>0.13851733308607828</v>
      </c>
      <c r="D3" s="9">
        <f>FS!D106/FS!D54</f>
        <v>0.15820286546047027</v>
      </c>
      <c r="E3" s="9">
        <f>FS!E106/FS!E54</f>
        <v>0.16705293586637571</v>
      </c>
      <c r="F3" s="9">
        <f>FS!F106/FS!F54</f>
        <v>0.17348803929279016</v>
      </c>
      <c r="G3" s="9">
        <f>FS!G106/FS!G54</f>
        <v>0.18835276765616249</v>
      </c>
      <c r="H3" s="9">
        <f>FS!H106/FS!H54</f>
        <v>0.17243789895767495</v>
      </c>
    </row>
    <row r="5" spans="1:9" x14ac:dyDescent="0.35">
      <c r="A5" s="595" t="s">
        <v>10</v>
      </c>
      <c r="B5" s="607" t="s">
        <v>1613</v>
      </c>
      <c r="C5" s="607"/>
      <c r="D5" s="607"/>
      <c r="E5" s="607"/>
      <c r="F5" s="607"/>
      <c r="G5" s="607"/>
      <c r="H5" s="608"/>
    </row>
    <row r="6" spans="1:9" x14ac:dyDescent="0.35">
      <c r="A6" s="596"/>
      <c r="B6" s="609"/>
      <c r="C6" s="609"/>
      <c r="D6" s="609"/>
      <c r="E6" s="609"/>
      <c r="F6" s="609"/>
      <c r="G6" s="609"/>
      <c r="H6" s="610"/>
    </row>
    <row r="7" spans="1:9" x14ac:dyDescent="0.35">
      <c r="A7" s="596"/>
      <c r="B7" s="609"/>
      <c r="C7" s="609"/>
      <c r="D7" s="609"/>
      <c r="E7" s="609"/>
      <c r="F7" s="609"/>
      <c r="G7" s="609"/>
      <c r="H7" s="610"/>
    </row>
    <row r="8" spans="1:9" x14ac:dyDescent="0.35">
      <c r="A8" s="596"/>
      <c r="B8" s="609"/>
      <c r="C8" s="609"/>
      <c r="D8" s="609"/>
      <c r="E8" s="609"/>
      <c r="F8" s="609"/>
      <c r="G8" s="609"/>
      <c r="H8" s="610"/>
    </row>
    <row r="9" spans="1:9" x14ac:dyDescent="0.35">
      <c r="A9" s="596"/>
      <c r="B9" s="609" t="s">
        <v>1614</v>
      </c>
      <c r="C9" s="609"/>
      <c r="D9" s="609"/>
      <c r="E9" s="609"/>
      <c r="F9" s="609"/>
      <c r="G9" s="609"/>
      <c r="H9" s="610"/>
    </row>
    <row r="10" spans="1:9" x14ac:dyDescent="0.35">
      <c r="A10" s="596"/>
      <c r="B10" s="609"/>
      <c r="C10" s="609"/>
      <c r="D10" s="609"/>
      <c r="E10" s="609"/>
      <c r="F10" s="609"/>
      <c r="G10" s="609"/>
      <c r="H10" s="610"/>
    </row>
    <row r="11" spans="1:9" x14ac:dyDescent="0.35">
      <c r="A11" s="596"/>
      <c r="B11" s="609"/>
      <c r="C11" s="609"/>
      <c r="D11" s="609"/>
      <c r="E11" s="609"/>
      <c r="F11" s="609"/>
      <c r="G11" s="609"/>
      <c r="H11" s="610"/>
    </row>
    <row r="12" spans="1:9" x14ac:dyDescent="0.35">
      <c r="A12" s="597"/>
      <c r="B12" s="611"/>
      <c r="C12" s="611"/>
      <c r="D12" s="611"/>
      <c r="E12" s="611"/>
      <c r="F12" s="611"/>
      <c r="G12" s="611"/>
      <c r="H12" s="612"/>
    </row>
    <row r="14" spans="1:9" x14ac:dyDescent="0.35">
      <c r="A14" s="598" t="s">
        <v>11</v>
      </c>
      <c r="B14" s="601" t="s">
        <v>12</v>
      </c>
      <c r="C14" s="601"/>
      <c r="D14" s="601"/>
      <c r="E14" s="601"/>
      <c r="F14" s="601"/>
      <c r="G14" s="601"/>
      <c r="H14" s="602"/>
      <c r="I14" s="258"/>
    </row>
    <row r="15" spans="1:9" x14ac:dyDescent="0.35">
      <c r="A15" s="599"/>
      <c r="B15" s="603"/>
      <c r="C15" s="603"/>
      <c r="D15" s="603"/>
      <c r="E15" s="603"/>
      <c r="F15" s="603"/>
      <c r="G15" s="603"/>
      <c r="H15" s="604"/>
      <c r="I15" s="258"/>
    </row>
    <row r="16" spans="1:9" x14ac:dyDescent="0.35">
      <c r="A16" s="599"/>
      <c r="B16" s="603"/>
      <c r="C16" s="603"/>
      <c r="D16" s="603"/>
      <c r="E16" s="603"/>
      <c r="F16" s="603"/>
      <c r="G16" s="603"/>
      <c r="H16" s="604"/>
      <c r="I16" s="258"/>
    </row>
    <row r="17" spans="1:9" x14ac:dyDescent="0.35">
      <c r="A17" s="599"/>
      <c r="B17" s="603"/>
      <c r="C17" s="603"/>
      <c r="D17" s="603"/>
      <c r="E17" s="603"/>
      <c r="F17" s="603"/>
      <c r="G17" s="603"/>
      <c r="H17" s="604"/>
      <c r="I17" s="258"/>
    </row>
    <row r="18" spans="1:9" x14ac:dyDescent="0.35">
      <c r="A18" s="599"/>
      <c r="B18" s="603"/>
      <c r="C18" s="603"/>
      <c r="D18" s="603"/>
      <c r="E18" s="603"/>
      <c r="F18" s="603"/>
      <c r="G18" s="603"/>
      <c r="H18" s="604"/>
      <c r="I18" s="258"/>
    </row>
    <row r="19" spans="1:9" x14ac:dyDescent="0.35">
      <c r="A19" s="600"/>
      <c r="B19" s="605"/>
      <c r="C19" s="605"/>
      <c r="D19" s="605"/>
      <c r="E19" s="605"/>
      <c r="F19" s="605"/>
      <c r="G19" s="605"/>
      <c r="H19" s="606"/>
      <c r="I19" s="258"/>
    </row>
  </sheetData>
  <mergeCells count="5">
    <mergeCell ref="A5:A12"/>
    <mergeCell ref="A14:A19"/>
    <mergeCell ref="B14:H19"/>
    <mergeCell ref="B5:H8"/>
    <mergeCell ref="B9:H12"/>
  </mergeCell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15F2A-7BDD-43FD-8409-5E1FBAEF7694}">
  <sheetPr codeName="Sheet2">
    <tabColor rgb="FFFFFF00"/>
  </sheetPr>
  <dimension ref="A1:M45"/>
  <sheetViews>
    <sheetView zoomScaleNormal="100" workbookViewId="0">
      <selection activeCell="I36" sqref="I36"/>
    </sheetView>
  </sheetViews>
  <sheetFormatPr defaultColWidth="8.81640625" defaultRowHeight="14.5" x14ac:dyDescent="0.35"/>
  <cols>
    <col min="1" max="1" width="17.81640625" bestFit="1" customWidth="1"/>
    <col min="2" max="7" width="19" bestFit="1" customWidth="1"/>
    <col min="8" max="8" width="23.81640625" customWidth="1"/>
    <col min="9" max="9" width="19.81640625" bestFit="1" customWidth="1"/>
    <col min="10" max="14" width="19" bestFit="1" customWidth="1"/>
  </cols>
  <sheetData>
    <row r="1" spans="1:13" ht="15.5" x14ac:dyDescent="0.35">
      <c r="A1" s="260" t="s">
        <v>0</v>
      </c>
      <c r="B1" s="260" t="s">
        <v>13</v>
      </c>
      <c r="C1" s="260" t="s">
        <v>2</v>
      </c>
      <c r="D1" s="260" t="s">
        <v>3</v>
      </c>
      <c r="E1" s="260" t="s">
        <v>4</v>
      </c>
      <c r="F1" s="260" t="s">
        <v>5</v>
      </c>
      <c r="G1" s="260" t="s">
        <v>6</v>
      </c>
      <c r="H1" s="261" t="s">
        <v>7</v>
      </c>
    </row>
    <row r="2" spans="1:13" x14ac:dyDescent="0.35">
      <c r="A2" s="166" t="s">
        <v>40</v>
      </c>
      <c r="B2" s="166">
        <f>Raw_Data_IS[[#This Row],[2016]]</f>
        <v>2180202835116</v>
      </c>
      <c r="C2" s="166">
        <f>'Raw Data'!C4</f>
        <v>2497400717875</v>
      </c>
      <c r="D2" s="166">
        <f>'Raw Data'!D4</f>
        <v>2855776350214</v>
      </c>
      <c r="E2" s="166">
        <f>'Raw Data'!E4</f>
        <v>3252481516052</v>
      </c>
      <c r="F2" s="166">
        <f>'Raw Data'!F4</f>
        <v>2684551950336</v>
      </c>
      <c r="G2" s="166">
        <f>'Raw Data'!G4</f>
        <v>2668275093087</v>
      </c>
      <c r="H2" s="166">
        <f>'Raw Data'!H4</f>
        <v>3520857948925</v>
      </c>
    </row>
    <row r="4" spans="1:13" x14ac:dyDescent="0.35">
      <c r="A4" t="s">
        <v>14</v>
      </c>
      <c r="B4" t="s">
        <v>13</v>
      </c>
      <c r="C4" t="s">
        <v>2</v>
      </c>
      <c r="D4" t="s">
        <v>3</v>
      </c>
      <c r="E4" t="s">
        <v>4</v>
      </c>
      <c r="F4" t="s">
        <v>5</v>
      </c>
      <c r="G4" s="14" t="s">
        <v>6</v>
      </c>
      <c r="J4" s="593" t="s">
        <v>15</v>
      </c>
    </row>
    <row r="5" spans="1:13" x14ac:dyDescent="0.35">
      <c r="A5" t="s">
        <v>16</v>
      </c>
      <c r="B5" s="10">
        <v>0.42899999999999999</v>
      </c>
      <c r="C5" s="10">
        <v>0.41299999999999998</v>
      </c>
      <c r="D5" s="10">
        <v>0.41</v>
      </c>
      <c r="E5" s="10">
        <v>0.38</v>
      </c>
      <c r="F5" s="10">
        <v>0.4</v>
      </c>
      <c r="G5" s="15">
        <v>0.44</v>
      </c>
      <c r="H5" s="17"/>
      <c r="I5" s="17"/>
      <c r="J5" s="17" t="s">
        <v>17</v>
      </c>
      <c r="K5" s="613" t="s">
        <v>18</v>
      </c>
      <c r="L5" s="613"/>
      <c r="M5" s="613"/>
    </row>
    <row r="6" spans="1:13" x14ac:dyDescent="0.35">
      <c r="A6" t="s">
        <v>19</v>
      </c>
      <c r="B6" s="10">
        <v>0.27400000000000002</v>
      </c>
      <c r="C6" s="10">
        <v>0.29299999999999998</v>
      </c>
      <c r="D6" s="10">
        <v>0.32</v>
      </c>
      <c r="E6" s="10">
        <v>0.32400000000000001</v>
      </c>
      <c r="F6" s="10">
        <v>0.32</v>
      </c>
      <c r="G6" s="15">
        <v>0.34</v>
      </c>
      <c r="H6" s="17"/>
      <c r="I6" s="17"/>
      <c r="J6" s="17" t="s">
        <v>20</v>
      </c>
      <c r="K6" s="613" t="s">
        <v>21</v>
      </c>
      <c r="L6" s="613"/>
      <c r="M6" s="613"/>
    </row>
    <row r="7" spans="1:13" x14ac:dyDescent="0.35">
      <c r="A7" t="s">
        <v>22</v>
      </c>
      <c r="B7" s="10">
        <v>8.6999999999999994E-2</v>
      </c>
      <c r="C7" s="10">
        <v>8.5000000000000006E-2</v>
      </c>
      <c r="D7" s="10">
        <v>0.08</v>
      </c>
      <c r="E7" s="10">
        <v>8.1000000000000003E-2</v>
      </c>
      <c r="F7" s="10">
        <v>0.08</v>
      </c>
      <c r="G7" s="15">
        <v>0.09</v>
      </c>
      <c r="H7" s="17"/>
      <c r="I7" s="17"/>
      <c r="J7" s="17" t="s">
        <v>23</v>
      </c>
      <c r="K7" s="614" t="s">
        <v>24</v>
      </c>
      <c r="L7" s="614"/>
      <c r="M7" s="614"/>
    </row>
    <row r="8" spans="1:13" x14ac:dyDescent="0.35">
      <c r="A8" t="s">
        <v>25</v>
      </c>
      <c r="B8" s="10">
        <v>0.126</v>
      </c>
      <c r="C8" s="10">
        <v>9.0999999999999998E-2</v>
      </c>
      <c r="D8" s="10">
        <v>0.09</v>
      </c>
      <c r="E8" s="10">
        <v>8.6999999999999994E-2</v>
      </c>
      <c r="F8" s="10">
        <v>0.12</v>
      </c>
      <c r="G8" s="15">
        <v>0.12</v>
      </c>
      <c r="H8" s="17"/>
      <c r="I8" s="17"/>
      <c r="J8" s="17" t="s">
        <v>26</v>
      </c>
      <c r="K8" s="613" t="s">
        <v>27</v>
      </c>
      <c r="L8" s="613"/>
      <c r="M8" s="613"/>
    </row>
    <row r="9" spans="1:13" x14ac:dyDescent="0.35">
      <c r="A9" s="44" t="s">
        <v>28</v>
      </c>
      <c r="B9" s="167">
        <v>8.4000000000000005E-2</v>
      </c>
      <c r="C9" s="167">
        <v>0.11799999999999999</v>
      </c>
      <c r="D9" s="167">
        <v>0.1</v>
      </c>
      <c r="E9" s="167">
        <v>0.128</v>
      </c>
      <c r="F9" s="167">
        <v>0.08</v>
      </c>
      <c r="G9" s="168">
        <v>0.01</v>
      </c>
      <c r="H9" s="17"/>
      <c r="I9" s="17"/>
      <c r="J9" s="17"/>
      <c r="K9" s="17"/>
      <c r="L9" s="17"/>
      <c r="M9" s="17"/>
    </row>
    <row r="10" spans="1:13" x14ac:dyDescent="0.35">
      <c r="B10" s="10"/>
      <c r="C10" s="10"/>
      <c r="D10" s="10"/>
      <c r="E10" s="10"/>
      <c r="F10" s="10"/>
      <c r="G10" s="10"/>
      <c r="H10" s="17"/>
      <c r="I10" s="17"/>
      <c r="J10" s="17"/>
      <c r="K10" s="17"/>
      <c r="L10" s="17"/>
      <c r="M10" s="17"/>
    </row>
    <row r="11" spans="1:13" x14ac:dyDescent="0.35">
      <c r="A11" s="44" t="s">
        <v>0</v>
      </c>
      <c r="B11" s="263" t="s">
        <v>13</v>
      </c>
      <c r="C11" s="264" t="s">
        <v>2</v>
      </c>
      <c r="D11" s="263" t="s">
        <v>3</v>
      </c>
      <c r="E11" s="264" t="s">
        <v>4</v>
      </c>
      <c r="F11" s="263" t="s">
        <v>5</v>
      </c>
      <c r="G11" s="264" t="s">
        <v>6</v>
      </c>
      <c r="H11" s="263" t="s">
        <v>7</v>
      </c>
      <c r="I11" s="264" t="s">
        <v>29</v>
      </c>
      <c r="J11" s="263" t="s">
        <v>30</v>
      </c>
      <c r="K11" s="264" t="s">
        <v>31</v>
      </c>
      <c r="L11" s="263" t="s">
        <v>32</v>
      </c>
      <c r="M11" s="264" t="s">
        <v>33</v>
      </c>
    </row>
    <row r="12" spans="1:13" x14ac:dyDescent="0.35">
      <c r="A12" t="s">
        <v>16</v>
      </c>
      <c r="B12" s="156">
        <f>B5*B2</f>
        <v>935307016264.76404</v>
      </c>
      <c r="C12" s="156">
        <f>C5*$C$2</f>
        <v>1031426496482.375</v>
      </c>
      <c r="D12" s="156">
        <f>D5*$D$2</f>
        <v>1170868303587.74</v>
      </c>
      <c r="E12" s="156">
        <f>E5*$E$2</f>
        <v>1235942976099.76</v>
      </c>
      <c r="F12" s="156">
        <f>F5*$F$2</f>
        <v>1073820780134.4</v>
      </c>
      <c r="G12" s="156">
        <f>G5*$G$2</f>
        <v>1174041040958.28</v>
      </c>
      <c r="H12" s="17">
        <f>G12*(1+Assumptions!$B$3)</f>
        <v>1287591254937.1665</v>
      </c>
      <c r="I12" s="17">
        <f>H12*(1+Assumptions!$B$3)</f>
        <v>1412123752026.1279</v>
      </c>
      <c r="J12" s="17">
        <f>I12*(1+Assumptions!$B$3)</f>
        <v>1548700710252.6953</v>
      </c>
      <c r="K12" s="17">
        <f>J12*(1+Assumptions!$B$3)</f>
        <v>1698487038756.9438</v>
      </c>
      <c r="L12" s="17">
        <f>K12*(1+Assumptions!$B$3)</f>
        <v>1862760313679.085</v>
      </c>
      <c r="M12" s="17">
        <f>L12*(1+Assumptions!$B$3)</f>
        <v>2042921675020.4165</v>
      </c>
    </row>
    <row r="13" spans="1:13" x14ac:dyDescent="0.35">
      <c r="A13" t="s">
        <v>19</v>
      </c>
      <c r="B13" s="156">
        <f>B6*$B$2</f>
        <v>597375576821.78406</v>
      </c>
      <c r="C13" s="156">
        <f>C6*$C$2</f>
        <v>731738410337.375</v>
      </c>
      <c r="D13" s="156">
        <f>D6*$D$2</f>
        <v>913848432068.47998</v>
      </c>
      <c r="E13" s="156">
        <f>E6*$E$2</f>
        <v>1053804011200.848</v>
      </c>
      <c r="F13" s="156">
        <f>F6*$F$2</f>
        <v>859056624107.52002</v>
      </c>
      <c r="G13" s="156">
        <f>G6*$G$2</f>
        <v>907213531649.58008</v>
      </c>
      <c r="H13" s="17">
        <f>G13*(1+Assumptions!$B$4)</f>
        <v>1062120821207.3727</v>
      </c>
      <c r="I13" s="17">
        <f>H13*(1+Assumptions!$B$4)</f>
        <v>1243478629326.666</v>
      </c>
      <c r="J13" s="17">
        <f>I13*(1+Assumptions!$B$4)</f>
        <v>1455803398933.8677</v>
      </c>
      <c r="K13" s="17">
        <f>J13*(1+Assumptions!$B$4)</f>
        <v>1704382758467.6873</v>
      </c>
      <c r="L13" s="17">
        <f>K13*(1+Assumptions!$B$4)</f>
        <v>1995407202297.5706</v>
      </c>
      <c r="M13" s="17">
        <f>L13*(1+Assumptions!$B$4)</f>
        <v>2336124255657.6265</v>
      </c>
    </row>
    <row r="14" spans="1:13" x14ac:dyDescent="0.35">
      <c r="A14" t="s">
        <v>22</v>
      </c>
      <c r="B14" s="156">
        <f>B7*$B$2</f>
        <v>189677646655.09198</v>
      </c>
      <c r="C14" s="156">
        <f>C7*$C$2</f>
        <v>212279061019.375</v>
      </c>
      <c r="D14" s="156">
        <f>D7*$D$2</f>
        <v>228462108017.12</v>
      </c>
      <c r="E14" s="156">
        <f>E7*$E$2</f>
        <v>263451002800.21201</v>
      </c>
      <c r="F14" s="156">
        <f>F7*$F$2</f>
        <v>214764156026.88</v>
      </c>
      <c r="G14" s="156">
        <f>G7*$G$2</f>
        <v>240144758377.82999</v>
      </c>
      <c r="H14" s="17">
        <f>G14*(1+Assumptions!$B$5)</f>
        <v>268164870610.00174</v>
      </c>
      <c r="I14" s="17">
        <f>H14*(1+Assumptions!$B$5)</f>
        <v>299454372083.92505</v>
      </c>
      <c r="J14" s="17">
        <f>I14*(1+Assumptions!$B$5)</f>
        <v>334394735433.45349</v>
      </c>
      <c r="K14" s="17">
        <f>J14*(1+Assumptions!$B$5)</f>
        <v>373411943554.02747</v>
      </c>
      <c r="L14" s="17">
        <f>K14*(1+Assumptions!$B$5)</f>
        <v>416981683064.04114</v>
      </c>
      <c r="M14" s="17">
        <f>L14*(1+Assumptions!$B$5)</f>
        <v>465635143739.75391</v>
      </c>
    </row>
    <row r="15" spans="1:13" x14ac:dyDescent="0.35">
      <c r="A15" t="s">
        <v>25</v>
      </c>
      <c r="B15" s="156">
        <f>B8*$B$2</f>
        <v>274705557224.616</v>
      </c>
      <c r="C15" s="156">
        <f>C8*$C$2</f>
        <v>227263465326.625</v>
      </c>
      <c r="D15" s="156">
        <f>D8*$D$2</f>
        <v>257019871519.25998</v>
      </c>
      <c r="E15" s="156">
        <f>E8*$E$2</f>
        <v>282965891896.52399</v>
      </c>
      <c r="F15" s="156">
        <f>F8*$F$2</f>
        <v>322146234040.32001</v>
      </c>
      <c r="G15" s="156">
        <f>G8*$G$2</f>
        <v>320193011170.44</v>
      </c>
      <c r="H15" s="17">
        <f>G15*(1+Assumptions!$B$6)</f>
        <v>324445032652.77368</v>
      </c>
      <c r="I15" s="17">
        <f>H15*(1+Assumptions!$B$6)</f>
        <v>328753519098.59967</v>
      </c>
      <c r="J15" s="17">
        <f>I15*(1+Assumptions!$B$6)</f>
        <v>333119220337.64374</v>
      </c>
      <c r="K15" s="17">
        <f>J15*(1+Assumptions!$B$6)</f>
        <v>337542896157.03864</v>
      </c>
      <c r="L15" s="17">
        <f>K15*(1+Assumptions!$B$6)</f>
        <v>342025316433.55389</v>
      </c>
      <c r="M15" s="17">
        <f>L15*(1+Assumptions!$B$6)</f>
        <v>346567261267.58191</v>
      </c>
    </row>
    <row r="16" spans="1:13" x14ac:dyDescent="0.35">
      <c r="A16" t="s">
        <v>28</v>
      </c>
      <c r="B16" s="156">
        <f>B9*$B$2</f>
        <v>183137038149.74402</v>
      </c>
      <c r="C16" s="156">
        <f>C9*$C$2</f>
        <v>294693284709.25</v>
      </c>
      <c r="D16" s="156">
        <f>D9*$D$2</f>
        <v>285577635021.40002</v>
      </c>
      <c r="E16" s="156">
        <f>E9*$E$2</f>
        <v>416317634054.65601</v>
      </c>
      <c r="F16" s="156">
        <f>F9*$F$2</f>
        <v>214764156026.88</v>
      </c>
      <c r="G16" s="156">
        <f>G9*$G$2</f>
        <v>26682750930.869999</v>
      </c>
      <c r="H16" s="17">
        <f>G16*(1+Assumptions!$B$7)</f>
        <v>27751790134.343243</v>
      </c>
      <c r="I16" s="17">
        <f>H16*(1+Assumptions!$B$7)</f>
        <v>28863660184.662964</v>
      </c>
      <c r="J16" s="17">
        <f>I16*(1+Assumptions!$B$7)</f>
        <v>30020077091.3409</v>
      </c>
      <c r="K16" s="17">
        <f>J16*(1+Assumptions!$B$7)</f>
        <v>31222825615.474655</v>
      </c>
      <c r="L16" s="17">
        <f>K16*(1+Assumptions!$B$7)</f>
        <v>32473762024.266548</v>
      </c>
      <c r="M16" s="17">
        <f>L16*(1+Assumptions!$B$7)</f>
        <v>33774816955.90173</v>
      </c>
    </row>
    <row r="17" spans="1:13" x14ac:dyDescent="0.35">
      <c r="A17" t="s">
        <v>34</v>
      </c>
      <c r="H17" s="17">
        <f>SUM(Sales_Category_Forecast[2022])</f>
        <v>2970073769541.6577</v>
      </c>
      <c r="I17" s="17">
        <f>SUM(Sales_Category_Forecast[2023])</f>
        <v>3312673932719.9814</v>
      </c>
      <c r="J17" s="17">
        <f>SUM(Sales_Category_Forecast[2024])</f>
        <v>3702038142049.001</v>
      </c>
      <c r="K17" s="17">
        <f>SUM(Sales_Category_Forecast[2025])</f>
        <v>4145047462551.1714</v>
      </c>
      <c r="L17" s="17">
        <f>SUM(Sales_Category_Forecast[2026])</f>
        <v>4649648277498.5166</v>
      </c>
      <c r="M17" s="17">
        <f>SUM(Sales_Category_Forecast[2027])</f>
        <v>5225023152641.2803</v>
      </c>
    </row>
    <row r="18" spans="1:13" ht="15.5" x14ac:dyDescent="0.35">
      <c r="A18" s="2"/>
      <c r="B18" s="8"/>
      <c r="C18" s="8"/>
      <c r="D18" s="8"/>
      <c r="E18" s="8"/>
      <c r="F18" s="8"/>
      <c r="G18" s="8"/>
      <c r="H18" s="9"/>
      <c r="I18" s="9"/>
      <c r="J18" s="9"/>
      <c r="K18" s="9"/>
      <c r="L18" s="9"/>
      <c r="M18" s="9"/>
    </row>
    <row r="19" spans="1:13" ht="15.5" x14ac:dyDescent="0.35">
      <c r="A19" s="2"/>
      <c r="B19" s="6"/>
      <c r="C19" s="6"/>
      <c r="D19" s="6"/>
      <c r="E19" s="6"/>
      <c r="F19" s="6"/>
      <c r="G19" s="8"/>
      <c r="H19" s="8"/>
      <c r="I19" s="8"/>
      <c r="J19" s="8"/>
      <c r="K19" s="8"/>
      <c r="L19" s="8"/>
      <c r="M19" s="9"/>
    </row>
    <row r="20" spans="1:13" x14ac:dyDescent="0.35">
      <c r="A20" t="s">
        <v>35</v>
      </c>
      <c r="B20" t="s">
        <v>13</v>
      </c>
      <c r="C20" t="s">
        <v>2</v>
      </c>
      <c r="D20" t="s">
        <v>3</v>
      </c>
      <c r="E20" t="s">
        <v>4</v>
      </c>
      <c r="F20" t="s">
        <v>5</v>
      </c>
      <c r="G20" t="s">
        <v>6</v>
      </c>
      <c r="H20" t="s">
        <v>7</v>
      </c>
    </row>
    <row r="21" spans="1:13" x14ac:dyDescent="0.35">
      <c r="A21" t="s">
        <v>36</v>
      </c>
      <c r="B21" s="9"/>
      <c r="C21" s="10">
        <v>0.87</v>
      </c>
      <c r="D21" s="10">
        <v>0.85</v>
      </c>
      <c r="E21" s="10">
        <v>0.84</v>
      </c>
      <c r="F21" s="10">
        <v>0.82</v>
      </c>
      <c r="G21" s="10">
        <v>0.79</v>
      </c>
      <c r="H21" s="10">
        <v>0.76</v>
      </c>
      <c r="I21" s="17"/>
      <c r="J21" s="17"/>
      <c r="K21" s="17"/>
      <c r="L21" s="17"/>
      <c r="M21" s="17"/>
    </row>
    <row r="22" spans="1:13" x14ac:dyDescent="0.35">
      <c r="A22" t="s">
        <v>37</v>
      </c>
      <c r="B22" s="9"/>
      <c r="C22" s="10">
        <v>0.13</v>
      </c>
      <c r="D22" s="10">
        <v>0.15</v>
      </c>
      <c r="E22" s="10">
        <v>0.16</v>
      </c>
      <c r="F22" s="10">
        <v>0.18</v>
      </c>
      <c r="G22" s="10">
        <v>0.21</v>
      </c>
      <c r="H22" s="10">
        <v>0.24</v>
      </c>
      <c r="I22" s="17"/>
      <c r="J22" s="17"/>
      <c r="K22" s="17"/>
      <c r="L22" s="17"/>
      <c r="M22" s="17"/>
    </row>
    <row r="23" spans="1:13" x14ac:dyDescent="0.35">
      <c r="B23" s="9"/>
      <c r="C23" s="10"/>
      <c r="D23" s="10"/>
      <c r="E23" s="10"/>
      <c r="F23" s="10"/>
      <c r="G23" s="10"/>
      <c r="H23" s="10"/>
      <c r="I23" s="17"/>
      <c r="J23" s="17"/>
      <c r="K23" s="17"/>
      <c r="L23" s="17"/>
      <c r="M23" s="17"/>
    </row>
    <row r="24" spans="1:13" x14ac:dyDescent="0.35">
      <c r="A24" t="s">
        <v>38</v>
      </c>
      <c r="B24" s="262" t="s">
        <v>13</v>
      </c>
      <c r="C24" s="262" t="s">
        <v>2</v>
      </c>
      <c r="D24" s="262" t="s">
        <v>3</v>
      </c>
      <c r="E24" s="262" t="s">
        <v>4</v>
      </c>
      <c r="F24" s="262" t="s">
        <v>5</v>
      </c>
      <c r="G24" s="262" t="s">
        <v>6</v>
      </c>
      <c r="H24" s="262" t="s">
        <v>7</v>
      </c>
      <c r="I24" s="262" t="s">
        <v>29</v>
      </c>
      <c r="J24" s="262" t="s">
        <v>30</v>
      </c>
      <c r="K24" s="262" t="s">
        <v>31</v>
      </c>
      <c r="L24" s="262" t="s">
        <v>32</v>
      </c>
      <c r="M24" s="262" t="s">
        <v>33</v>
      </c>
    </row>
    <row r="25" spans="1:13" x14ac:dyDescent="0.35">
      <c r="A25" t="s">
        <v>39</v>
      </c>
      <c r="B25" s="9"/>
      <c r="C25" s="156">
        <f t="shared" ref="C25:H25" si="0">C21*C2</f>
        <v>2172738624551.25</v>
      </c>
      <c r="D25" s="156">
        <f t="shared" si="0"/>
        <v>2427409897681.8999</v>
      </c>
      <c r="E25" s="156">
        <f t="shared" si="0"/>
        <v>2732084473483.6797</v>
      </c>
      <c r="F25" s="156">
        <f t="shared" si="0"/>
        <v>2201332599275.52</v>
      </c>
      <c r="G25" s="156">
        <f t="shared" si="0"/>
        <v>2107937323538.73</v>
      </c>
      <c r="H25" s="16">
        <f t="shared" si="0"/>
        <v>2675852041183</v>
      </c>
      <c r="I25" s="17">
        <f>H25*(1+Assumptions!$B$9)</f>
        <v>2990075303005.3311</v>
      </c>
      <c r="J25" s="17">
        <f>I25*(1+Assumptions!$B$9)</f>
        <v>3341197562511.6348</v>
      </c>
      <c r="K25" s="17">
        <f>J25*(1+Assumptions!$B$9)</f>
        <v>3733551840822.5811</v>
      </c>
      <c r="L25" s="17">
        <f>K25*(1+Assumptions!$B$9)</f>
        <v>4171979982420.1934</v>
      </c>
      <c r="M25" s="17">
        <f>L25*(1+Assumptions!$B$9)</f>
        <v>4661892405886.6191</v>
      </c>
    </row>
    <row r="26" spans="1:13" x14ac:dyDescent="0.35">
      <c r="A26" t="s">
        <v>37</v>
      </c>
      <c r="B26" s="9"/>
      <c r="C26" s="156">
        <f t="shared" ref="C26:H26" si="1">C22*C2</f>
        <v>324662093323.75</v>
      </c>
      <c r="D26" s="156">
        <f t="shared" si="1"/>
        <v>428366452532.09998</v>
      </c>
      <c r="E26" s="156">
        <f t="shared" si="1"/>
        <v>520397042568.32001</v>
      </c>
      <c r="F26" s="156">
        <f t="shared" si="1"/>
        <v>483219351060.47998</v>
      </c>
      <c r="G26" s="156">
        <f t="shared" si="1"/>
        <v>560337769548.27002</v>
      </c>
      <c r="H26" s="16">
        <f t="shared" si="1"/>
        <v>845005907742</v>
      </c>
      <c r="I26" s="17">
        <f>H26*(1+Assumptions!$B$10)</f>
        <v>1036052406331.4586</v>
      </c>
      <c r="J26" s="17">
        <f>I26*(1+Assumptions!$B$10)</f>
        <v>1270292407225.3247</v>
      </c>
      <c r="K26" s="17">
        <f>J26*(1+Assumptions!$B$10)</f>
        <v>1557491484014.8215</v>
      </c>
      <c r="L26" s="17">
        <f>K26*(1+Assumptions!$B$10)</f>
        <v>1909623098572.4578</v>
      </c>
      <c r="M26" s="17">
        <f>L26*(1+Assumptions!$B$10)</f>
        <v>2341367780195.6909</v>
      </c>
    </row>
    <row r="27" spans="1:13" x14ac:dyDescent="0.35">
      <c r="A27" t="s">
        <v>34</v>
      </c>
      <c r="H27" s="266">
        <f>SUM(H26,H25)</f>
        <v>3520857948925</v>
      </c>
      <c r="I27" s="265">
        <f>SUM(I26,I25)</f>
        <v>4026127709336.7896</v>
      </c>
      <c r="J27" s="265">
        <f>SUM(J26,J25)</f>
        <v>4611489969736.959</v>
      </c>
      <c r="K27" s="265">
        <f t="shared" ref="K27:M27" si="2">SUM(K26,K25)</f>
        <v>5291043324837.4023</v>
      </c>
      <c r="L27" s="265">
        <f t="shared" si="2"/>
        <v>6081603080992.6514</v>
      </c>
      <c r="M27" s="265">
        <f t="shared" si="2"/>
        <v>7003260186082.3105</v>
      </c>
    </row>
    <row r="28" spans="1:13" ht="15.5" x14ac:dyDescent="0.35">
      <c r="A28" s="2"/>
      <c r="B28" s="2"/>
      <c r="C28" s="2"/>
      <c r="D28" s="2"/>
      <c r="E28" s="2"/>
      <c r="F28" s="2"/>
      <c r="G28" s="2"/>
    </row>
    <row r="29" spans="1:13" x14ac:dyDescent="0.35">
      <c r="G29" t="s">
        <v>14</v>
      </c>
      <c r="H29" s="18" t="s">
        <v>7</v>
      </c>
      <c r="I29" s="12" t="s">
        <v>29</v>
      </c>
      <c r="J29" s="12" t="s">
        <v>30</v>
      </c>
      <c r="K29" s="12" t="s">
        <v>31</v>
      </c>
      <c r="L29" s="12" t="s">
        <v>32</v>
      </c>
      <c r="M29" s="13" t="s">
        <v>33</v>
      </c>
    </row>
    <row r="30" spans="1:13" x14ac:dyDescent="0.35">
      <c r="G30" t="s">
        <v>40</v>
      </c>
      <c r="H30" s="17">
        <f>Sales_Market_Forecast[[#Totals],[2022]]</f>
        <v>3520857948925</v>
      </c>
      <c r="I30" s="17">
        <f>Sales_Category_Forecast[[#Totals],[2023]]*$H$33+$H$34*Sales_Market_Forecast[[#Totals],[2023]]</f>
        <v>3883436954013.4277</v>
      </c>
      <c r="J30" s="17">
        <f>Sales_Category_Forecast[[#Totals],[2024]]*H33+H34*Sales_Market_Forecast[[#Totals],[2024]]</f>
        <v>4429599604199.3672</v>
      </c>
      <c r="K30" s="17">
        <f>Sales_Category_Forecast[[#Totals],[2025]]*H33+Sales_Market_Forecast[[#Totals],[2025]]*H34</f>
        <v>5061844152380.1563</v>
      </c>
      <c r="L30" s="17">
        <f>Sales_Category_Forecast[[#Totals],[2026]]*H33+H34*Sales_Market_Forecast[[#Totals],[2026]]</f>
        <v>5795212120293.8242</v>
      </c>
      <c r="M30" s="17">
        <f>Sales_Category_Forecast[[#Totals],[2027]]*H33+Sales_Market_Forecast[[#Totals],[2027]]*H34</f>
        <v>6647612779394.1045</v>
      </c>
    </row>
    <row r="31" spans="1:13" ht="15.5" x14ac:dyDescent="0.35">
      <c r="A31" s="2"/>
      <c r="B31" s="2"/>
      <c r="C31" s="2"/>
      <c r="D31" s="2"/>
      <c r="E31" s="2"/>
      <c r="F31" s="2"/>
      <c r="G31" s="2"/>
    </row>
    <row r="32" spans="1:13" ht="15.5" x14ac:dyDescent="0.35">
      <c r="D32" s="2"/>
      <c r="E32" s="2"/>
      <c r="F32" s="2"/>
      <c r="G32" t="s">
        <v>41</v>
      </c>
      <c r="H32" t="s">
        <v>42</v>
      </c>
      <c r="I32" s="267" t="s">
        <v>43</v>
      </c>
    </row>
    <row r="33" spans="1:9" ht="72.5" x14ac:dyDescent="0.35">
      <c r="D33" s="2"/>
      <c r="E33" s="2"/>
      <c r="F33" s="2"/>
      <c r="G33" s="270" t="s">
        <v>44</v>
      </c>
      <c r="H33" s="271">
        <v>0.2</v>
      </c>
      <c r="I33" s="268" t="s">
        <v>45</v>
      </c>
    </row>
    <row r="34" spans="1:9" ht="72.5" x14ac:dyDescent="0.35">
      <c r="D34" s="2"/>
      <c r="E34" s="2"/>
      <c r="F34" s="2"/>
      <c r="G34" s="270" t="s">
        <v>35</v>
      </c>
      <c r="H34" s="271">
        <v>0.8</v>
      </c>
      <c r="I34" s="269" t="s">
        <v>46</v>
      </c>
    </row>
    <row r="35" spans="1:9" ht="15.5" x14ac:dyDescent="0.35">
      <c r="A35" s="2"/>
      <c r="B35" s="2"/>
      <c r="C35" s="2"/>
      <c r="D35" s="2"/>
      <c r="E35" s="2"/>
      <c r="F35" s="2"/>
      <c r="G35" s="2"/>
    </row>
    <row r="36" spans="1:9" ht="15.5" x14ac:dyDescent="0.35">
      <c r="A36" s="2"/>
      <c r="B36" s="2"/>
      <c r="C36" s="2"/>
      <c r="D36" s="2"/>
      <c r="E36" s="2"/>
      <c r="F36" s="2"/>
      <c r="G36" s="2"/>
    </row>
    <row r="37" spans="1:9" ht="15.5" x14ac:dyDescent="0.35">
      <c r="A37" s="2"/>
      <c r="B37" s="2"/>
      <c r="C37" s="2"/>
      <c r="D37" s="2"/>
      <c r="E37" s="2"/>
      <c r="F37" s="2"/>
      <c r="G37" s="2"/>
    </row>
    <row r="38" spans="1:9" ht="15.5" x14ac:dyDescent="0.35">
      <c r="A38" s="2"/>
      <c r="B38" s="2"/>
      <c r="C38" s="2"/>
      <c r="D38" s="2"/>
      <c r="E38" s="2"/>
      <c r="F38" s="2"/>
      <c r="G38" s="2"/>
    </row>
    <row r="39" spans="1:9" ht="15.5" x14ac:dyDescent="0.35">
      <c r="A39" s="2"/>
      <c r="B39" s="2"/>
      <c r="C39" s="2"/>
      <c r="D39" s="2"/>
      <c r="E39" s="2"/>
      <c r="F39" s="2"/>
      <c r="G39" s="2"/>
    </row>
    <row r="40" spans="1:9" ht="15.5" x14ac:dyDescent="0.35">
      <c r="A40" s="2"/>
      <c r="B40" s="2"/>
      <c r="C40" s="2"/>
      <c r="D40" s="2"/>
      <c r="E40" s="2"/>
      <c r="F40" s="2"/>
      <c r="G40" s="2"/>
    </row>
    <row r="41" spans="1:9" ht="15.5" x14ac:dyDescent="0.35">
      <c r="A41" s="2"/>
      <c r="B41" s="2"/>
      <c r="C41" s="2"/>
      <c r="D41" s="2"/>
      <c r="E41" s="2"/>
      <c r="F41" s="2"/>
      <c r="G41" s="2"/>
    </row>
    <row r="42" spans="1:9" ht="15.5" x14ac:dyDescent="0.35">
      <c r="A42" s="2"/>
      <c r="B42" s="2"/>
      <c r="C42" s="2"/>
      <c r="D42" s="2"/>
      <c r="E42" s="2"/>
      <c r="F42" s="2"/>
      <c r="G42" s="2"/>
    </row>
    <row r="43" spans="1:9" ht="15.5" x14ac:dyDescent="0.35">
      <c r="A43" s="2"/>
      <c r="B43" s="2"/>
      <c r="C43" s="2"/>
      <c r="D43" s="2"/>
      <c r="E43" s="2"/>
      <c r="F43" s="2"/>
      <c r="G43" s="2"/>
    </row>
    <row r="44" spans="1:9" ht="15.5" x14ac:dyDescent="0.35">
      <c r="A44" s="2"/>
      <c r="B44" s="2"/>
      <c r="C44" s="2"/>
      <c r="D44" s="2"/>
      <c r="E44" s="2"/>
      <c r="F44" s="2"/>
      <c r="G44" s="2"/>
    </row>
    <row r="45" spans="1:9" ht="15.5" x14ac:dyDescent="0.35">
      <c r="A45" s="2"/>
      <c r="B45" s="2"/>
      <c r="C45" s="2"/>
      <c r="D45" s="2"/>
      <c r="E45" s="2"/>
      <c r="F45" s="2"/>
      <c r="G45" s="2"/>
    </row>
  </sheetData>
  <mergeCells count="4">
    <mergeCell ref="K5:M5"/>
    <mergeCell ref="K6:M6"/>
    <mergeCell ref="K8:M8"/>
    <mergeCell ref="K7:M7"/>
  </mergeCells>
  <phoneticPr fontId="7" type="noConversion"/>
  <pageMargins left="0.7" right="0.7" top="0.75" bottom="0.75" header="0.3" footer="0.3"/>
  <pageSetup orientation="portrait" r:id="rId1"/>
  <legacyDrawing r:id="rId2"/>
  <tableParts count="7">
    <tablePart r:id="rId3"/>
    <tablePart r:id="rId4"/>
    <tablePart r:id="rId5"/>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00851-BB55-4A0C-BA1F-46131A0C1A40}">
  <sheetPr codeName="Sheet3">
    <tabColor rgb="FFFFFF00"/>
  </sheetPr>
  <dimension ref="A1:M78"/>
  <sheetViews>
    <sheetView topLeftCell="A35" zoomScaleNormal="100" workbookViewId="0">
      <selection activeCell="A58" sqref="A58"/>
    </sheetView>
  </sheetViews>
  <sheetFormatPr defaultColWidth="8.81640625" defaultRowHeight="14.5" x14ac:dyDescent="0.35"/>
  <cols>
    <col min="1" max="1" width="56.81640625" bestFit="1" customWidth="1"/>
    <col min="2" max="7" width="11.26953125" customWidth="1"/>
    <col min="8" max="8" width="10.81640625" bestFit="1" customWidth="1"/>
    <col min="13" max="13" width="9.1796875" customWidth="1"/>
  </cols>
  <sheetData>
    <row r="1" spans="1:13" x14ac:dyDescent="0.35">
      <c r="A1" s="57" t="s">
        <v>1556</v>
      </c>
      <c r="B1" t="s">
        <v>1</v>
      </c>
      <c r="C1" t="s">
        <v>2</v>
      </c>
      <c r="D1" t="s">
        <v>3</v>
      </c>
      <c r="E1" t="s">
        <v>4</v>
      </c>
      <c r="F1" t="s">
        <v>5</v>
      </c>
      <c r="G1" t="s">
        <v>6</v>
      </c>
      <c r="H1" t="s">
        <v>7</v>
      </c>
      <c r="I1" s="616" t="s">
        <v>113</v>
      </c>
      <c r="J1" s="617"/>
      <c r="K1" s="617"/>
      <c r="L1" s="617"/>
      <c r="M1" s="617"/>
    </row>
    <row r="2" spans="1:13" x14ac:dyDescent="0.35">
      <c r="A2" s="57" t="s">
        <v>114</v>
      </c>
    </row>
    <row r="3" spans="1:13" x14ac:dyDescent="0.35">
      <c r="A3" t="s">
        <v>16</v>
      </c>
      <c r="B3" s="11">
        <f>AVERAGE(C3:E3,G3)</f>
        <v>9.6717414483401737E-2</v>
      </c>
      <c r="C3" s="11">
        <f>('Revenue Detail'!C12-'Revenue Detail'!B12)/'Revenue Detail'!B12</f>
        <v>0.10276783830989859</v>
      </c>
      <c r="D3" s="11">
        <f>('Revenue Detail'!D12-'Revenue Detail'!C12)/'Revenue Detail'!C12</f>
        <v>0.13519315974616108</v>
      </c>
      <c r="E3" s="11">
        <f>('Revenue Detail'!E12-'Revenue Detail'!D12)/'Revenue Detail'!D12</f>
        <v>5.557813147099476E-2</v>
      </c>
      <c r="F3" s="11">
        <f>('Revenue Detail'!F12-'Revenue Detail'!E12)/'Revenue Detail'!E12</f>
        <v>-0.13117287698576977</v>
      </c>
      <c r="G3" s="11">
        <f>('Revenue Detail'!G12-'Revenue Detail'!F12)/'Revenue Detail'!F12</f>
        <v>9.333052840655251E-2</v>
      </c>
      <c r="H3" s="11"/>
      <c r="I3" s="614" t="s">
        <v>115</v>
      </c>
      <c r="J3" s="614"/>
      <c r="K3" s="614"/>
      <c r="L3" s="614"/>
      <c r="M3" s="614"/>
    </row>
    <row r="4" spans="1:13" x14ac:dyDescent="0.35">
      <c r="A4" t="s">
        <v>19</v>
      </c>
      <c r="B4" s="11">
        <f>AVERAGE(C4:E4,G4)</f>
        <v>0.17075063824954831</v>
      </c>
      <c r="C4" s="11">
        <f>('Revenue Detail'!C13-'Revenue Detail'!B13)/'Revenue Detail'!B13</f>
        <v>0.22492187281984513</v>
      </c>
      <c r="D4" s="11">
        <f>('Revenue Detail'!D13-'Revenue Detail'!C13)/'Revenue Detail'!C13</f>
        <v>0.24887312071965911</v>
      </c>
      <c r="E4" s="11">
        <f>('Revenue Detail'!E13-'Revenue Detail'!D13)/'Revenue Detail'!D13</f>
        <v>0.15314966270235977</v>
      </c>
      <c r="F4" s="11">
        <f>('Revenue Detail'!F13-'Revenue Detail'!E13)/'Revenue Detail'!E13</f>
        <v>-0.18480418087553707</v>
      </c>
      <c r="G4" s="11">
        <f>('Revenue Detail'!G13-'Revenue Detail'!F13)/'Revenue Detail'!F13</f>
        <v>5.6057896756329197E-2</v>
      </c>
      <c r="H4" s="11"/>
      <c r="I4" s="614" t="s">
        <v>115</v>
      </c>
      <c r="J4" s="614"/>
      <c r="K4" s="614"/>
      <c r="L4" s="614"/>
      <c r="M4" s="614"/>
    </row>
    <row r="5" spans="1:13" x14ac:dyDescent="0.35">
      <c r="A5" t="s">
        <v>22</v>
      </c>
      <c r="B5" s="11">
        <f>AVERAGE(C5:E5,G5)</f>
        <v>0.11668009088121134</v>
      </c>
      <c r="C5" s="11">
        <f>('Revenue Detail'!C14-'Revenue Detail'!B14)/'Revenue Detail'!B14</f>
        <v>0.11915697375443093</v>
      </c>
      <c r="D5" s="11">
        <f>('Revenue Detail'!D14-'Revenue Detail'!C14)/'Revenue Detail'!C14</f>
        <v>7.6234777561353287E-2</v>
      </c>
      <c r="E5" s="11">
        <f>('Revenue Detail'!E14-'Revenue Detail'!D14)/'Revenue Detail'!D14</f>
        <v>0.15314966270235977</v>
      </c>
      <c r="F5" s="11">
        <f>('Revenue Detail'!F14-'Revenue Detail'!E14)/'Revenue Detail'!E14</f>
        <v>-0.18480418087553707</v>
      </c>
      <c r="G5" s="11">
        <f>('Revenue Detail'!G14-'Revenue Detail'!F14)/'Revenue Detail'!F14</f>
        <v>0.11817894950670135</v>
      </c>
      <c r="H5" s="11"/>
      <c r="I5" s="614" t="s">
        <v>115</v>
      </c>
      <c r="J5" s="614"/>
      <c r="K5" s="614"/>
      <c r="L5" s="614"/>
      <c r="M5" s="614"/>
    </row>
    <row r="6" spans="1:13" x14ac:dyDescent="0.35">
      <c r="A6" t="s">
        <v>25</v>
      </c>
      <c r="B6" s="11">
        <f>AVERAGE(C6:E6,G6)</f>
        <v>1.3279557435656626E-2</v>
      </c>
      <c r="C6" s="11">
        <f>('Revenue Detail'!C15-'Revenue Detail'!B15)/'Revenue Detail'!B15</f>
        <v>-0.17270160959721487</v>
      </c>
      <c r="D6" s="11">
        <f>('Revenue Detail'!D15-'Revenue Detail'!C15)/'Revenue Detail'!C15</f>
        <v>0.13093352312422421</v>
      </c>
      <c r="E6" s="11">
        <f>('Revenue Detail'!E15-'Revenue Detail'!D15)/'Revenue Detail'!D15</f>
        <v>0.10094947220966034</v>
      </c>
      <c r="F6" s="11">
        <f>('Revenue Detail'!F15-'Revenue Detail'!E15)/'Revenue Detail'!E15</f>
        <v>0.13846312670830177</v>
      </c>
      <c r="G6" s="11">
        <f>('Revenue Detail'!G15-'Revenue Detail'!F15)/'Revenue Detail'!F15</f>
        <v>-6.0631559940431843E-3</v>
      </c>
      <c r="H6" s="11"/>
      <c r="I6" s="614" t="s">
        <v>115</v>
      </c>
      <c r="J6" s="614"/>
      <c r="K6" s="614"/>
      <c r="L6" s="614"/>
      <c r="M6" s="614"/>
    </row>
    <row r="7" spans="1:13" x14ac:dyDescent="0.35">
      <c r="A7" t="s">
        <v>28</v>
      </c>
      <c r="B7" s="11">
        <f>AVERAGE(C7:E7,G7)</f>
        <v>4.0064804646377183E-2</v>
      </c>
      <c r="C7" s="11">
        <f>('Revenue Detail'!C16-'Revenue Detail'!B16)/'Revenue Detail'!B16</f>
        <v>0.60914082528893354</v>
      </c>
      <c r="D7" s="11">
        <f>('Revenue Detail'!D16-'Revenue Detail'!C16)/'Revenue Detail'!C16</f>
        <v>-3.0932668509374581E-2</v>
      </c>
      <c r="E7" s="11">
        <f>('Revenue Detail'!E16-'Revenue Detail'!D16)/'Revenue Detail'!D16</f>
        <v>0.45780895630520529</v>
      </c>
      <c r="F7" s="11">
        <f>('Revenue Detail'!F16-'Revenue Detail'!E16)/'Revenue Detail'!E16</f>
        <v>-0.4841338957103008</v>
      </c>
      <c r="G7" s="11">
        <f>('Revenue Detail'!G16-'Revenue Detail'!F16)/'Revenue Detail'!F16</f>
        <v>-0.87575789449925545</v>
      </c>
      <c r="H7" s="11"/>
      <c r="I7" s="614" t="s">
        <v>115</v>
      </c>
      <c r="J7" s="614"/>
      <c r="K7" s="614"/>
      <c r="L7" s="614"/>
      <c r="M7" s="614"/>
    </row>
    <row r="8" spans="1:13" x14ac:dyDescent="0.35">
      <c r="A8" s="57" t="s">
        <v>116</v>
      </c>
      <c r="B8" s="11"/>
      <c r="C8" s="11"/>
      <c r="D8" s="11"/>
      <c r="E8" s="11"/>
      <c r="F8" s="11"/>
      <c r="G8" s="11"/>
      <c r="H8" s="11"/>
    </row>
    <row r="9" spans="1:13" x14ac:dyDescent="0.35">
      <c r="A9" t="s">
        <v>39</v>
      </c>
      <c r="B9" s="11">
        <f>AVERAGE(Sales_Assumption[[#This Row],[2018]:[2019]],Sales_Assumption[[#This Row],[2021]:[2022]])</f>
        <v>0.11742923636518127</v>
      </c>
      <c r="C9" s="11"/>
      <c r="D9" s="11">
        <f>('Revenue Detail'!D25-'Revenue Detail'!C25)/'Revenue Detail'!C25</f>
        <v>0.11721210745413468</v>
      </c>
      <c r="E9" s="11">
        <f>('Revenue Detail'!E25-'Revenue Detail'!D25)/'Revenue Detail'!D25</f>
        <v>0.12551426773563643</v>
      </c>
      <c r="F9" s="11">
        <f>('Revenue Detail'!F25-'Revenue Detail'!E25)/'Revenue Detail'!E25</f>
        <v>-0.19426627520466019</v>
      </c>
      <c r="G9" s="11">
        <f>('Revenue Detail'!G25-'Revenue Detail'!F25)/'Revenue Detail'!F25</f>
        <v>-4.242669906743185E-2</v>
      </c>
      <c r="H9" s="11">
        <f>('Revenue Detail'!H25-'Revenue Detail'!G25)/'Revenue Detail'!G25</f>
        <v>0.26941726933838578</v>
      </c>
      <c r="I9" s="614" t="s">
        <v>115</v>
      </c>
      <c r="J9" s="614"/>
      <c r="K9" s="614"/>
      <c r="L9" s="614"/>
      <c r="M9" s="614"/>
    </row>
    <row r="10" spans="1:13" x14ac:dyDescent="0.35">
      <c r="A10" t="s">
        <v>37</v>
      </c>
      <c r="B10" s="11">
        <f>AVERAGE(Sales_Assumption[[#This Row],[2022]],Sales_Assumption[[#This Row],[2021]],Sales_Assumption[[#This Row],[2020]],Sales_Assumption[[#This Row],[2019]],Sales_Assumption[[#This Row],[2018]])</f>
        <v>0.22608895019440448</v>
      </c>
      <c r="C10" s="11"/>
      <c r="D10" s="11">
        <f>('Revenue Detail'!D26-'Revenue Detail'!C26)/'Revenue Detail'!C26</f>
        <v>0.31942244364492828</v>
      </c>
      <c r="E10" s="11">
        <f>('Revenue Detail'!E26-'Revenue Detail'!D26)/'Revenue Detail'!D26</f>
        <v>0.21484079692100455</v>
      </c>
      <c r="F10" s="11">
        <f>('Revenue Detail'!F26-'Revenue Detail'!E26)/'Revenue Detail'!E26</f>
        <v>-7.1441012278541494E-2</v>
      </c>
      <c r="G10" s="11">
        <f>('Revenue Detail'!G26-'Revenue Detail'!F26)/'Revenue Detail'!F26</f>
        <v>0.15959298467361638</v>
      </c>
      <c r="H10" s="11">
        <f>('Revenue Detail'!H26-'Revenue Detail'!G26)/'Revenue Detail'!G26</f>
        <v>0.50802953801101458</v>
      </c>
      <c r="I10" s="614" t="s">
        <v>115</v>
      </c>
      <c r="J10" s="614"/>
      <c r="K10" s="614"/>
      <c r="L10" s="614"/>
      <c r="M10" s="614"/>
    </row>
    <row r="12" spans="1:13" x14ac:dyDescent="0.35">
      <c r="A12" s="48" t="s">
        <v>117</v>
      </c>
      <c r="B12" s="49" t="s">
        <v>1</v>
      </c>
      <c r="C12" s="49" t="s">
        <v>2</v>
      </c>
      <c r="D12" s="49" t="s">
        <v>3</v>
      </c>
      <c r="E12" s="49" t="s">
        <v>4</v>
      </c>
      <c r="F12" s="49" t="s">
        <v>5</v>
      </c>
      <c r="G12" s="49" t="s">
        <v>6</v>
      </c>
      <c r="H12" s="50" t="s">
        <v>7</v>
      </c>
      <c r="I12" s="616" t="s">
        <v>113</v>
      </c>
      <c r="J12" s="617"/>
      <c r="K12" s="617"/>
      <c r="L12" s="617"/>
      <c r="M12" s="617"/>
    </row>
    <row r="13" spans="1:13" x14ac:dyDescent="0.35">
      <c r="A13" t="s">
        <v>118</v>
      </c>
      <c r="B13" s="11">
        <f>AVERAGE(IS_Assumptions[[#This Row],[2017]:[2022]])</f>
        <v>0.60760312991717924</v>
      </c>
      <c r="C13" s="11">
        <f>FS!C3/FS!C2</f>
        <v>0.62619136353322447</v>
      </c>
      <c r="D13" s="11">
        <f>FS!D3/FS!D2</f>
        <v>0.62648725354453327</v>
      </c>
      <c r="E13" s="11">
        <f>FS!E3/FS!E2</f>
        <v>0.63182230202169898</v>
      </c>
      <c r="F13" s="11">
        <f>FS!F3/FS!F2</f>
        <v>0.61641973227967628</v>
      </c>
      <c r="G13" s="11">
        <f>FS!G3/FS!G2</f>
        <v>0.5775687632068871</v>
      </c>
      <c r="H13" s="11">
        <f>FS!H3/FS!H2</f>
        <v>0.56712936491705501</v>
      </c>
      <c r="I13" s="614" t="s">
        <v>119</v>
      </c>
      <c r="J13" s="614"/>
      <c r="K13" s="614"/>
      <c r="L13" s="614"/>
      <c r="M13" s="614"/>
    </row>
    <row r="14" spans="1:13" x14ac:dyDescent="0.35">
      <c r="A14" t="s">
        <v>120</v>
      </c>
      <c r="B14" s="11"/>
      <c r="C14" s="11"/>
      <c r="D14" s="11"/>
      <c r="E14" s="11"/>
      <c r="F14" s="11"/>
      <c r="G14" s="11"/>
      <c r="H14" s="11"/>
    </row>
    <row r="15" spans="1:13" x14ac:dyDescent="0.35">
      <c r="A15" t="s">
        <v>121</v>
      </c>
      <c r="B15" s="11">
        <f>AVERAGE(IS_Assumptions[[#This Row],[2017]:[2022]])</f>
        <v>0.17247973509538686</v>
      </c>
      <c r="C15" s="11">
        <f>FS!C7/FS!C2</f>
        <v>0.14871697487819399</v>
      </c>
      <c r="D15" s="11">
        <f>FS!D7/FS!D2</f>
        <v>0.15149084816168498</v>
      </c>
      <c r="E15" s="11">
        <f>FS!E7/FS!E2</f>
        <v>0.15374236357412874</v>
      </c>
      <c r="F15" s="11">
        <f>FS!F7/FS!F2</f>
        <v>0.18203277777762392</v>
      </c>
      <c r="G15" s="11">
        <f>FS!G7/FS!G2</f>
        <v>0.18913903550144368</v>
      </c>
      <c r="H15" s="11">
        <f>FS!H7/FS!H2</f>
        <v>0.209756410679246</v>
      </c>
      <c r="I15" s="614" t="s">
        <v>119</v>
      </c>
      <c r="J15" s="614"/>
      <c r="K15" s="614"/>
      <c r="L15" s="614"/>
      <c r="M15" s="614"/>
    </row>
    <row r="16" spans="1:13" x14ac:dyDescent="0.35">
      <c r="A16" t="s">
        <v>122</v>
      </c>
      <c r="B16" s="11">
        <f>AVERAGE(IS_Assumptions[[#This Row],[2017]:[2022]])</f>
        <v>9.630946517129356E-2</v>
      </c>
      <c r="C16" s="11">
        <f>FS!C8/FS!C2</f>
        <v>9.9451349586915358E-2</v>
      </c>
      <c r="D16" s="11">
        <f>FS!D8/FS!D2</f>
        <v>9.55077798216101E-2</v>
      </c>
      <c r="E16" s="11">
        <f>FS!E8/FS!E2</f>
        <v>8.7668513129665768E-2</v>
      </c>
      <c r="F16" s="11">
        <f>FS!F8/FS!F2</f>
        <v>9.4934628266777246E-2</v>
      </c>
      <c r="G16" s="11">
        <f>FS!G8/FS!G2</f>
        <v>0.10958103950695854</v>
      </c>
      <c r="H16" s="11">
        <f>FS!H8/FS!H2</f>
        <v>9.0713480715834335E-2</v>
      </c>
      <c r="I16" s="614" t="s">
        <v>119</v>
      </c>
      <c r="J16" s="614"/>
      <c r="K16" s="614"/>
      <c r="L16" s="614"/>
      <c r="M16" s="614"/>
    </row>
    <row r="17" spans="1:13" x14ac:dyDescent="0.35">
      <c r="A17" t="s">
        <v>123</v>
      </c>
      <c r="B17" s="11">
        <f>AVERAGE(IS_Assumptions[[#This Row],[2017]:[2022]])</f>
        <v>8.2883246241739119E-3</v>
      </c>
      <c r="C17" s="11">
        <f>FS!C11/FS!C2</f>
        <v>6.4150095354468762E-3</v>
      </c>
      <c r="D17" s="11">
        <f>FS!D11/FS!D2</f>
        <v>2.6867508379726708E-3</v>
      </c>
      <c r="E17" s="11">
        <f>FS!E11/FS!E2</f>
        <v>8.3236560292160536E-3</v>
      </c>
      <c r="F17" s="11">
        <f>FS!F11/FS!F2</f>
        <v>8.3483195846498579E-3</v>
      </c>
      <c r="G17" s="11">
        <f>FS!G11/FS!G2</f>
        <v>1.2064229783653124E-2</v>
      </c>
      <c r="H17" s="11">
        <f>FS!H11/FS!H2</f>
        <v>1.1891981974104886E-2</v>
      </c>
      <c r="I17" s="614" t="s">
        <v>119</v>
      </c>
      <c r="J17" s="614"/>
      <c r="K17" s="614"/>
      <c r="L17" s="614"/>
      <c r="M17" s="614"/>
    </row>
    <row r="18" spans="1:13" x14ac:dyDescent="0.35">
      <c r="A18" t="s">
        <v>124</v>
      </c>
      <c r="B18" s="11">
        <f>AVERAGE(IS_Assumptions[[#This Row],[2017]:[2022]])</f>
        <v>3.0050268157216804E-3</v>
      </c>
      <c r="C18" s="11">
        <f>FS!C14/FS!C2</f>
        <v>5.7302942817990679E-3</v>
      </c>
      <c r="D18" s="11">
        <f>FS!D14/FS!D2</f>
        <v>3.6313161691471038E-3</v>
      </c>
      <c r="E18" s="11">
        <f>FS!E14/FS!E2</f>
        <v>2.7382267757851916E-3</v>
      </c>
      <c r="F18" s="11">
        <f>FS!F14/FS!F2</f>
        <v>2.5598431869198481E-3</v>
      </c>
      <c r="G18" s="11">
        <f>FS!G14/FS!G2</f>
        <v>1.2362918675613642E-3</v>
      </c>
      <c r="H18" s="11">
        <f>FS!H14/FS!H2</f>
        <v>2.1341886131175081E-3</v>
      </c>
      <c r="I18" s="614" t="s">
        <v>119</v>
      </c>
      <c r="J18" s="614"/>
      <c r="K18" s="614"/>
      <c r="L18" s="614"/>
      <c r="M18" s="614"/>
    </row>
    <row r="19" spans="1:13" x14ac:dyDescent="0.35">
      <c r="A19" t="s">
        <v>125</v>
      </c>
      <c r="B19" s="11">
        <f>AVERAGE(IS_Assumptions[[#This Row],[2017]:[2022]])</f>
        <v>5.139720240506488E-2</v>
      </c>
      <c r="C19" s="11">
        <f>FS!C18/(FS!B82+FS!B87)</f>
        <v>4.9379610903138832E-2</v>
      </c>
      <c r="D19" s="11">
        <f>FS!D18/(FS!C82+FS!C87)</f>
        <v>6.6662032618065387E-2</v>
      </c>
      <c r="E19" s="11">
        <f>FS!E18/(FS!D82+FS!D87)</f>
        <v>5.1469917106137957E-2</v>
      </c>
      <c r="F19" s="11">
        <f>FS!F18/(FS!E82+FS!E87)</f>
        <v>5.3647001603107709E-2</v>
      </c>
      <c r="G19" s="11">
        <f>FS!G18/(FS!F82+FS!F87)</f>
        <v>3.9205416066854862E-2</v>
      </c>
      <c r="H19" s="11">
        <f>FS!H18/(FS!G82+FS!G87)</f>
        <v>4.8019236133084536E-2</v>
      </c>
      <c r="I19" s="614" t="s">
        <v>126</v>
      </c>
      <c r="J19" s="614"/>
      <c r="K19" s="614"/>
      <c r="L19" s="614"/>
      <c r="M19" s="614"/>
    </row>
    <row r="20" spans="1:13" x14ac:dyDescent="0.35">
      <c r="A20" t="s">
        <v>127</v>
      </c>
      <c r="B20" s="11">
        <f>AVERAGE(IS_Assumptions[[#This Row],[2017]:[2022]])</f>
        <v>0.20791295761641804</v>
      </c>
      <c r="C20" s="11">
        <f>FS!C22/FS!C19</f>
        <v>0.19888346940139059</v>
      </c>
      <c r="D20" s="11">
        <f>FS!D22/FS!D19</f>
        <v>0.20063120646802429</v>
      </c>
      <c r="E20" s="11">
        <f>FS!E22/FS!E19</f>
        <v>0.20090089756895713</v>
      </c>
      <c r="F20" s="11">
        <f>FS!F22/FS!F19</f>
        <v>0.21009408409921795</v>
      </c>
      <c r="G20" s="11">
        <f>FS!G22/FS!G19</f>
        <v>0.2282919338053874</v>
      </c>
      <c r="H20" s="11">
        <f>FS!H22/FS!H19</f>
        <v>0.20867615435553086</v>
      </c>
      <c r="I20" s="614" t="s">
        <v>128</v>
      </c>
      <c r="J20" s="614"/>
      <c r="K20" s="614"/>
      <c r="L20" s="614"/>
      <c r="M20" s="614"/>
    </row>
    <row r="22" spans="1:13" x14ac:dyDescent="0.35">
      <c r="A22" t="s">
        <v>129</v>
      </c>
      <c r="B22" t="s">
        <v>1</v>
      </c>
      <c r="C22" t="s">
        <v>2</v>
      </c>
      <c r="D22" t="s">
        <v>3</v>
      </c>
      <c r="E22" t="s">
        <v>4</v>
      </c>
      <c r="F22" t="s">
        <v>5</v>
      </c>
      <c r="G22" t="s">
        <v>6</v>
      </c>
      <c r="H22" t="s">
        <v>7</v>
      </c>
      <c r="I22" s="616" t="s">
        <v>113</v>
      </c>
      <c r="J22" s="617"/>
      <c r="K22" s="617"/>
      <c r="L22" s="617"/>
      <c r="M22" s="617"/>
    </row>
    <row r="23" spans="1:13" x14ac:dyDescent="0.35">
      <c r="A23" t="s">
        <v>130</v>
      </c>
      <c r="B23" s="11"/>
      <c r="C23" s="9"/>
      <c r="D23" s="9"/>
      <c r="E23" s="9"/>
      <c r="F23" s="9"/>
      <c r="G23" s="9"/>
      <c r="H23" s="9"/>
      <c r="I23" s="614" t="s">
        <v>131</v>
      </c>
      <c r="J23" s="614"/>
      <c r="K23" s="614"/>
      <c r="L23" s="614"/>
      <c r="M23" s="614"/>
    </row>
    <row r="24" spans="1:13" x14ac:dyDescent="0.35">
      <c r="A24" t="s">
        <v>132</v>
      </c>
      <c r="B24" s="11">
        <f t="shared" ref="B24:B63" si="0">AVERAGE(C24:H24)</f>
        <v>6.6614328733824418E-2</v>
      </c>
      <c r="C24" s="11">
        <f>FS!C34/FS!C2</f>
        <v>3.3182253265912523E-2</v>
      </c>
      <c r="D24" s="11">
        <f>FS!D34/FS!D2</f>
        <v>3.6718992503786976E-2</v>
      </c>
      <c r="E24" s="11">
        <f>FS!E34/FS!E2</f>
        <v>3.070135097899309E-2</v>
      </c>
      <c r="F24" s="11">
        <f>FS!F34/FS!F2</f>
        <v>5.687362910592602E-2</v>
      </c>
      <c r="G24" s="11">
        <f>FS!G34/FS!G2</f>
        <v>0.12707640930370306</v>
      </c>
      <c r="H24" s="11">
        <f>FS!H34/FS!H2</f>
        <v>0.11513333724462481</v>
      </c>
      <c r="I24" s="614" t="s">
        <v>119</v>
      </c>
      <c r="J24" s="614"/>
      <c r="K24" s="614"/>
      <c r="L24" s="614"/>
      <c r="M24" s="614"/>
    </row>
    <row r="25" spans="1:13" x14ac:dyDescent="0.35">
      <c r="A25" t="s">
        <v>133</v>
      </c>
      <c r="B25" s="272">
        <f>AVERAGE(C25:H25)</f>
        <v>4.9003435368151271E-2</v>
      </c>
      <c r="C25" s="11">
        <f>FS!C35/FS!C2</f>
        <v>0.10851282217560575</v>
      </c>
      <c r="D25" s="11">
        <f>FS!D35/FS!D2</f>
        <v>1.4356866565173295E-2</v>
      </c>
      <c r="E25" s="11">
        <f>FS!E35/FS!E2</f>
        <v>2.7978637096286917E-2</v>
      </c>
      <c r="F25" s="11">
        <f>FS!F35/FS!F2</f>
        <v>8.1577858820198967E-2</v>
      </c>
      <c r="G25" s="11">
        <f>FS!G35/FS!G2</f>
        <v>6.1594427551642739E-2</v>
      </c>
      <c r="H25" s="11">
        <f>FS!H35/FS!H2</f>
        <v>0</v>
      </c>
      <c r="I25" s="614" t="s">
        <v>119</v>
      </c>
      <c r="J25" s="614"/>
      <c r="K25" s="614"/>
      <c r="L25" s="614"/>
      <c r="M25" s="614"/>
    </row>
    <row r="26" spans="1:13" x14ac:dyDescent="0.35">
      <c r="A26" t="s">
        <v>134</v>
      </c>
      <c r="B26" s="11">
        <f t="shared" si="0"/>
        <v>7.8990888743909346E-2</v>
      </c>
      <c r="C26" s="11">
        <f>C27</f>
        <v>0</v>
      </c>
      <c r="D26" s="11">
        <f t="shared" ref="D26:H26" si="1">D27</f>
        <v>0</v>
      </c>
      <c r="E26" s="11">
        <f t="shared" si="1"/>
        <v>0.14327521853702971</v>
      </c>
      <c r="F26" s="11">
        <f t="shared" si="1"/>
        <v>0.13857060950280373</v>
      </c>
      <c r="G26" s="11">
        <f t="shared" si="1"/>
        <v>8.9945425725328224E-2</v>
      </c>
      <c r="H26" s="11">
        <f t="shared" si="1"/>
        <v>0.10215407869829445</v>
      </c>
      <c r="I26" s="614" t="s">
        <v>131</v>
      </c>
      <c r="J26" s="614"/>
      <c r="K26" s="614"/>
      <c r="L26" s="614"/>
      <c r="M26" s="614"/>
    </row>
    <row r="27" spans="1:13" x14ac:dyDescent="0.35">
      <c r="A27" t="s">
        <v>135</v>
      </c>
      <c r="B27" s="11">
        <f t="shared" si="0"/>
        <v>7.8990888743909346E-2</v>
      </c>
      <c r="C27" s="11">
        <f>FS!C37/FS!C2</f>
        <v>0</v>
      </c>
      <c r="D27" s="11">
        <f>FS!D37/FS!D2</f>
        <v>0</v>
      </c>
      <c r="E27" s="11">
        <f>FS!E37/FS!E2</f>
        <v>0.14327521853702971</v>
      </c>
      <c r="F27" s="11">
        <f>FS!F37/FS!F2</f>
        <v>0.13857060950280373</v>
      </c>
      <c r="G27" s="11">
        <f>FS!G37/FS!G2</f>
        <v>8.9945425725328224E-2</v>
      </c>
      <c r="H27" s="11">
        <f>FS!H37/FS!H2</f>
        <v>0.10215407869829445</v>
      </c>
      <c r="I27" s="614" t="s">
        <v>119</v>
      </c>
      <c r="J27" s="614"/>
      <c r="K27" s="614"/>
      <c r="L27" s="614"/>
      <c r="M27" s="614"/>
    </row>
    <row r="28" spans="1:13" x14ac:dyDescent="0.35">
      <c r="A28" t="s">
        <v>136</v>
      </c>
      <c r="B28" s="11">
        <f t="shared" si="0"/>
        <v>0.13135280966080359</v>
      </c>
      <c r="C28" s="9">
        <f>C29+C30+C31+C32+C33</f>
        <v>8.2035512127715524E-2</v>
      </c>
      <c r="D28" s="9">
        <f t="shared" ref="D28:H28" si="2">D29+D30+D31+D32+D33</f>
        <v>0.11831824720191407</v>
      </c>
      <c r="E28" s="9">
        <f t="shared" si="2"/>
        <v>0.17877933141087327</v>
      </c>
      <c r="F28" s="9">
        <f t="shared" si="2"/>
        <v>0.15459172160853776</v>
      </c>
      <c r="G28" s="9">
        <f t="shared" si="2"/>
        <v>0.14928823443618297</v>
      </c>
      <c r="H28" s="9">
        <f t="shared" si="2"/>
        <v>0.10510381117959804</v>
      </c>
      <c r="I28" s="614"/>
      <c r="J28" s="614"/>
      <c r="K28" s="614"/>
      <c r="L28" s="614"/>
      <c r="M28" s="614"/>
    </row>
    <row r="29" spans="1:13" x14ac:dyDescent="0.35">
      <c r="A29" t="s">
        <v>137</v>
      </c>
      <c r="B29" s="11">
        <f t="shared" si="0"/>
        <v>0.12040353446707232</v>
      </c>
      <c r="C29" s="9">
        <f>FS!C39/FS!C2</f>
        <v>7.066597275993626E-2</v>
      </c>
      <c r="D29" s="9">
        <f>FS!D39/FS!D2</f>
        <v>0.11072173036109972</v>
      </c>
      <c r="E29" s="9">
        <f>FS!E39/FS!E2</f>
        <v>0.16610524950585531</v>
      </c>
      <c r="F29" s="9">
        <f>FS!F39/FS!F2</f>
        <v>0.14406528708844471</v>
      </c>
      <c r="G29" s="9">
        <f>FS!G39/FS!G2</f>
        <v>0.13514837940034022</v>
      </c>
      <c r="H29" s="9">
        <f>FS!H39/FS!H2</f>
        <v>9.5714587686757766E-2</v>
      </c>
      <c r="I29" s="614" t="s">
        <v>119</v>
      </c>
      <c r="J29" s="614"/>
      <c r="K29" s="614"/>
      <c r="L29" s="614"/>
      <c r="M29" s="614"/>
    </row>
    <row r="30" spans="1:13" x14ac:dyDescent="0.35">
      <c r="A30" t="s">
        <v>138</v>
      </c>
      <c r="B30" s="11">
        <f t="shared" si="0"/>
        <v>7.8302670049628549E-3</v>
      </c>
      <c r="C30" s="9">
        <f>FS!C40/FS!C2</f>
        <v>9.0602061339411077E-3</v>
      </c>
      <c r="D30" s="9">
        <f>FS!D40/FS!D2</f>
        <v>6.4040562271725273E-3</v>
      </c>
      <c r="E30" s="9">
        <f>FS!E40/FS!E2</f>
        <v>5.5942311155963232E-3</v>
      </c>
      <c r="F30" s="9">
        <f>FS!F40/FS!F2</f>
        <v>6.1466394442226116E-3</v>
      </c>
      <c r="G30" s="9">
        <f>FS!G40/FS!G2</f>
        <v>1.148491163351005E-2</v>
      </c>
      <c r="H30" s="9">
        <f>FS!H40/FS!H2</f>
        <v>8.2915574753345059E-3</v>
      </c>
      <c r="I30" s="614" t="s">
        <v>119</v>
      </c>
      <c r="J30" s="614"/>
      <c r="K30" s="614"/>
      <c r="L30" s="614"/>
      <c r="M30" s="614"/>
    </row>
    <row r="31" spans="1:13" x14ac:dyDescent="0.35">
      <c r="A31" t="s">
        <v>139</v>
      </c>
      <c r="B31" s="11">
        <f t="shared" si="0"/>
        <v>4.3476604907985977E-3</v>
      </c>
      <c r="C31" s="9">
        <f>FS!C41/FS!C2</f>
        <v>2.6405708330264326E-3</v>
      </c>
      <c r="D31" s="9">
        <f>FS!D41/FS!D2</f>
        <v>1.4955971610591783E-3</v>
      </c>
      <c r="E31" s="9">
        <f>FS!E41/FS!E2</f>
        <v>7.3610770461999524E-3</v>
      </c>
      <c r="F31" s="9">
        <f>FS!F41/FS!F2</f>
        <v>4.4424644389941242E-3</v>
      </c>
      <c r="G31" s="9">
        <f>FS!G41/FS!G2</f>
        <v>7.2796018174152606E-3</v>
      </c>
      <c r="H31" s="9">
        <f>FS!H41/FS!H2</f>
        <v>2.866651648096638E-3</v>
      </c>
      <c r="I31" s="614" t="s">
        <v>119</v>
      </c>
      <c r="J31" s="614"/>
      <c r="K31" s="614"/>
      <c r="L31" s="614"/>
      <c r="M31" s="614"/>
    </row>
    <row r="32" spans="1:13" x14ac:dyDescent="0.35">
      <c r="A32" t="s">
        <v>140</v>
      </c>
      <c r="B32" s="11">
        <f t="shared" si="0"/>
        <v>-1.2306387521894288E-3</v>
      </c>
      <c r="C32" s="9">
        <f>FS!C42/FS!C2</f>
        <v>-3.3123759918827919E-4</v>
      </c>
      <c r="D32" s="9">
        <f>FS!D42/FS!D2</f>
        <v>-3.0313654741735246E-4</v>
      </c>
      <c r="E32" s="9">
        <f>FS!E42/FS!E2</f>
        <v>-2.8122625677832639E-4</v>
      </c>
      <c r="F32" s="9">
        <f>FS!F42/FS!F2</f>
        <v>-6.2669363123683675E-5</v>
      </c>
      <c r="G32" s="9">
        <f>FS!G42/FS!G2</f>
        <v>-4.6246584150825614E-3</v>
      </c>
      <c r="H32" s="9">
        <f>FS!H42/FS!H2</f>
        <v>-1.7809043315463698E-3</v>
      </c>
      <c r="I32" s="614" t="s">
        <v>119</v>
      </c>
      <c r="J32" s="614"/>
      <c r="K32" s="614"/>
      <c r="L32" s="614"/>
      <c r="M32" s="614"/>
    </row>
    <row r="33" spans="1:13" x14ac:dyDescent="0.35">
      <c r="A33" t="s">
        <v>141</v>
      </c>
      <c r="B33" s="11">
        <f>AVERAGE(C33:H33)</f>
        <v>1.9864501592484772E-6</v>
      </c>
      <c r="C33" s="173">
        <f>FS!C43/FS!C2</f>
        <v>0</v>
      </c>
      <c r="D33" s="173">
        <f>FS!D43/FS!D2</f>
        <v>0</v>
      </c>
      <c r="E33" s="173">
        <f>FS!E43/FS!E2</f>
        <v>0</v>
      </c>
      <c r="F33" s="173">
        <f>FS!F43/FS!F2</f>
        <v>0</v>
      </c>
      <c r="G33" s="173">
        <f>FS!G43/FS!G2</f>
        <v>0</v>
      </c>
      <c r="H33" s="273">
        <f>FS!H43/FS!H2</f>
        <v>1.1918700955490864E-5</v>
      </c>
      <c r="I33" s="614" t="s">
        <v>119</v>
      </c>
      <c r="J33" s="614"/>
      <c r="K33" s="614"/>
      <c r="L33" s="614"/>
      <c r="M33" s="614"/>
    </row>
    <row r="34" spans="1:13" x14ac:dyDescent="0.35">
      <c r="A34" s="195" t="s">
        <v>142</v>
      </c>
      <c r="B34" s="11">
        <f>AVERAGE(C34:H34)</f>
        <v>0.19989227923014666</v>
      </c>
      <c r="C34" s="9">
        <f>C35+C36</f>
        <v>0.18230466932394618</v>
      </c>
      <c r="D34" s="9">
        <f t="shared" ref="D34:H34" si="3">D35+D36</f>
        <v>0.21937437282398714</v>
      </c>
      <c r="E34" s="9">
        <f t="shared" si="3"/>
        <v>0.14070875509414646</v>
      </c>
      <c r="F34" s="9">
        <f t="shared" si="3"/>
        <v>0.16233196473299094</v>
      </c>
      <c r="G34" s="9">
        <f t="shared" si="3"/>
        <v>0.24813142653490192</v>
      </c>
      <c r="H34" s="9">
        <f t="shared" si="3"/>
        <v>0.24650248687090739</v>
      </c>
      <c r="I34" s="614" t="s">
        <v>131</v>
      </c>
      <c r="J34" s="614"/>
      <c r="K34" s="614"/>
      <c r="L34" s="614"/>
      <c r="M34" s="614"/>
    </row>
    <row r="35" spans="1:13" x14ac:dyDescent="0.35">
      <c r="A35" t="s">
        <v>143</v>
      </c>
      <c r="B35" s="11">
        <f t="shared" si="0"/>
        <v>0.23050532470778343</v>
      </c>
      <c r="C35" s="9">
        <f>FS!C45/FS!C2</f>
        <v>0.21382547167655944</v>
      </c>
      <c r="D35" s="9">
        <f>FS!D45/FS!D2</f>
        <v>0.24632189057742113</v>
      </c>
      <c r="E35" s="9">
        <f>FS!E45/FS!E2</f>
        <v>0.18792442816029456</v>
      </c>
      <c r="F35" s="9">
        <f>FS!F45/FS!F2</f>
        <v>0.20667374042083916</v>
      </c>
      <c r="G35" s="9">
        <f>FS!G45/FS!G2</f>
        <v>0.26393126247010917</v>
      </c>
      <c r="H35" s="9">
        <f>FS!H45/FS!H2</f>
        <v>0.26435515494147721</v>
      </c>
      <c r="I35" s="614" t="s">
        <v>119</v>
      </c>
      <c r="J35" s="614"/>
      <c r="K35" s="614"/>
      <c r="L35" s="614"/>
      <c r="M35" s="614"/>
    </row>
    <row r="36" spans="1:13" x14ac:dyDescent="0.35">
      <c r="A36" t="s">
        <v>144</v>
      </c>
      <c r="B36" s="11">
        <f>AVERAGE(C36:H36)</f>
        <v>-3.0613045477636769E-2</v>
      </c>
      <c r="C36" s="9">
        <f>FS!C46/FS!C45</f>
        <v>-3.1520802352613245E-2</v>
      </c>
      <c r="D36" s="9">
        <f>FS!D46/FS!D45</f>
        <v>-2.6947517753433983E-2</v>
      </c>
      <c r="E36" s="9">
        <f>FS!E46/FS!E45</f>
        <v>-4.7215673066148101E-2</v>
      </c>
      <c r="F36" s="9">
        <f>FS!F46/FS!F45</f>
        <v>-4.4341775687848223E-2</v>
      </c>
      <c r="G36" s="9">
        <f>FS!G46/FS!G45</f>
        <v>-1.5799835935207264E-2</v>
      </c>
      <c r="H36" s="9">
        <f>FS!H46/FS!H45</f>
        <v>-1.7852668070569816E-2</v>
      </c>
      <c r="I36" s="614"/>
      <c r="J36" s="614"/>
      <c r="K36" s="614"/>
      <c r="L36" s="614"/>
      <c r="M36" s="614"/>
    </row>
    <row r="37" spans="1:13" x14ac:dyDescent="0.35">
      <c r="A37" t="s">
        <v>145</v>
      </c>
      <c r="B37" s="11">
        <f t="shared" si="0"/>
        <v>8.8905820016793816E-3</v>
      </c>
      <c r="C37" s="9">
        <f t="shared" ref="C37:H37" si="4">C38+C39+C40</f>
        <v>6.4257931945558219E-3</v>
      </c>
      <c r="D37" s="9">
        <f t="shared" si="4"/>
        <v>2.9401712208208474E-3</v>
      </c>
      <c r="E37" s="9">
        <f t="shared" si="4"/>
        <v>3.136318526225534E-3</v>
      </c>
      <c r="F37" s="9">
        <f t="shared" si="4"/>
        <v>4.7820686734682946E-3</v>
      </c>
      <c r="G37" s="9">
        <f t="shared" si="4"/>
        <v>1.2207302279060011E-2</v>
      </c>
      <c r="H37" s="9">
        <f t="shared" si="4"/>
        <v>2.3851838115945781E-2</v>
      </c>
      <c r="I37" s="614" t="s">
        <v>131</v>
      </c>
      <c r="J37" s="614"/>
      <c r="K37" s="614"/>
      <c r="L37" s="614"/>
      <c r="M37" s="614"/>
    </row>
    <row r="38" spans="1:13" x14ac:dyDescent="0.35">
      <c r="A38" t="s">
        <v>146</v>
      </c>
      <c r="B38" s="11">
        <f t="shared" si="0"/>
        <v>3.9917860848135023E-3</v>
      </c>
      <c r="C38" s="172">
        <f>FS!C48/FS!C2</f>
        <v>4.0656439570656861E-3</v>
      </c>
      <c r="D38" s="172">
        <f>FS!D48/FS!D2</f>
        <v>2.4195304984167337E-3</v>
      </c>
      <c r="E38" s="172">
        <f>FS!E48/FS!E2</f>
        <v>2.4282243714598044E-3</v>
      </c>
      <c r="F38" s="172">
        <f>FS!F48/FS!F2</f>
        <v>4.7357929469045192E-3</v>
      </c>
      <c r="G38" s="172">
        <f>FS!G48/FS!G2</f>
        <v>4.9418377985699169E-3</v>
      </c>
      <c r="H38" s="172">
        <f>FS!H48/FS!H2</f>
        <v>5.3596869364643538E-3</v>
      </c>
      <c r="I38" s="614" t="s">
        <v>119</v>
      </c>
      <c r="J38" s="614"/>
      <c r="K38" s="614"/>
      <c r="L38" s="614"/>
      <c r="M38" s="614"/>
    </row>
    <row r="39" spans="1:13" x14ac:dyDescent="0.35">
      <c r="A39" t="s">
        <v>147</v>
      </c>
      <c r="B39" s="11">
        <f t="shared" si="0"/>
        <v>4.2243688575223579E-3</v>
      </c>
      <c r="C39" s="172">
        <f>FS!C49/FS!C2</f>
        <v>1.6581953189809544E-3</v>
      </c>
      <c r="D39" s="172">
        <f>FS!D49/FS!D2</f>
        <v>4.7925729054288123E-4</v>
      </c>
      <c r="E39" s="172">
        <f>FS!E49/FS!E2</f>
        <v>7.0346524175709407E-4</v>
      </c>
      <c r="F39" s="172">
        <f>FS!F49/FS!F2</f>
        <v>4.0667545281191411E-5</v>
      </c>
      <c r="G39" s="172">
        <f>FS!G49/FS!G2</f>
        <v>5.9666267077361293E-3</v>
      </c>
      <c r="H39" s="172">
        <f>FS!H49/FS!H2</f>
        <v>1.6498001040835899E-2</v>
      </c>
      <c r="I39" s="614" t="s">
        <v>119</v>
      </c>
      <c r="J39" s="614"/>
      <c r="K39" s="614"/>
      <c r="L39" s="614"/>
      <c r="M39" s="614"/>
    </row>
    <row r="40" spans="1:13" x14ac:dyDescent="0.35">
      <c r="A40" t="s">
        <v>148</v>
      </c>
      <c r="B40" s="11">
        <f t="shared" si="0"/>
        <v>6.7442705934352143E-4</v>
      </c>
      <c r="C40" s="172">
        <f>FS!C50/FS!C2</f>
        <v>7.0195391850918186E-4</v>
      </c>
      <c r="D40" s="172">
        <f>FS!D50/FS!D2</f>
        <v>4.138343186123239E-5</v>
      </c>
      <c r="E40" s="172">
        <f>FS!E50/FS!E2</f>
        <v>4.6289130086356182E-6</v>
      </c>
      <c r="F40" s="172">
        <f>FS!F50/FS!F2</f>
        <v>5.6081812825844743E-6</v>
      </c>
      <c r="G40" s="172">
        <f>FS!G50/FS!G2</f>
        <v>1.2988377727539658E-3</v>
      </c>
      <c r="H40" s="172">
        <f>FS!H50/FS!H2</f>
        <v>1.9941501386455287E-3</v>
      </c>
      <c r="I40" s="614" t="s">
        <v>119</v>
      </c>
      <c r="J40" s="614"/>
      <c r="K40" s="614"/>
      <c r="L40" s="614"/>
      <c r="M40" s="614"/>
    </row>
    <row r="41" spans="1:13" x14ac:dyDescent="0.35">
      <c r="A41" t="s">
        <v>149</v>
      </c>
      <c r="B41" s="11">
        <f t="shared" si="0"/>
        <v>-3.7215392415676764E-2</v>
      </c>
      <c r="C41" s="9">
        <f t="shared" ref="C41:H41" si="5">C42+C44+C47+C48+C52</f>
        <v>-0.1629535569959954</v>
      </c>
      <c r="D41" s="9">
        <f t="shared" si="5"/>
        <v>-0.13495131437761743</v>
      </c>
      <c r="E41" s="9">
        <f t="shared" si="5"/>
        <v>-0.12950220902605669</v>
      </c>
      <c r="F41" s="9">
        <f t="shared" si="5"/>
        <v>-5.3373772664425778E-2</v>
      </c>
      <c r="G41" s="9">
        <f t="shared" si="5"/>
        <v>0.11056929522614434</v>
      </c>
      <c r="H41" s="9">
        <f t="shared" si="5"/>
        <v>0.14691920334389039</v>
      </c>
      <c r="I41" s="614" t="s">
        <v>131</v>
      </c>
      <c r="J41" s="614"/>
      <c r="K41" s="614"/>
      <c r="L41" s="614"/>
      <c r="M41" s="614"/>
    </row>
    <row r="42" spans="1:13" x14ac:dyDescent="0.35">
      <c r="A42" t="s">
        <v>150</v>
      </c>
      <c r="B42" s="11">
        <f t="shared" si="0"/>
        <v>1.6875004980639822E-3</v>
      </c>
      <c r="C42" s="9">
        <f>C43</f>
        <v>8.0181941194597966E-4</v>
      </c>
      <c r="D42" s="9">
        <f t="shared" ref="D42:G42" si="6">D43</f>
        <v>9.383554677869616E-4</v>
      </c>
      <c r="E42" s="9">
        <f t="shared" si="6"/>
        <v>9.4846491756378666E-4</v>
      </c>
      <c r="F42" s="9">
        <f t="shared" si="6"/>
        <v>1.7271102250115485E-3</v>
      </c>
      <c r="G42" s="9">
        <f t="shared" si="6"/>
        <v>2.1733891449291112E-3</v>
      </c>
      <c r="H42" s="9">
        <f>H43</f>
        <v>3.535863821146506E-3</v>
      </c>
      <c r="I42" s="614" t="s">
        <v>131</v>
      </c>
      <c r="J42" s="614"/>
      <c r="K42" s="614"/>
      <c r="L42" s="614"/>
      <c r="M42" s="614"/>
    </row>
    <row r="43" spans="1:13" x14ac:dyDescent="0.35">
      <c r="A43" t="s">
        <v>151</v>
      </c>
      <c r="B43" s="11">
        <f t="shared" si="0"/>
        <v>1.6875004980639822E-3</v>
      </c>
      <c r="C43" s="9">
        <f>FS!C53/FS!C2</f>
        <v>8.0181941194597966E-4</v>
      </c>
      <c r="D43" s="9">
        <f>FS!D53/FS!D2</f>
        <v>9.383554677869616E-4</v>
      </c>
      <c r="E43" s="9">
        <f>FS!E53/FS!E2</f>
        <v>9.4846491756378666E-4</v>
      </c>
      <c r="F43" s="9">
        <f>FS!F53/FS!F2</f>
        <v>1.7271102250115485E-3</v>
      </c>
      <c r="G43" s="9">
        <f>FS!G53/FS!G2</f>
        <v>2.1733891449291112E-3</v>
      </c>
      <c r="H43" s="9">
        <f>FS!H53/FS!H2</f>
        <v>3.535863821146506E-3</v>
      </c>
      <c r="I43" s="614" t="s">
        <v>119</v>
      </c>
      <c r="J43" s="614"/>
      <c r="K43" s="614"/>
      <c r="L43" s="614"/>
      <c r="M43" s="614"/>
    </row>
    <row r="44" spans="1:13" x14ac:dyDescent="0.35">
      <c r="A44" t="s">
        <v>152</v>
      </c>
      <c r="B44" s="11">
        <f t="shared" si="0"/>
        <v>0.1513794597767962</v>
      </c>
      <c r="C44" s="9">
        <f>FS!C54/FS!C2</f>
        <v>0.14395356929740188</v>
      </c>
      <c r="D44" s="9">
        <f>FS!D54/FS!D2</f>
        <v>0.14606267269905174</v>
      </c>
      <c r="E44" s="9">
        <f>FS!E54/FS!E2</f>
        <v>0.14273316957647481</v>
      </c>
      <c r="F44" s="9">
        <f>FS!F54/FS!F2</f>
        <v>0.17268737958636898</v>
      </c>
      <c r="G44" s="9">
        <f>FS!G54/FS!G2</f>
        <v>0.16697825304831598</v>
      </c>
      <c r="H44" s="9">
        <f>FS!H54/FS!H2</f>
        <v>0.1358617144531637</v>
      </c>
      <c r="I44" s="614" t="s">
        <v>119</v>
      </c>
      <c r="J44" s="614"/>
      <c r="K44" s="614"/>
      <c r="L44" s="614"/>
      <c r="M44" s="614"/>
    </row>
    <row r="45" spans="1:13" x14ac:dyDescent="0.35">
      <c r="A45" t="s">
        <v>153</v>
      </c>
      <c r="B45" s="11">
        <f>B46</f>
        <v>3.4951587427654723E-3</v>
      </c>
      <c r="C45" s="10">
        <f>C46</f>
        <v>0</v>
      </c>
      <c r="D45" s="10">
        <f t="shared" ref="D45:H45" si="7">D46</f>
        <v>2.0970952456592834E-2</v>
      </c>
      <c r="E45" s="10">
        <f t="shared" si="7"/>
        <v>0</v>
      </c>
      <c r="F45" s="10">
        <f t="shared" si="7"/>
        <v>0</v>
      </c>
      <c r="G45" s="10">
        <f t="shared" si="7"/>
        <v>0</v>
      </c>
      <c r="H45" s="10">
        <f t="shared" si="7"/>
        <v>0</v>
      </c>
      <c r="I45" s="614" t="s">
        <v>131</v>
      </c>
      <c r="J45" s="614"/>
      <c r="K45" s="614"/>
      <c r="L45" s="614"/>
      <c r="M45" s="614"/>
    </row>
    <row r="46" spans="1:13" x14ac:dyDescent="0.35">
      <c r="A46" t="s">
        <v>154</v>
      </c>
      <c r="B46" s="11">
        <f t="shared" si="0"/>
        <v>3.4951587427654723E-3</v>
      </c>
      <c r="C46" s="10">
        <f>FS!C63/FS!C2</f>
        <v>0</v>
      </c>
      <c r="D46" s="10">
        <f>FS!D63/FS!D2</f>
        <v>2.0970952456592834E-2</v>
      </c>
      <c r="E46" s="10">
        <f>FS!E63/FS!E2</f>
        <v>0</v>
      </c>
      <c r="F46" s="10">
        <f>FS!F63/FS!F2</f>
        <v>0</v>
      </c>
      <c r="G46" s="10">
        <f>FS!G63/FS!G2</f>
        <v>0</v>
      </c>
      <c r="H46" s="10">
        <f>FS!H63/FS!H2</f>
        <v>0</v>
      </c>
      <c r="I46" s="614" t="s">
        <v>119</v>
      </c>
      <c r="J46" s="614"/>
      <c r="K46" s="614"/>
      <c r="L46" s="614"/>
      <c r="M46" s="614"/>
    </row>
    <row r="47" spans="1:13" x14ac:dyDescent="0.35">
      <c r="A47" t="s">
        <v>155</v>
      </c>
      <c r="B47" s="11">
        <f t="shared" si="0"/>
        <v>1.525280719620206E-2</v>
      </c>
      <c r="C47" s="9">
        <f>FS!C64/FS!C2</f>
        <v>1.9304538931990915E-2</v>
      </c>
      <c r="D47" s="9">
        <f>FS!D64/FS!D2</f>
        <v>2.2657158026450974E-2</v>
      </c>
      <c r="E47" s="9">
        <f>FS!E64/FS!E2</f>
        <v>8.2130889436768505E-3</v>
      </c>
      <c r="F47" s="9">
        <f>FS!F64/FS!F2</f>
        <v>5.0042151157918859E-3</v>
      </c>
      <c r="G47" s="9">
        <f>FS!G64/FS!G2</f>
        <v>7.1359053840927096E-3</v>
      </c>
      <c r="H47" s="9">
        <f>FS!H64/FS!H2</f>
        <v>2.920193677520903E-2</v>
      </c>
      <c r="I47" s="614" t="s">
        <v>119</v>
      </c>
      <c r="J47" s="614"/>
      <c r="K47" s="614"/>
      <c r="L47" s="614"/>
      <c r="M47" s="614"/>
    </row>
    <row r="48" spans="1:13" x14ac:dyDescent="0.35">
      <c r="A48" t="s">
        <v>156</v>
      </c>
      <c r="B48" s="11">
        <f>AVERAGE(C48:H48)</f>
        <v>-0.23081627023161599</v>
      </c>
      <c r="C48" s="9">
        <f>C49+C50+C51</f>
        <v>-0.34588534876296906</v>
      </c>
      <c r="D48" s="9">
        <f t="shared" ref="D48:H48" si="8">D49+D50+D51</f>
        <v>-0.32323710793134119</v>
      </c>
      <c r="E48" s="9">
        <f t="shared" si="8"/>
        <v>-0.30319033509686083</v>
      </c>
      <c r="F48" s="9">
        <f t="shared" si="8"/>
        <v>-0.27348684767720099</v>
      </c>
      <c r="G48" s="9">
        <f t="shared" si="8"/>
        <v>-9.3706284082809621E-2</v>
      </c>
      <c r="H48" s="9">
        <f t="shared" si="8"/>
        <v>-4.5391697838514364E-2</v>
      </c>
      <c r="I48" s="614" t="s">
        <v>131</v>
      </c>
      <c r="J48" s="614"/>
      <c r="K48" s="614"/>
      <c r="L48" s="614"/>
      <c r="M48" s="614"/>
    </row>
    <row r="49" spans="1:13" x14ac:dyDescent="0.35">
      <c r="A49" t="s">
        <v>157</v>
      </c>
      <c r="B49" s="11">
        <f t="shared" si="0"/>
        <v>1.1834236788618089E-3</v>
      </c>
      <c r="C49" s="9">
        <f>FS!C66/FS!C2</f>
        <v>0</v>
      </c>
      <c r="D49" s="9">
        <f>FS!D66/FS!D2</f>
        <v>0</v>
      </c>
      <c r="E49" s="9">
        <f>FS!E66/FS!E2</f>
        <v>0</v>
      </c>
      <c r="F49" s="9">
        <f>FS!F66/FS!F2</f>
        <v>0</v>
      </c>
      <c r="G49" s="9">
        <f>FS!G66/FS!G2</f>
        <v>0</v>
      </c>
      <c r="H49" s="9">
        <f>FS!H66/FS!H2</f>
        <v>7.1005420731708535E-3</v>
      </c>
      <c r="I49" s="614" t="s">
        <v>119</v>
      </c>
      <c r="J49" s="614"/>
      <c r="K49" s="614"/>
      <c r="L49" s="614"/>
      <c r="M49" s="614"/>
    </row>
    <row r="50" spans="1:13" x14ac:dyDescent="0.35">
      <c r="A50" t="s">
        <v>158</v>
      </c>
      <c r="B50" s="11">
        <f t="shared" si="0"/>
        <v>1.1453820824558252E-2</v>
      </c>
      <c r="C50" s="9">
        <f>FS!C67/FS!C2</f>
        <v>1.2286774717558901E-2</v>
      </c>
      <c r="D50" s="9">
        <f>FS!D67/FS!D2</f>
        <v>1.0744889037862014E-2</v>
      </c>
      <c r="E50" s="9">
        <f>FS!E67/FS!E2</f>
        <v>9.4343349373578467E-3</v>
      </c>
      <c r="F50" s="9">
        <f>FS!F67/FS!F2</f>
        <v>1.1430212775789065E-2</v>
      </c>
      <c r="G50" s="9">
        <f>FS!G67/FS!G2</f>
        <v>1.4123356357683945E-2</v>
      </c>
      <c r="H50" s="9">
        <f>FS!H67/FS!H2</f>
        <v>1.0703357121097745E-2</v>
      </c>
      <c r="I50" s="614" t="s">
        <v>119</v>
      </c>
      <c r="J50" s="614"/>
      <c r="K50" s="614"/>
      <c r="L50" s="614"/>
      <c r="M50" s="614"/>
    </row>
    <row r="51" spans="1:13" x14ac:dyDescent="0.35">
      <c r="A51" t="s">
        <v>159</v>
      </c>
      <c r="B51" s="11">
        <f t="shared" si="0"/>
        <v>-0.24345351473503604</v>
      </c>
      <c r="C51" s="9">
        <f>FS!C68/(FS!C67+FS!C66)</f>
        <v>-0.35817212348052796</v>
      </c>
      <c r="D51" s="9">
        <f>FS!D68/(FS!D67+FS!D66)</f>
        <v>-0.33398199696920322</v>
      </c>
      <c r="E51" s="9">
        <f>FS!E68/(FS!E67+FS!E66)</f>
        <v>-0.31262467003421868</v>
      </c>
      <c r="F51" s="9">
        <f>FS!F68/(FS!F67+FS!F66)</f>
        <v>-0.28491706045299003</v>
      </c>
      <c r="G51" s="9">
        <f>FS!G68/(FS!G67+FS!G66)</f>
        <v>-0.10782964044049356</v>
      </c>
      <c r="H51" s="9">
        <f>FS!H68/(FS!H67+FS!H66)</f>
        <v>-6.3195597032782963E-2</v>
      </c>
      <c r="I51" s="614" t="s">
        <v>160</v>
      </c>
      <c r="J51" s="614"/>
      <c r="K51" s="614"/>
      <c r="L51" s="614"/>
      <c r="M51" s="614"/>
    </row>
    <row r="52" spans="1:13" x14ac:dyDescent="0.35">
      <c r="A52" t="s">
        <v>161</v>
      </c>
      <c r="B52" s="11">
        <f>SUM(B53,B54)</f>
        <v>2.5281110344877032E-2</v>
      </c>
      <c r="C52" s="9">
        <f>C53+C54</f>
        <v>1.8871864125634876E-2</v>
      </c>
      <c r="D52" s="9">
        <f t="shared" ref="D52:H52" si="9">D53+D54</f>
        <v>1.8627607360434124E-2</v>
      </c>
      <c r="E52" s="9">
        <f t="shared" si="9"/>
        <v>2.1793402633088706E-2</v>
      </c>
      <c r="F52" s="9">
        <f t="shared" si="9"/>
        <v>4.069437008560281E-2</v>
      </c>
      <c r="G52" s="9">
        <f t="shared" si="9"/>
        <v>2.7988031731616153E-2</v>
      </c>
      <c r="H52" s="9">
        <f t="shared" si="9"/>
        <v>2.3711386132885523E-2</v>
      </c>
      <c r="I52" s="614" t="s">
        <v>131</v>
      </c>
      <c r="J52" s="614"/>
      <c r="K52" s="614"/>
      <c r="L52" s="614"/>
      <c r="M52" s="614"/>
    </row>
    <row r="53" spans="1:13" x14ac:dyDescent="0.35">
      <c r="A53" t="s">
        <v>162</v>
      </c>
      <c r="B53" s="11">
        <f t="shared" si="0"/>
        <v>1.6788693416232174E-2</v>
      </c>
      <c r="C53" s="9">
        <f>FS!C70/FS!C2</f>
        <v>8.4918969595897606E-3</v>
      </c>
      <c r="D53" s="9">
        <f>FS!D70/FS!D2</f>
        <v>9.8551120166994188E-3</v>
      </c>
      <c r="E53" s="9">
        <f>FS!E70/FS!E2</f>
        <v>1.2169792554592699E-2</v>
      </c>
      <c r="F53" s="9">
        <f>FS!F70/FS!F2</f>
        <v>2.9910811142600524E-2</v>
      </c>
      <c r="G53" s="9">
        <f>FS!G70/FS!G2</f>
        <v>2.4203616427826202E-2</v>
      </c>
      <c r="H53" s="9">
        <f>FS!H70/FS!H2</f>
        <v>1.6100931396084442E-2</v>
      </c>
      <c r="I53" s="614" t="s">
        <v>119</v>
      </c>
      <c r="J53" s="614"/>
      <c r="K53" s="614"/>
      <c r="L53" s="614"/>
      <c r="M53" s="614"/>
    </row>
    <row r="54" spans="1:13" x14ac:dyDescent="0.35">
      <c r="A54" t="s">
        <v>163</v>
      </c>
      <c r="B54" s="11">
        <f t="shared" si="0"/>
        <v>8.4924169286448564E-3</v>
      </c>
      <c r="C54" s="9">
        <f>FS!C71/FS!C2</f>
        <v>1.0379967166045116E-2</v>
      </c>
      <c r="D54" s="9">
        <f>FS!D71/FS!D2</f>
        <v>8.7724953437347038E-3</v>
      </c>
      <c r="E54" s="9">
        <f>FS!E71/FS!E2</f>
        <v>9.6236100784960078E-3</v>
      </c>
      <c r="F54" s="9">
        <f>FS!F71/FS!F2</f>
        <v>1.0783558943002286E-2</v>
      </c>
      <c r="G54" s="9">
        <f>FS!G71/FS!G2</f>
        <v>3.7844153037899513E-3</v>
      </c>
      <c r="H54" s="9">
        <f>FS!H71/FS!H2</f>
        <v>7.6104547368010794E-3</v>
      </c>
      <c r="I54" s="614" t="s">
        <v>119</v>
      </c>
      <c r="J54" s="614"/>
      <c r="K54" s="614"/>
      <c r="L54" s="614"/>
      <c r="M54" s="614"/>
    </row>
    <row r="55" spans="1:13" x14ac:dyDescent="0.35">
      <c r="B55" s="11"/>
      <c r="C55" s="9"/>
      <c r="D55" s="9"/>
      <c r="E55" s="9"/>
      <c r="F55" s="9"/>
      <c r="G55" s="9"/>
      <c r="H55" s="9"/>
      <c r="I55" s="614"/>
      <c r="J55" s="614"/>
      <c r="K55" s="614"/>
      <c r="L55" s="614"/>
      <c r="M55" s="614"/>
    </row>
    <row r="56" spans="1:13" x14ac:dyDescent="0.35">
      <c r="A56" t="s">
        <v>164</v>
      </c>
      <c r="B56" s="11"/>
      <c r="C56" s="9"/>
      <c r="D56" s="9"/>
      <c r="E56" s="9"/>
      <c r="F56" s="9"/>
      <c r="G56" s="9"/>
      <c r="H56" s="9"/>
      <c r="I56" s="614" t="s">
        <v>131</v>
      </c>
      <c r="J56" s="614"/>
      <c r="K56" s="614"/>
      <c r="L56" s="614"/>
      <c r="M56" s="614"/>
    </row>
    <row r="57" spans="1:13" x14ac:dyDescent="0.35">
      <c r="A57" t="s">
        <v>165</v>
      </c>
      <c r="B57" s="11"/>
      <c r="C57" s="9"/>
      <c r="D57" s="9"/>
      <c r="E57" s="9"/>
      <c r="F57" s="9"/>
      <c r="G57" s="9"/>
      <c r="H57" s="9"/>
      <c r="I57" s="614" t="s">
        <v>131</v>
      </c>
      <c r="J57" s="614"/>
      <c r="K57" s="614"/>
      <c r="L57" s="614"/>
      <c r="M57" s="614"/>
    </row>
    <row r="58" spans="1:13" x14ac:dyDescent="0.35">
      <c r="A58" t="s">
        <v>166</v>
      </c>
      <c r="B58" s="11">
        <f t="shared" si="0"/>
        <v>5.8563475345608219E-2</v>
      </c>
      <c r="C58" s="9">
        <f>FS!C76/FS!C2</f>
        <v>5.9161490683288569E-2</v>
      </c>
      <c r="D58" s="9">
        <f>FS!D76/FS!D2</f>
        <v>4.8090351622846327E-2</v>
      </c>
      <c r="E58" s="9">
        <f>FS!E76/FS!E2</f>
        <v>5.5742142057142258E-2</v>
      </c>
      <c r="F58" s="9">
        <f>FS!F76/FS!F2</f>
        <v>4.2176332848328286E-2</v>
      </c>
      <c r="G58" s="9">
        <f>FS!G76/FS!G2</f>
        <v>7.2318875715603831E-2</v>
      </c>
      <c r="H58" s="9">
        <f>FS!H76/FS!H2</f>
        <v>7.3891659146440011E-2</v>
      </c>
      <c r="I58" s="614" t="s">
        <v>119</v>
      </c>
      <c r="J58" s="614"/>
      <c r="K58" s="614"/>
      <c r="L58" s="614"/>
      <c r="M58" s="614"/>
    </row>
    <row r="59" spans="1:13" x14ac:dyDescent="0.35">
      <c r="A59" t="s">
        <v>167</v>
      </c>
      <c r="B59" s="11">
        <f t="shared" si="0"/>
        <v>6.23284639459184E-2</v>
      </c>
      <c r="C59" s="9">
        <f>FS!C82/FS!C2</f>
        <v>6.445679490593352E-2</v>
      </c>
      <c r="D59" s="9">
        <f>FS!D82/FS!D2</f>
        <v>7.7793186581068319E-2</v>
      </c>
      <c r="E59" s="9">
        <f>FS!E82/FS!E2</f>
        <v>5.9989111915949335E-2</v>
      </c>
      <c r="F59" s="9">
        <f>FS!F82/FS!F2</f>
        <v>5.485036289782743E-2</v>
      </c>
      <c r="G59" s="9">
        <f>FS!G82/FS!G2</f>
        <v>6.4937986986392929E-2</v>
      </c>
      <c r="H59" s="9">
        <f>FS!H82/FS!H2</f>
        <v>5.1943340388338893E-2</v>
      </c>
      <c r="I59" s="614" t="s">
        <v>119</v>
      </c>
      <c r="J59" s="614"/>
      <c r="K59" s="614"/>
      <c r="L59" s="614"/>
      <c r="M59" s="614"/>
    </row>
    <row r="60" spans="1:13" x14ac:dyDescent="0.35">
      <c r="A60" t="s">
        <v>168</v>
      </c>
      <c r="B60" s="11">
        <f t="shared" si="0"/>
        <v>7.4627978432222575E-2</v>
      </c>
      <c r="C60" s="9">
        <f>FS!C84/FS!C2</f>
        <v>6.6409184597383916E-2</v>
      </c>
      <c r="D60" s="9">
        <f>FS!D84/FS!D2</f>
        <v>4.7765636969357969E-2</v>
      </c>
      <c r="E60" s="9">
        <f>FS!E84/FS!E2</f>
        <v>5.4801208062007736E-2</v>
      </c>
      <c r="F60" s="9">
        <f>FS!F84/FS!F2</f>
        <v>8.9058916053040504E-2</v>
      </c>
      <c r="G60" s="9">
        <f>FS!G84/FS!G2</f>
        <v>7.9473279139545536E-2</v>
      </c>
      <c r="H60" s="9">
        <f>FS!H84/FS!H2</f>
        <v>0.11025964577199973</v>
      </c>
      <c r="I60" s="614" t="s">
        <v>119</v>
      </c>
      <c r="J60" s="614"/>
      <c r="K60" s="614"/>
      <c r="L60" s="614"/>
      <c r="M60" s="614"/>
    </row>
    <row r="61" spans="1:13" x14ac:dyDescent="0.35">
      <c r="A61" t="s">
        <v>169</v>
      </c>
      <c r="B61" s="11"/>
      <c r="C61" s="9"/>
      <c r="D61" s="9"/>
      <c r="E61" s="9"/>
      <c r="F61" s="9"/>
      <c r="G61" s="9"/>
      <c r="H61" s="9"/>
      <c r="I61" s="614" t="s">
        <v>131</v>
      </c>
      <c r="J61" s="614"/>
      <c r="K61" s="614"/>
      <c r="L61" s="614"/>
      <c r="M61" s="614"/>
    </row>
    <row r="62" spans="1:13" x14ac:dyDescent="0.35">
      <c r="A62" t="s">
        <v>170</v>
      </c>
      <c r="B62" s="11">
        <f t="shared" si="0"/>
        <v>3.6371148884197494E-6</v>
      </c>
      <c r="C62" s="173">
        <f>FS!C86/FS!C2</f>
        <v>2.1822689330518497E-5</v>
      </c>
      <c r="D62" s="173">
        <f>FS!D86/FS!D2</f>
        <v>0</v>
      </c>
      <c r="E62" s="173">
        <f>FS!E86/FS!E2</f>
        <v>0</v>
      </c>
      <c r="F62" s="173">
        <f>FS!F86/FS!F2</f>
        <v>0</v>
      </c>
      <c r="G62" s="173">
        <f>FS!G86/FS!G2</f>
        <v>0</v>
      </c>
      <c r="H62" s="173">
        <f>FS!H86/FS!H2</f>
        <v>0</v>
      </c>
      <c r="I62" s="614" t="s">
        <v>119</v>
      </c>
      <c r="J62" s="614"/>
      <c r="K62" s="614"/>
      <c r="L62" s="614"/>
      <c r="M62" s="614"/>
    </row>
    <row r="63" spans="1:13" x14ac:dyDescent="0.35">
      <c r="A63" t="s">
        <v>171</v>
      </c>
      <c r="B63" s="11">
        <f t="shared" si="0"/>
        <v>1.0042856674548012E-2</v>
      </c>
      <c r="C63" s="9">
        <f>FS!C88/FS!C2</f>
        <v>1.1561407980441358E-2</v>
      </c>
      <c r="D63" s="9">
        <f>FS!D88/FS!D2</f>
        <v>1.0535853062073761E-2</v>
      </c>
      <c r="E63" s="9">
        <f>FS!E88/FS!E2</f>
        <v>9.0445469669287685E-3</v>
      </c>
      <c r="F63" s="9">
        <f>FS!F88/FS!F2</f>
        <v>1.3028364410911276E-2</v>
      </c>
      <c r="G63" s="9">
        <f>FS!G88/FS!G2</f>
        <v>1.1458801073103254E-2</v>
      </c>
      <c r="H63" s="9">
        <f>FS!H88/FS!H2</f>
        <v>4.6281665538296648E-3</v>
      </c>
      <c r="I63" s="614" t="s">
        <v>119</v>
      </c>
      <c r="J63" s="614"/>
      <c r="K63" s="614"/>
      <c r="L63" s="614"/>
      <c r="M63" s="614"/>
    </row>
    <row r="64" spans="1:13" x14ac:dyDescent="0.35">
      <c r="B64" s="11"/>
      <c r="I64" s="614"/>
      <c r="J64" s="614"/>
      <c r="K64" s="614"/>
      <c r="L64" s="614"/>
      <c r="M64" s="614"/>
    </row>
    <row r="65" spans="1:13" x14ac:dyDescent="0.35">
      <c r="A65" t="s">
        <v>172</v>
      </c>
      <c r="B65" s="11"/>
      <c r="I65" s="614"/>
      <c r="J65" s="614"/>
      <c r="K65" s="614"/>
      <c r="L65" s="614"/>
      <c r="M65" s="614"/>
    </row>
    <row r="66" spans="1:13" x14ac:dyDescent="0.35">
      <c r="A66" t="s">
        <v>173</v>
      </c>
      <c r="B66" s="11"/>
      <c r="I66" s="614"/>
      <c r="J66" s="614"/>
      <c r="K66" s="614"/>
      <c r="L66" s="614"/>
      <c r="M66" s="614"/>
    </row>
    <row r="67" spans="1:13" x14ac:dyDescent="0.35">
      <c r="A67" t="s">
        <v>174</v>
      </c>
      <c r="B67" s="185" t="s">
        <v>175</v>
      </c>
      <c r="I67" s="614" t="s">
        <v>175</v>
      </c>
      <c r="J67" s="614"/>
      <c r="K67" s="614"/>
      <c r="L67" s="614"/>
      <c r="M67" s="614"/>
    </row>
    <row r="68" spans="1:13" x14ac:dyDescent="0.35">
      <c r="A68" t="s">
        <v>176</v>
      </c>
      <c r="B68" s="185" t="s">
        <v>175</v>
      </c>
      <c r="I68" s="614" t="s">
        <v>175</v>
      </c>
      <c r="J68" s="614"/>
      <c r="K68" s="614"/>
      <c r="L68" s="614"/>
      <c r="M68" s="614"/>
    </row>
    <row r="69" spans="1:13" x14ac:dyDescent="0.35">
      <c r="A69" t="s">
        <v>177</v>
      </c>
      <c r="B69" t="s">
        <v>178</v>
      </c>
      <c r="I69" s="614" t="s">
        <v>179</v>
      </c>
      <c r="J69" s="614"/>
      <c r="K69" s="614"/>
      <c r="L69" s="614"/>
      <c r="M69" s="614"/>
    </row>
    <row r="70" spans="1:13" x14ac:dyDescent="0.35">
      <c r="A70" t="s">
        <v>180</v>
      </c>
      <c r="B70" s="9">
        <f>AVERAGE(BS_Assumptions[[#This Row],[2017]:[2022]])</f>
        <v>6.4815656784522432E-2</v>
      </c>
      <c r="C70" s="9">
        <f>FS!C95/FS!C2</f>
        <v>5.0406265441099621E-2</v>
      </c>
      <c r="D70" s="9">
        <f>FS!D95/FS!D2</f>
        <v>5.5344534765881186E-2</v>
      </c>
      <c r="E70" s="9">
        <f>FS!E95/FS!E2</f>
        <v>4.8584356829123827E-2</v>
      </c>
      <c r="F70" s="9">
        <f>FS!F95/FS!F2</f>
        <v>7.4466865329605239E-2</v>
      </c>
      <c r="G70" s="9">
        <f>FS!G95/FS!G2</f>
        <v>8.5707644293685062E-2</v>
      </c>
      <c r="H70" s="9">
        <f>FS!H95/FS!H2</f>
        <v>7.4384274047739729E-2</v>
      </c>
      <c r="I70" s="614" t="s">
        <v>119</v>
      </c>
      <c r="J70" s="614"/>
      <c r="K70" s="614"/>
      <c r="L70" s="614"/>
      <c r="M70" s="614"/>
    </row>
    <row r="71" spans="1:13" x14ac:dyDescent="0.35">
      <c r="A71" t="s">
        <v>181</v>
      </c>
      <c r="B71" s="10">
        <f>AVERAGE(BS_Assumptions[[#This Row],[2017]:[2022]])</f>
        <v>1.5079792097146301</v>
      </c>
      <c r="C71" s="10">
        <f>FS!C96/FS!C23</f>
        <v>1.4930584657135926</v>
      </c>
      <c r="D71" s="10">
        <f>FS!D96/FS!D23</f>
        <v>1.4440551133789281</v>
      </c>
      <c r="E71" s="10">
        <f>FS!E96/FS!E23</f>
        <v>1.3695088891307374</v>
      </c>
      <c r="F71" s="10">
        <f>FS!F96/FS!F23</f>
        <v>1.7039286245046883</v>
      </c>
      <c r="G71" s="10">
        <f>FS!G96/FS!G23</f>
        <v>1.6537645260663201</v>
      </c>
      <c r="H71" s="10">
        <f>FS!H96/FS!H23</f>
        <v>1.3835596394935139</v>
      </c>
      <c r="I71" s="615" t="s">
        <v>1615</v>
      </c>
      <c r="J71" s="615"/>
      <c r="K71" s="615"/>
      <c r="L71" s="615"/>
      <c r="M71" s="615"/>
    </row>
    <row r="72" spans="1:13" x14ac:dyDescent="0.35">
      <c r="A72" t="s">
        <v>182</v>
      </c>
      <c r="B72" s="11">
        <f>AVERAGE(BS_Assumptions[[#This Row],[2017]:[2022]])</f>
        <v>8.1429098863692165E-2</v>
      </c>
      <c r="D72" s="171">
        <f>(FS!D97-FS!C97)/FS!C98</f>
        <v>0.37178370932458471</v>
      </c>
      <c r="E72" s="171">
        <f>(FS!E97-FS!D97)/FS!D98</f>
        <v>-0.17410973742755059</v>
      </c>
      <c r="F72" s="171">
        <f>(FS!F97-FS!E97)/FS!E98</f>
        <v>-0.71636676034623392</v>
      </c>
      <c r="G72" s="171">
        <f>(FS!G97-FS!F97)/FS!F98</f>
        <v>0.10178429614756936</v>
      </c>
      <c r="H72" s="171">
        <f>(FS!H97-FS!G97)/FS!G98</f>
        <v>0.82405398662009133</v>
      </c>
      <c r="I72" s="615" t="s">
        <v>1615</v>
      </c>
      <c r="J72" s="615"/>
      <c r="K72" s="615"/>
      <c r="L72" s="615"/>
      <c r="M72" s="615"/>
    </row>
    <row r="73" spans="1:13" x14ac:dyDescent="0.35">
      <c r="A73" t="s">
        <v>183</v>
      </c>
      <c r="B73" s="171">
        <f>AVERAGE(BS_Assumptions[[#This Row],[2017]:[2019]])</f>
        <v>0.65080380654610415</v>
      </c>
      <c r="C73" s="9">
        <f>FS!C98/FS!C23</f>
        <v>0.76339899138236567</v>
      </c>
      <c r="D73" s="9">
        <f>FS!D98/FS!D23</f>
        <v>0.52120959410884837</v>
      </c>
      <c r="E73" s="9">
        <f>FS!E98/FS!E23</f>
        <v>0.66780283414709829</v>
      </c>
      <c r="F73" s="9">
        <f>FS!F98/FS!F23</f>
        <v>1.3789015494996641</v>
      </c>
      <c r="G73" s="9">
        <f>FS!G98/FS!G23</f>
        <v>1.2503835470633069</v>
      </c>
      <c r="H73" s="9">
        <f>FS!H98/FS!H23</f>
        <v>0.39404538456394095</v>
      </c>
      <c r="I73" s="615" t="s">
        <v>1616</v>
      </c>
      <c r="J73" s="615"/>
      <c r="K73" s="615"/>
      <c r="L73" s="615"/>
      <c r="M73" s="615"/>
    </row>
    <row r="74" spans="1:13" x14ac:dyDescent="0.35">
      <c r="A74" t="s">
        <v>184</v>
      </c>
      <c r="B74" t="s">
        <v>185</v>
      </c>
      <c r="I74" s="614" t="s">
        <v>185</v>
      </c>
      <c r="J74" s="614"/>
      <c r="K74" s="614"/>
      <c r="L74" s="614"/>
      <c r="M74" s="614"/>
    </row>
    <row r="75" spans="1:13" x14ac:dyDescent="0.35">
      <c r="B75" s="10"/>
    </row>
    <row r="77" spans="1:13" x14ac:dyDescent="0.35">
      <c r="A77" t="s">
        <v>15</v>
      </c>
    </row>
    <row r="78" spans="1:13" x14ac:dyDescent="0.35">
      <c r="A78" t="s">
        <v>1617</v>
      </c>
    </row>
  </sheetData>
  <mergeCells count="69">
    <mergeCell ref="I70:M70"/>
    <mergeCell ref="I65:M65"/>
    <mergeCell ref="I66:M66"/>
    <mergeCell ref="I67:M67"/>
    <mergeCell ref="I68:M68"/>
    <mergeCell ref="I69:M69"/>
    <mergeCell ref="I61:M61"/>
    <mergeCell ref="I62:M62"/>
    <mergeCell ref="I63:M63"/>
    <mergeCell ref="I64:M64"/>
    <mergeCell ref="I56:M56"/>
    <mergeCell ref="I57:M57"/>
    <mergeCell ref="I58:M58"/>
    <mergeCell ref="I59:M59"/>
    <mergeCell ref="I60:M60"/>
    <mergeCell ref="I51:M51"/>
    <mergeCell ref="I52:M52"/>
    <mergeCell ref="I53:M53"/>
    <mergeCell ref="I54:M54"/>
    <mergeCell ref="I55:M55"/>
    <mergeCell ref="I49:M49"/>
    <mergeCell ref="I50:M50"/>
    <mergeCell ref="I42:M42"/>
    <mergeCell ref="I43:M43"/>
    <mergeCell ref="I44:M44"/>
    <mergeCell ref="I45:M45"/>
    <mergeCell ref="I46:M46"/>
    <mergeCell ref="I39:M39"/>
    <mergeCell ref="I40:M40"/>
    <mergeCell ref="I41:M41"/>
    <mergeCell ref="I47:M47"/>
    <mergeCell ref="I48:M48"/>
    <mergeCell ref="I34:M34"/>
    <mergeCell ref="I35:M35"/>
    <mergeCell ref="I36:M36"/>
    <mergeCell ref="I37:M37"/>
    <mergeCell ref="I38:M38"/>
    <mergeCell ref="I18:M18"/>
    <mergeCell ref="I19:M19"/>
    <mergeCell ref="I20:M20"/>
    <mergeCell ref="I12:M12"/>
    <mergeCell ref="I74:M74"/>
    <mergeCell ref="I23:M23"/>
    <mergeCell ref="I24:M24"/>
    <mergeCell ref="I25:M25"/>
    <mergeCell ref="I26:M26"/>
    <mergeCell ref="I27:M27"/>
    <mergeCell ref="I28:M28"/>
    <mergeCell ref="I29:M29"/>
    <mergeCell ref="I30:M30"/>
    <mergeCell ref="I31:M31"/>
    <mergeCell ref="I32:M32"/>
    <mergeCell ref="I33:M33"/>
    <mergeCell ref="I71:M71"/>
    <mergeCell ref="I72:M72"/>
    <mergeCell ref="I73:M73"/>
    <mergeCell ref="I1:M1"/>
    <mergeCell ref="I22:M22"/>
    <mergeCell ref="I3:M3"/>
    <mergeCell ref="I4:M4"/>
    <mergeCell ref="I5:M5"/>
    <mergeCell ref="I6:M6"/>
    <mergeCell ref="I7:M7"/>
    <mergeCell ref="I9:M9"/>
    <mergeCell ref="I10:M10"/>
    <mergeCell ref="I13:M13"/>
    <mergeCell ref="I15:M15"/>
    <mergeCell ref="I17:M17"/>
    <mergeCell ref="I16:M16"/>
  </mergeCells>
  <pageMargins left="0.7" right="0.7" top="0.75" bottom="0.75" header="0.3" footer="0.3"/>
  <pageSetup orientation="portrait" r:id="rId1"/>
  <ignoredErrors>
    <ignoredError sqref="B52" formula="1"/>
  </ignoredErrors>
  <legacyDrawing r:id="rId2"/>
  <tableParts count="3">
    <tablePart r:id="rId3"/>
    <tablePart r:id="rId4"/>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A2AC2-6C2C-489D-A093-AEE0F0EAD9AC}">
  <sheetPr>
    <tabColor theme="5" tint="-0.249977111117893"/>
  </sheetPr>
  <dimension ref="A1:N139"/>
  <sheetViews>
    <sheetView zoomScale="115" zoomScaleNormal="130" workbookViewId="0">
      <pane xSplit="1" ySplit="2" topLeftCell="C17" activePane="bottomRight" state="frozen"/>
      <selection pane="topRight" activeCell="B1" sqref="B1"/>
      <selection pane="bottomLeft" activeCell="A3" sqref="A3"/>
      <selection pane="bottomRight" activeCell="D24" sqref="D24"/>
    </sheetView>
  </sheetViews>
  <sheetFormatPr defaultColWidth="9.1796875" defaultRowHeight="14.5" x14ac:dyDescent="0.35"/>
  <cols>
    <col min="1" max="1" width="78.453125" bestFit="1" customWidth="1"/>
    <col min="2" max="2" width="24" bestFit="1" customWidth="1"/>
    <col min="3" max="7" width="23.453125" bestFit="1" customWidth="1"/>
    <col min="8" max="8" width="22.81640625" bestFit="1" customWidth="1"/>
    <col min="9" max="13" width="23.453125" bestFit="1" customWidth="1"/>
  </cols>
  <sheetData>
    <row r="1" spans="1:14" ht="15.5" x14ac:dyDescent="0.35">
      <c r="A1" s="2" t="s">
        <v>117</v>
      </c>
      <c r="B1" s="2" t="s">
        <v>13</v>
      </c>
      <c r="C1" s="2" t="s">
        <v>2</v>
      </c>
      <c r="D1" s="2" t="s">
        <v>3</v>
      </c>
      <c r="E1" s="2" t="s">
        <v>4</v>
      </c>
      <c r="F1" s="2" t="s">
        <v>5</v>
      </c>
      <c r="G1" s="2" t="s">
        <v>6</v>
      </c>
      <c r="H1" s="2" t="s">
        <v>7</v>
      </c>
      <c r="I1" s="205" t="s">
        <v>29</v>
      </c>
      <c r="J1" s="19" t="s">
        <v>30</v>
      </c>
      <c r="K1" s="2" t="s">
        <v>31</v>
      </c>
      <c r="L1" s="2" t="s">
        <v>32</v>
      </c>
      <c r="M1" s="19" t="s">
        <v>33</v>
      </c>
    </row>
    <row r="2" spans="1:14" ht="15.5" x14ac:dyDescent="0.35">
      <c r="A2" s="2" t="s">
        <v>1553</v>
      </c>
      <c r="B2" s="159">
        <f>'Raw Data'!B4</f>
        <v>2162315906238</v>
      </c>
      <c r="C2" s="159">
        <f>'Raw Data'!C4</f>
        <v>2497400717875</v>
      </c>
      <c r="D2" s="159">
        <f>'Raw Data'!D4</f>
        <v>2855776350214</v>
      </c>
      <c r="E2" s="159">
        <f>'Raw Data'!E4</f>
        <v>3252481516052</v>
      </c>
      <c r="F2" s="159">
        <f>'Raw Data'!F4</f>
        <v>2684551950336</v>
      </c>
      <c r="G2" s="159">
        <f>'Raw Data'!G4</f>
        <v>2668275093087</v>
      </c>
      <c r="H2" s="159">
        <f>'Raw Data'!H4</f>
        <v>3520857948925</v>
      </c>
      <c r="I2" s="206" cm="1">
        <f t="array" ref="I2">Sales_Forecasts_Summary[2023]</f>
        <v>3883436954013.4277</v>
      </c>
      <c r="J2" s="20" cm="1">
        <f t="array" ref="J2">Sales_Forecasts_Summary[2024]</f>
        <v>4429599604199.3672</v>
      </c>
      <c r="K2" s="20" cm="1">
        <f t="array" ref="K2">Sales_Forecasts_Summary[2025]</f>
        <v>5061844152380.1563</v>
      </c>
      <c r="L2" s="20" cm="1">
        <f t="array" ref="L2">Sales_Forecasts_Summary[2026]</f>
        <v>5795212120293.8242</v>
      </c>
      <c r="M2" s="20" cm="1">
        <f t="array" ref="M2">Sales_Forecasts_Summary[2027]</f>
        <v>6647612779394.1045</v>
      </c>
    </row>
    <row r="3" spans="1:14" ht="15.5" x14ac:dyDescent="0.35">
      <c r="A3" s="2" t="s">
        <v>364</v>
      </c>
      <c r="B3" s="159">
        <f>'Raw Data'!B5</f>
        <v>1315991880972</v>
      </c>
      <c r="C3" s="159">
        <f>'Raw Data'!C5</f>
        <v>1563850760815</v>
      </c>
      <c r="D3" s="159">
        <f>'Raw Data'!D5</f>
        <v>1789107482383</v>
      </c>
      <c r="E3" s="159">
        <f>'Raw Data'!E5</f>
        <v>2054990358755</v>
      </c>
      <c r="F3" s="159">
        <f>'Raw Data'!F5</f>
        <v>1654810794517</v>
      </c>
      <c r="G3" s="159">
        <f>'Raw Data'!G5</f>
        <v>1541112345410</v>
      </c>
      <c r="H3" s="159">
        <f>'Raw Data'!H5</f>
        <v>1996781932537</v>
      </c>
      <c r="I3" s="207">
        <f>I2*Assumptions!$B$13</f>
        <v>2359588448094.5957</v>
      </c>
      <c r="J3" s="165">
        <f>J2*Assumptions!$B$13</f>
        <v>2691438583791.4341</v>
      </c>
      <c r="K3" s="165">
        <f>K2*Assumptions!$B$13</f>
        <v>3075592350139.1543</v>
      </c>
      <c r="L3" s="165">
        <f>L2*Assumptions!$B$13</f>
        <v>3521189022824.5005</v>
      </c>
      <c r="M3" s="165">
        <f>M2*Assumptions!$B$13</f>
        <v>4039110331237.2969</v>
      </c>
    </row>
    <row r="4" spans="1:14" ht="16" thickBot="1" x14ac:dyDescent="0.4">
      <c r="A4" s="216" t="s">
        <v>365</v>
      </c>
      <c r="B4" s="217">
        <f>B3-'Raw Data'!B151</f>
        <v>1271668218312</v>
      </c>
      <c r="C4" s="217">
        <f>C3-'Raw Data'!C151</f>
        <v>1514052429400</v>
      </c>
      <c r="D4" s="217">
        <f>D3-'Raw Data'!D151</f>
        <v>1723117535108</v>
      </c>
      <c r="E4" s="217">
        <f>E3-'Raw Data'!E151</f>
        <v>1977438205673</v>
      </c>
      <c r="F4" s="217">
        <f>F3-'Raw Data'!F151</f>
        <v>1574383779431</v>
      </c>
      <c r="G4" s="217">
        <f>G3-'Raw Data'!G151</f>
        <v>1457192916153</v>
      </c>
      <c r="H4" s="217">
        <f>H3-'Raw Data'!H151</f>
        <v>1914296298526</v>
      </c>
      <c r="I4" s="222">
        <f>I3-I106</f>
        <v>2248912178052.1538</v>
      </c>
      <c r="J4" s="223">
        <f>J3-J106</f>
        <v>2549346468710.2456</v>
      </c>
      <c r="K4" s="223">
        <f>K3-K106</f>
        <v>2898325341251.7983</v>
      </c>
      <c r="L4" s="223">
        <f>L3-L106</f>
        <v>3304262787845.3672</v>
      </c>
      <c r="M4" s="223">
        <f>M3-M106</f>
        <v>3777681917129.2388</v>
      </c>
    </row>
    <row r="5" spans="1:14" ht="15.5" x14ac:dyDescent="0.35">
      <c r="A5" s="2" t="s">
        <v>366</v>
      </c>
      <c r="B5" s="215">
        <f>B2-B4</f>
        <v>890647687926</v>
      </c>
      <c r="C5" s="215">
        <f>C2-C4</f>
        <v>983348288475</v>
      </c>
      <c r="D5" s="215">
        <f>D2-D4</f>
        <v>1132658815106</v>
      </c>
      <c r="E5" s="215">
        <f>E2-E4</f>
        <v>1275043310379</v>
      </c>
      <c r="F5" s="215">
        <f t="shared" ref="F5:H5" si="0">F2-F4</f>
        <v>1110168170905</v>
      </c>
      <c r="G5" s="215">
        <f t="shared" si="0"/>
        <v>1211082176934</v>
      </c>
      <c r="H5" s="215">
        <f t="shared" si="0"/>
        <v>1606561650399</v>
      </c>
      <c r="I5" s="208">
        <f>I2-I4</f>
        <v>1634524775961.2739</v>
      </c>
      <c r="J5" s="3">
        <f>J2-J4</f>
        <v>1880253135489.1216</v>
      </c>
      <c r="K5" s="3">
        <f>K2-K4</f>
        <v>2163518811128.3579</v>
      </c>
      <c r="L5" s="3">
        <f>L2-L4</f>
        <v>2490949332448.457</v>
      </c>
      <c r="M5" s="3">
        <f>M2-M4</f>
        <v>2869930862264.8657</v>
      </c>
    </row>
    <row r="6" spans="1:14" ht="15.5" x14ac:dyDescent="0.35">
      <c r="A6" s="2" t="s">
        <v>120</v>
      </c>
      <c r="B6" s="161">
        <f>'Raw Data'!B10</f>
        <v>0</v>
      </c>
      <c r="C6" s="161">
        <f>'Raw Data'!C10</f>
        <v>0</v>
      </c>
      <c r="D6" s="161">
        <f>'Raw Data'!D10</f>
        <v>0</v>
      </c>
      <c r="E6" s="161">
        <f>'Raw Data'!E10</f>
        <v>0</v>
      </c>
      <c r="F6" s="161">
        <f>'Raw Data'!F10</f>
        <v>0</v>
      </c>
      <c r="G6" s="161">
        <f>'Raw Data'!G10</f>
        <v>0</v>
      </c>
      <c r="H6" s="161">
        <f>'Raw Data'!H10</f>
        <v>0</v>
      </c>
      <c r="I6" s="205"/>
      <c r="J6" s="2"/>
      <c r="K6" s="2"/>
      <c r="L6" s="2"/>
      <c r="M6" s="2"/>
      <c r="N6" s="149"/>
    </row>
    <row r="7" spans="1:14" ht="15.5" x14ac:dyDescent="0.35">
      <c r="A7" s="2" t="s">
        <v>121</v>
      </c>
      <c r="B7" s="159">
        <f>'Raw Data'!B11</f>
        <v>309782396478</v>
      </c>
      <c r="C7" s="159">
        <f>'Raw Data'!C11</f>
        <v>371405879821</v>
      </c>
      <c r="D7" s="159">
        <f>'Raw Data'!D11</f>
        <v>432623981454</v>
      </c>
      <c r="E7" s="159">
        <f>'Raw Data'!E11</f>
        <v>500044195759</v>
      </c>
      <c r="F7" s="159">
        <f>'Raw Data'!F11</f>
        <v>488676448608</v>
      </c>
      <c r="G7" s="159">
        <f>'Raw Data'!G11</f>
        <v>504674977559</v>
      </c>
      <c r="H7" s="159">
        <f>'Raw Data'!H11</f>
        <v>738522525878</v>
      </c>
      <c r="I7" s="207">
        <f>I2*Assumptions!$B$15</f>
        <v>669814177087.87207</v>
      </c>
      <c r="J7" s="165">
        <f>J2*Assumptions!$B$15</f>
        <v>764016166310.93738</v>
      </c>
      <c r="K7" s="165">
        <f>K2*Assumptions!$B$15</f>
        <v>873065538496.66235</v>
      </c>
      <c r="L7" s="165">
        <f>L2*Assumptions!$B$15</f>
        <v>999556651329.854</v>
      </c>
      <c r="M7" s="165">
        <f>M2*Assumptions!$B$15</f>
        <v>1146578491206.6035</v>
      </c>
    </row>
    <row r="8" spans="1:14" ht="15.5" x14ac:dyDescent="0.35">
      <c r="A8" s="2" t="s">
        <v>122</v>
      </c>
      <c r="B8" s="159">
        <f>'Raw Data'!B12</f>
        <v>238920077749</v>
      </c>
      <c r="C8" s="159">
        <f>'Raw Data'!C12</f>
        <v>248369871852</v>
      </c>
      <c r="D8" s="159">
        <f>'Raw Data'!D12</f>
        <v>272748858876</v>
      </c>
      <c r="E8" s="159">
        <f>'Raw Data'!E12</f>
        <v>285140218494</v>
      </c>
      <c r="F8" s="159">
        <f>'Raw Data'!F12</f>
        <v>254856941468</v>
      </c>
      <c r="G8" s="159">
        <f>'Raw Data'!G12</f>
        <v>292392358391</v>
      </c>
      <c r="H8" s="159">
        <f>'Raw Data'!H12</f>
        <v>319389279653</v>
      </c>
      <c r="I8" s="207">
        <f>I2*Assumptions!$B$16</f>
        <v>374011736067.47058</v>
      </c>
      <c r="J8" s="165">
        <f>J2*Assumptions!$B$16</f>
        <v>426612368803.41467</v>
      </c>
      <c r="K8" s="165">
        <f>K2*Assumptions!$B$16</f>
        <v>487503503096.17261</v>
      </c>
      <c r="L8" s="165">
        <f>L2*Assumptions!$B$16</f>
        <v>558133779859.69641</v>
      </c>
      <c r="M8" s="165">
        <f>M2*Assumptions!$B$16</f>
        <v>640228031449.30249</v>
      </c>
    </row>
    <row r="9" spans="1:14" ht="15.5" hidden="1" x14ac:dyDescent="0.35">
      <c r="A9" s="2" t="s">
        <v>367</v>
      </c>
      <c r="B9" s="159">
        <f>'Raw Data'!B7</f>
        <v>20405977867</v>
      </c>
      <c r="C9" s="159">
        <f>'Raw Data'!C7</f>
        <v>18669699664</v>
      </c>
      <c r="D9" s="159">
        <f>'Raw Data'!D7</f>
        <v>13513154919</v>
      </c>
      <c r="E9" s="159">
        <f>'Raw Data'!E7</f>
        <v>29972019720</v>
      </c>
      <c r="F9" s="159">
        <f>'Raw Data'!F7</f>
        <v>26526594813</v>
      </c>
      <c r="G9" s="159">
        <f>'Raw Data'!G7</f>
        <v>32025269716</v>
      </c>
      <c r="H9" s="159">
        <f>'Raw Data'!H7</f>
        <v>62117465329</v>
      </c>
      <c r="I9" s="205"/>
      <c r="J9" s="2"/>
      <c r="K9" s="2"/>
      <c r="L9" s="2"/>
      <c r="M9" s="2"/>
    </row>
    <row r="10" spans="1:14" ht="15.5" hidden="1" x14ac:dyDescent="0.35">
      <c r="A10" s="2" t="s">
        <v>368</v>
      </c>
      <c r="B10" s="159">
        <f>'Raw Data'!B8</f>
        <v>16302234359</v>
      </c>
      <c r="C10" s="159">
        <f>'Raw Data'!C8</f>
        <v>12149140252</v>
      </c>
      <c r="D10" s="159">
        <f>'Raw Data'!D8</f>
        <v>16908537876</v>
      </c>
      <c r="E10" s="159">
        <f>'Raw Data'!E8</f>
        <v>14334036161</v>
      </c>
      <c r="F10" s="159">
        <f>'Raw Data'!F8</f>
        <v>15968918896</v>
      </c>
      <c r="G10" s="159">
        <f>'Raw Data'!G8</f>
        <v>6854564215</v>
      </c>
      <c r="H10" s="159">
        <f>'Raw Data'!H8</f>
        <v>29129202927</v>
      </c>
      <c r="I10" s="205"/>
      <c r="J10" s="2"/>
      <c r="K10" s="2"/>
      <c r="L10" s="2"/>
      <c r="M10" s="2"/>
    </row>
    <row r="11" spans="1:14" ht="15.5" x14ac:dyDescent="0.35">
      <c r="A11" s="2" t="s">
        <v>123</v>
      </c>
      <c r="B11" s="159">
        <f>B9-B10+B18</f>
        <v>14801155518</v>
      </c>
      <c r="C11" s="159">
        <f t="shared" ref="C11:H11" si="1">C9-C10+C18</f>
        <v>16020849419</v>
      </c>
      <c r="D11" s="159">
        <f t="shared" si="1"/>
        <v>7672759502</v>
      </c>
      <c r="E11" s="159">
        <f t="shared" si="1"/>
        <v>27072537381</v>
      </c>
      <c r="F11" s="159">
        <f t="shared" si="1"/>
        <v>22411497623</v>
      </c>
      <c r="G11" s="159">
        <f t="shared" si="1"/>
        <v>32190683849</v>
      </c>
      <c r="H11" s="8">
        <f t="shared" si="1"/>
        <v>41869979262</v>
      </c>
      <c r="I11" s="207">
        <f>I2*Assumptions!$B$17</f>
        <v>32187186132.376423</v>
      </c>
      <c r="J11" s="165">
        <f>J2*Assumptions!$B$17</f>
        <v>36713959474.716629</v>
      </c>
      <c r="K11" s="165">
        <f>K2*Assumptions!$B$17</f>
        <v>41954207531.903175</v>
      </c>
      <c r="L11" s="165">
        <f>L2*Assumptions!$B$17</f>
        <v>48032599318.942413</v>
      </c>
      <c r="M11" s="165">
        <f>M2*Assumptions!$B$17</f>
        <v>55097572691.425339</v>
      </c>
    </row>
    <row r="12" spans="1:14" ht="15.5" hidden="1" x14ac:dyDescent="0.35">
      <c r="A12" s="2" t="s">
        <v>369</v>
      </c>
      <c r="B12" s="159">
        <f>'Raw Data'!B14</f>
        <v>6460309364</v>
      </c>
      <c r="C12" s="159">
        <f>'Raw Data'!C14</f>
        <v>14976961586</v>
      </c>
      <c r="D12" s="159">
        <f>'Raw Data'!D14</f>
        <v>11305534329</v>
      </c>
      <c r="E12" s="159">
        <f>'Raw Data'!E14</f>
        <v>9723383622</v>
      </c>
      <c r="F12" s="159">
        <f>'Raw Data'!F14</f>
        <v>8799926472</v>
      </c>
      <c r="G12" s="159">
        <f>'Raw Data'!G14</f>
        <v>5391709425</v>
      </c>
      <c r="H12" s="159">
        <f>'Raw Data'!H14</f>
        <v>10163649081</v>
      </c>
      <c r="I12" s="205"/>
      <c r="J12" s="2"/>
      <c r="K12" s="2"/>
      <c r="L12" s="2"/>
      <c r="M12" s="2"/>
    </row>
    <row r="13" spans="1:14" ht="15.5" hidden="1" x14ac:dyDescent="0.35">
      <c r="A13" s="2" t="s">
        <v>370</v>
      </c>
      <c r="B13" s="159">
        <f>'Raw Data'!B15</f>
        <v>1821984864</v>
      </c>
      <c r="C13" s="159">
        <f>'Raw Data'!C15</f>
        <v>666120533</v>
      </c>
      <c r="D13" s="159">
        <f>'Raw Data'!D15</f>
        <v>935307493</v>
      </c>
      <c r="E13" s="159">
        <f>'Raw Data'!E15</f>
        <v>817351647</v>
      </c>
      <c r="F13" s="159">
        <f>'Raw Data'!F15</f>
        <v>1927894452</v>
      </c>
      <c r="G13" s="159">
        <f>'Raw Data'!G15</f>
        <v>2092942627</v>
      </c>
      <c r="H13" s="159">
        <f>'Raw Data'!H15</f>
        <v>2649474138</v>
      </c>
      <c r="I13" s="205"/>
      <c r="J13" s="2"/>
      <c r="K13" s="2"/>
      <c r="L13" s="2"/>
      <c r="M13" s="2"/>
    </row>
    <row r="14" spans="1:14" ht="16" thickBot="1" x14ac:dyDescent="0.4">
      <c r="A14" s="216" t="s">
        <v>124</v>
      </c>
      <c r="B14" s="217">
        <f>'Raw Data'!B16</f>
        <v>4638324500</v>
      </c>
      <c r="C14" s="217">
        <f>'Raw Data'!C16</f>
        <v>14310841053</v>
      </c>
      <c r="D14" s="217">
        <f>'Raw Data'!D16</f>
        <v>10370226836</v>
      </c>
      <c r="E14" s="217">
        <f>'Raw Data'!E16</f>
        <v>8906031975</v>
      </c>
      <c r="F14" s="217">
        <f>'Raw Data'!F16</f>
        <v>6872032020</v>
      </c>
      <c r="G14" s="217">
        <f>'Raw Data'!G16</f>
        <v>3298766798</v>
      </c>
      <c r="H14" s="217">
        <f>'Raw Data'!H16</f>
        <v>7514174943</v>
      </c>
      <c r="I14" s="220">
        <f>I2*Assumptions!$B$18</f>
        <v>11669832183.974873</v>
      </c>
      <c r="J14" s="221">
        <f>J2*Assumptions!$B$18</f>
        <v>13311065593.52924</v>
      </c>
      <c r="K14" s="221">
        <f>K2*Assumptions!$B$18</f>
        <v>15210977414.906349</v>
      </c>
      <c r="L14" s="221">
        <f>L2*Assumptions!$B$18</f>
        <v>17414767824.278236</v>
      </c>
      <c r="M14" s="221">
        <f>M2*Assumptions!$B$18</f>
        <v>19976254662.613415</v>
      </c>
    </row>
    <row r="15" spans="1:14" ht="15.5" x14ac:dyDescent="0.35">
      <c r="A15" s="201" t="s">
        <v>73</v>
      </c>
      <c r="B15" s="8">
        <f>B5+B11+B6-B7-B8+B14</f>
        <v>361384693717</v>
      </c>
      <c r="C15" s="8">
        <f>C5+C11+C6-C7-C8+C14</f>
        <v>393904227274</v>
      </c>
      <c r="D15" s="8">
        <f t="shared" ref="D15:M15" si="2">D5+D11+D6-D7-D8+D14</f>
        <v>445328961114</v>
      </c>
      <c r="E15" s="8">
        <f t="shared" si="2"/>
        <v>525837465482</v>
      </c>
      <c r="F15" s="8">
        <f>F5+F11+F6-F7-F8+F14</f>
        <v>395918310472</v>
      </c>
      <c r="G15" s="8">
        <f t="shared" si="2"/>
        <v>449504291631</v>
      </c>
      <c r="H15" s="8">
        <f t="shared" si="2"/>
        <v>598033999073</v>
      </c>
      <c r="I15" s="208">
        <f>I5+I11+I6-I7-I8+I14</f>
        <v>634555881122.28259</v>
      </c>
      <c r="J15" s="3">
        <f t="shared" si="2"/>
        <v>739649625443.0155</v>
      </c>
      <c r="K15" s="3">
        <f t="shared" si="2"/>
        <v>860114954482.33264</v>
      </c>
      <c r="L15" s="3">
        <f t="shared" si="2"/>
        <v>998706268402.1272</v>
      </c>
      <c r="M15" s="3">
        <f t="shared" si="2"/>
        <v>1158198166962.9985</v>
      </c>
    </row>
    <row r="16" spans="1:14" ht="15.5" x14ac:dyDescent="0.35">
      <c r="A16" s="2" t="s">
        <v>371</v>
      </c>
      <c r="B16" s="159">
        <f>'Raw Data'!B151</f>
        <v>44323662660</v>
      </c>
      <c r="C16" s="159">
        <f>'Raw Data'!C151</f>
        <v>49798331415</v>
      </c>
      <c r="D16" s="159">
        <f>'Raw Data'!D151</f>
        <v>65989947275</v>
      </c>
      <c r="E16" s="159">
        <f>'Raw Data'!E151</f>
        <v>77552153082</v>
      </c>
      <c r="F16" s="159">
        <f>'Raw Data'!F151</f>
        <v>80427015086</v>
      </c>
      <c r="G16" s="159">
        <f>'Raw Data'!G151</f>
        <v>83919429257</v>
      </c>
      <c r="H16" s="159">
        <f>'Raw Data'!H151</f>
        <v>82485634011</v>
      </c>
      <c r="I16" s="214">
        <f>I106</f>
        <v>110676270042.44167</v>
      </c>
      <c r="J16" s="175">
        <f t="shared" ref="J16:M16" si="3">J106</f>
        <v>142092115081.18839</v>
      </c>
      <c r="K16" s="175">
        <f t="shared" si="3"/>
        <v>177267008887.35602</v>
      </c>
      <c r="L16" s="175">
        <f t="shared" si="3"/>
        <v>216926234979.13324</v>
      </c>
      <c r="M16" s="175">
        <f t="shared" si="3"/>
        <v>261428414108.05792</v>
      </c>
    </row>
    <row r="17" spans="1:13" x14ac:dyDescent="0.35">
      <c r="A17" s="183" t="s">
        <v>372</v>
      </c>
      <c r="B17" s="162">
        <f>B15-B16</f>
        <v>317061031057</v>
      </c>
      <c r="C17" s="162">
        <f>C15-C16</f>
        <v>344105895859</v>
      </c>
      <c r="D17" s="162">
        <f t="shared" ref="D17:H17" si="4">D15-D16</f>
        <v>379339013839</v>
      </c>
      <c r="E17" s="162">
        <f t="shared" si="4"/>
        <v>448285312400</v>
      </c>
      <c r="F17" s="162">
        <f t="shared" si="4"/>
        <v>315491295386</v>
      </c>
      <c r="G17" s="162">
        <f t="shared" si="4"/>
        <v>365584862374</v>
      </c>
      <c r="H17" s="162">
        <f t="shared" si="4"/>
        <v>515548365062</v>
      </c>
      <c r="I17" s="66">
        <f>I15-I16</f>
        <v>523879611079.84094</v>
      </c>
      <c r="J17" s="47">
        <f>J15-J16</f>
        <v>597557510361.82715</v>
      </c>
      <c r="K17" s="47">
        <f>K15-K16</f>
        <v>682847945594.97656</v>
      </c>
      <c r="L17" s="47">
        <f>L15-L16</f>
        <v>781780033422.9939</v>
      </c>
      <c r="M17" s="47">
        <f>M15-M16</f>
        <v>896769752854.94067</v>
      </c>
    </row>
    <row r="18" spans="1:13" ht="16" thickBot="1" x14ac:dyDescent="0.4">
      <c r="A18" s="216" t="s">
        <v>125</v>
      </c>
      <c r="B18" s="217">
        <f>'Raw Data'!B9</f>
        <v>10697412010</v>
      </c>
      <c r="C18" s="217">
        <f>'Raw Data'!C9</f>
        <v>9500290007</v>
      </c>
      <c r="D18" s="217">
        <f>'Raw Data'!D9</f>
        <v>11068142459</v>
      </c>
      <c r="E18" s="217">
        <f>'Raw Data'!E9</f>
        <v>11434553822</v>
      </c>
      <c r="F18" s="217">
        <f>'Raw Data'!F9</f>
        <v>11853821706</v>
      </c>
      <c r="G18" s="217">
        <f>'Raw Data'!G9</f>
        <v>7019978348</v>
      </c>
      <c r="H18" s="217">
        <f>'Raw Data'!H9</f>
        <v>8881716860</v>
      </c>
      <c r="I18" s="220">
        <f>Assumptions!$B$19*(FS!H82+FS!H87)</f>
        <v>12669338015.616449</v>
      </c>
      <c r="J18" s="220">
        <f>Assumptions!$B$19*(FS!I82+FS!I87)</f>
        <v>25178602664.827503</v>
      </c>
      <c r="K18" s="220">
        <f>Assumptions!$B$19*(FS!J82+FS!J87)</f>
        <v>37498321069.898178</v>
      </c>
      <c r="L18" s="220">
        <f>Assumptions!$B$19*(FS!K82+FS!K87)</f>
        <v>57624082297.313599</v>
      </c>
      <c r="M18" s="220">
        <f>Assumptions!$B$19*(FS!L82+FS!L87)</f>
        <v>81845275428.615295</v>
      </c>
    </row>
    <row r="19" spans="1:13" ht="15.5" x14ac:dyDescent="0.35">
      <c r="A19" s="201" t="s">
        <v>373</v>
      </c>
      <c r="B19" s="8">
        <f>B17-B18</f>
        <v>306363619047</v>
      </c>
      <c r="C19" s="8">
        <f>C17-C18</f>
        <v>334605605852</v>
      </c>
      <c r="D19" s="8">
        <f t="shared" ref="D19:H19" si="5">D17-D18</f>
        <v>368270871380</v>
      </c>
      <c r="E19" s="8">
        <f t="shared" si="5"/>
        <v>436850758578</v>
      </c>
      <c r="F19" s="8">
        <f t="shared" si="5"/>
        <v>303637473680</v>
      </c>
      <c r="G19" s="8">
        <f t="shared" si="5"/>
        <v>358564884026</v>
      </c>
      <c r="H19" s="8">
        <f t="shared" si="5"/>
        <v>506666648202</v>
      </c>
      <c r="I19" s="208">
        <f>I17-I18</f>
        <v>511210273064.22449</v>
      </c>
      <c r="J19" s="3">
        <f>J17-J18</f>
        <v>572378907696.99963</v>
      </c>
      <c r="K19" s="3">
        <f>K17-K18</f>
        <v>645349624525.07837</v>
      </c>
      <c r="L19" s="3">
        <f>L17-L18</f>
        <v>724155951125.6803</v>
      </c>
      <c r="M19" s="3">
        <f>M17-M18</f>
        <v>814924477426.32544</v>
      </c>
    </row>
    <row r="20" spans="1:13" ht="15.5" x14ac:dyDescent="0.35">
      <c r="A20" s="2" t="s">
        <v>374</v>
      </c>
      <c r="B20" s="159">
        <f>'Raw Data'!B18</f>
        <v>65883045149</v>
      </c>
      <c r="C20" s="159">
        <f>'Raw Data'!C18</f>
        <v>68249146618</v>
      </c>
      <c r="D20" s="159">
        <f>'Raw Data'!D18</f>
        <v>73015976515</v>
      </c>
      <c r="E20" s="159">
        <f>'Raw Data'!E18</f>
        <v>94012038665</v>
      </c>
      <c r="F20" s="159">
        <f>'Raw Data'!F18</f>
        <v>61440847225</v>
      </c>
      <c r="G20" s="159">
        <f>'Raw Data'!G18</f>
        <v>63006307674</v>
      </c>
      <c r="H20" s="159">
        <f>'Raw Data'!H18</f>
        <v>122426716645</v>
      </c>
      <c r="I20" s="205"/>
      <c r="J20" s="2"/>
      <c r="K20" s="2"/>
      <c r="L20" s="2"/>
      <c r="M20" s="2"/>
    </row>
    <row r="21" spans="1:13" ht="15.5" x14ac:dyDescent="0.35">
      <c r="A21" s="2" t="s">
        <v>375</v>
      </c>
      <c r="B21" s="159">
        <f>'Raw Data'!B19</f>
        <v>407674877</v>
      </c>
      <c r="C21" s="159">
        <f>'Raw Data'!C19</f>
        <v>-1701622845</v>
      </c>
      <c r="D21" s="159">
        <f>'Raw Data'!D19</f>
        <v>870652717</v>
      </c>
      <c r="E21" s="159">
        <f>'Raw Data'!E19</f>
        <v>-6248329163</v>
      </c>
      <c r="F21" s="159">
        <f>'Raw Data'!F19</f>
        <v>2351589706</v>
      </c>
      <c r="G21" s="159">
        <f>'Raw Data'!G19</f>
        <v>18851163095</v>
      </c>
      <c r="H21" s="159">
        <f>'Raw Data'!H19</f>
        <v>-16697468958</v>
      </c>
      <c r="I21" s="205"/>
      <c r="J21" s="2"/>
      <c r="K21" s="2"/>
      <c r="L21" s="2"/>
      <c r="M21" s="2"/>
    </row>
    <row r="22" spans="1:13" ht="16" thickBot="1" x14ac:dyDescent="0.4">
      <c r="A22" s="216" t="s">
        <v>127</v>
      </c>
      <c r="B22" s="217">
        <f>B20+B21</f>
        <v>66290720026</v>
      </c>
      <c r="C22" s="217">
        <f>C20+C21</f>
        <v>66547523773</v>
      </c>
      <c r="D22" s="217">
        <f t="shared" ref="D22:H22" si="6">D20+D21</f>
        <v>73886629232</v>
      </c>
      <c r="E22" s="217">
        <f t="shared" si="6"/>
        <v>87763709502</v>
      </c>
      <c r="F22" s="217">
        <f t="shared" si="6"/>
        <v>63792436931</v>
      </c>
      <c r="G22" s="217">
        <f t="shared" si="6"/>
        <v>81857470769</v>
      </c>
      <c r="H22" s="217">
        <f t="shared" si="6"/>
        <v>105729247687</v>
      </c>
      <c r="I22" s="218">
        <f>Assumptions!$B$20*FS!I19</f>
        <v>106287239836.6796</v>
      </c>
      <c r="J22" s="219">
        <f>Assumptions!$B$20*FS!J19</f>
        <v>119004991576.53793</v>
      </c>
      <c r="K22" s="219">
        <f>Assumptions!$B$20*FS!K19</f>
        <v>134176549131.65392</v>
      </c>
      <c r="L22" s="219">
        <f>Assumptions!$B$20*FS!L19</f>
        <v>150561405574.07047</v>
      </c>
      <c r="M22" s="219">
        <f>Assumptions!$B$20*FS!M19</f>
        <v>169433358335.72122</v>
      </c>
    </row>
    <row r="23" spans="1:13" x14ac:dyDescent="0.35">
      <c r="A23" s="57" t="s">
        <v>376</v>
      </c>
      <c r="B23" s="156">
        <f>B19-B22</f>
        <v>240072899021</v>
      </c>
      <c r="C23" s="156">
        <f t="shared" ref="C23:G23" si="7">C19-C22</f>
        <v>268058082079</v>
      </c>
      <c r="D23" s="156">
        <f t="shared" si="7"/>
        <v>294384242148</v>
      </c>
      <c r="E23" s="156">
        <f t="shared" si="7"/>
        <v>349087049076</v>
      </c>
      <c r="F23" s="156">
        <f t="shared" si="7"/>
        <v>239845036749</v>
      </c>
      <c r="G23" s="156">
        <f t="shared" si="7"/>
        <v>276707413257</v>
      </c>
      <c r="H23" s="156">
        <f>H19-H22</f>
        <v>400937400515</v>
      </c>
      <c r="I23" s="211">
        <f t="shared" ref="I23:M23" si="8">I19-I22</f>
        <v>404923033227.54492</v>
      </c>
      <c r="J23" s="156">
        <f t="shared" si="8"/>
        <v>453373916120.46167</v>
      </c>
      <c r="K23" s="156">
        <f t="shared" si="8"/>
        <v>511173075393.42444</v>
      </c>
      <c r="L23" s="156">
        <f t="shared" si="8"/>
        <v>573594545551.60986</v>
      </c>
      <c r="M23" s="156">
        <f t="shared" si="8"/>
        <v>645491119090.60425</v>
      </c>
    </row>
    <row r="24" spans="1:13" ht="15.5" x14ac:dyDescent="0.35">
      <c r="A24" s="163" t="s">
        <v>377</v>
      </c>
      <c r="B24" s="164">
        <f>'Raw Data'!B20</f>
        <v>240072899021</v>
      </c>
      <c r="C24" s="164">
        <f>'Raw Data'!C20</f>
        <v>268058082079</v>
      </c>
      <c r="D24" s="164">
        <f>'Raw Data'!D20</f>
        <v>294384242148</v>
      </c>
      <c r="E24" s="164">
        <f>'Raw Data'!E20</f>
        <v>349087049076</v>
      </c>
      <c r="F24" s="164">
        <f>'Raw Data'!F20</f>
        <v>239845036749</v>
      </c>
      <c r="G24" s="164">
        <f>'Raw Data'!G20</f>
        <v>276707413257</v>
      </c>
      <c r="H24" s="164">
        <f>'Raw Data'!H20</f>
        <v>400937400515</v>
      </c>
      <c r="I24" s="212"/>
      <c r="J24" s="163"/>
      <c r="K24" s="163"/>
      <c r="L24" s="163"/>
      <c r="M24" s="163"/>
    </row>
    <row r="25" spans="1:13" ht="15.5" x14ac:dyDescent="0.35">
      <c r="A25" s="2" t="s">
        <v>378</v>
      </c>
      <c r="B25" s="159">
        <f>'Raw Data'!B23</f>
        <v>5514</v>
      </c>
      <c r="C25" s="159">
        <f>'Raw Data'!C23</f>
        <v>4833</v>
      </c>
      <c r="D25" s="159">
        <f>'Raw Data'!D23</f>
        <v>4031</v>
      </c>
      <c r="E25" s="159">
        <f>'Raw Data'!E23</f>
        <v>4084</v>
      </c>
      <c r="F25" s="159">
        <f>'Raw Data'!F23</f>
        <v>2775</v>
      </c>
      <c r="G25" s="159">
        <f>'Raw Data'!G23</f>
        <v>3201</v>
      </c>
      <c r="H25" s="159">
        <f>'Raw Data'!H23</f>
        <v>4643</v>
      </c>
      <c r="I25" s="209">
        <f>I23/I28</f>
        <v>5205.0373466543297</v>
      </c>
      <c r="J25" s="175">
        <f>J23/J28</f>
        <v>5827.8437425411512</v>
      </c>
      <c r="K25" s="175">
        <f>K23/K28</f>
        <v>6570.8165001613215</v>
      </c>
      <c r="L25" s="175">
        <f>L23/L28</f>
        <v>7373.2062304186375</v>
      </c>
      <c r="M25" s="175">
        <f>M23/M28</f>
        <v>8297.3926057504923</v>
      </c>
    </row>
    <row r="26" spans="1:13" ht="15.5" x14ac:dyDescent="0.35">
      <c r="A26" s="2" t="s">
        <v>379</v>
      </c>
      <c r="B26" s="159">
        <f>'Raw Data'!B24</f>
        <v>5514</v>
      </c>
      <c r="C26" s="159">
        <f>'Raw Data'!C24</f>
        <v>0</v>
      </c>
      <c r="D26" s="159">
        <f>'Raw Data'!D24</f>
        <v>0</v>
      </c>
      <c r="E26" s="159">
        <f>'Raw Data'!E24</f>
        <v>0</v>
      </c>
      <c r="F26" s="159">
        <f>'Raw Data'!F24</f>
        <v>2775</v>
      </c>
      <c r="G26" s="159">
        <f>'Raw Data'!G24</f>
        <v>3201</v>
      </c>
      <c r="H26" s="159">
        <f>'Raw Data'!H24</f>
        <v>4643</v>
      </c>
      <c r="I26" s="205"/>
      <c r="J26" s="2"/>
      <c r="K26" s="2"/>
      <c r="L26" s="2"/>
      <c r="M26" s="2"/>
    </row>
    <row r="27" spans="1:13" ht="15.5" x14ac:dyDescent="0.35">
      <c r="A27" s="2" t="s">
        <v>380</v>
      </c>
      <c r="B27" s="159">
        <f>'Raw Data'!B21</f>
        <v>240072899021</v>
      </c>
      <c r="C27" s="159">
        <f>'Raw Data'!C21</f>
        <v>268058082079</v>
      </c>
      <c r="D27" s="159">
        <f>'Raw Data'!D21</f>
        <v>294384242148</v>
      </c>
      <c r="E27" s="159">
        <f>'Raw Data'!E21</f>
        <v>349087049076</v>
      </c>
      <c r="F27" s="159">
        <f>'Raw Data'!F21</f>
        <v>239845036749</v>
      </c>
      <c r="G27" s="159">
        <f>'Raw Data'!G21</f>
        <v>276707413257</v>
      </c>
      <c r="H27" s="159">
        <f>'Raw Data'!H21</f>
        <v>401370891172</v>
      </c>
      <c r="I27" s="213">
        <f>I23</f>
        <v>404923033227.54492</v>
      </c>
      <c r="J27" s="159">
        <f t="shared" ref="J27:M27" si="9">J23</f>
        <v>453373916120.46167</v>
      </c>
      <c r="K27" s="159">
        <f t="shared" si="9"/>
        <v>511173075393.42444</v>
      </c>
      <c r="L27" s="159">
        <f t="shared" si="9"/>
        <v>573594545551.60986</v>
      </c>
      <c r="M27" s="159">
        <f t="shared" si="9"/>
        <v>645491119090.60425</v>
      </c>
    </row>
    <row r="28" spans="1:13" ht="15.5" x14ac:dyDescent="0.35">
      <c r="A28" s="2" t="s">
        <v>381</v>
      </c>
      <c r="B28" s="159">
        <v>38312672</v>
      </c>
      <c r="C28" s="159">
        <v>50556256</v>
      </c>
      <c r="D28" s="159">
        <v>65722853</v>
      </c>
      <c r="E28" s="159">
        <v>77794453</v>
      </c>
      <c r="F28" s="159">
        <v>77794453</v>
      </c>
      <c r="G28" s="159">
        <v>77794453</v>
      </c>
      <c r="H28" s="159">
        <v>77794453</v>
      </c>
      <c r="I28" s="213">
        <f>Beta!F4</f>
        <v>77794453</v>
      </c>
      <c r="J28" s="46">
        <v>77794453</v>
      </c>
      <c r="K28" s="46">
        <v>77794453</v>
      </c>
      <c r="L28" s="46">
        <v>77794453</v>
      </c>
      <c r="M28" s="46">
        <v>77794453</v>
      </c>
    </row>
    <row r="29" spans="1:13" ht="15.5" x14ac:dyDescent="0.35">
      <c r="A29" s="2" t="s">
        <v>382</v>
      </c>
      <c r="B29" s="340"/>
      <c r="C29" s="159"/>
      <c r="D29" s="159"/>
      <c r="E29" s="8"/>
      <c r="F29" s="8">
        <f>(F27-F27*10%)/F28</f>
        <v>2774.7548154120964</v>
      </c>
      <c r="G29" s="8">
        <f>(G27-G27*10%)/G28</f>
        <v>3201.2137411815206</v>
      </c>
      <c r="H29" s="8">
        <f>(H27-H27*10%)/H28</f>
        <v>4643.4390644124715</v>
      </c>
      <c r="I29" s="209">
        <f>I27/I28</f>
        <v>5205.0373466543297</v>
      </c>
      <c r="J29" s="204">
        <f>J27/J28</f>
        <v>5827.8437425411512</v>
      </c>
      <c r="K29" s="204">
        <f>K27/K28</f>
        <v>6570.8165001613215</v>
      </c>
      <c r="L29" s="204">
        <f>L27/L28</f>
        <v>7373.2062304186375</v>
      </c>
      <c r="M29" s="204">
        <f>M27/M28</f>
        <v>8297.3926057504923</v>
      </c>
    </row>
    <row r="30" spans="1:13" ht="15.5" x14ac:dyDescent="0.35">
      <c r="A30" s="2"/>
      <c r="B30" s="159"/>
      <c r="C30" s="159"/>
      <c r="D30" s="159"/>
      <c r="E30" s="159"/>
      <c r="F30" s="159"/>
      <c r="G30" s="159"/>
      <c r="H30" s="159"/>
      <c r="I30" s="213"/>
      <c r="J30" s="46"/>
      <c r="K30" s="46"/>
      <c r="L30" s="46"/>
      <c r="M30" s="46"/>
    </row>
    <row r="31" spans="1:13" ht="15.5" x14ac:dyDescent="0.35">
      <c r="A31" s="2" t="s">
        <v>209</v>
      </c>
      <c r="B31" s="2" t="s">
        <v>13</v>
      </c>
      <c r="C31" s="2" t="s">
        <v>2</v>
      </c>
      <c r="D31" s="2" t="s">
        <v>3</v>
      </c>
      <c r="E31" s="2" t="s">
        <v>4</v>
      </c>
      <c r="F31" s="2" t="s">
        <v>5</v>
      </c>
      <c r="G31" s="2" t="s">
        <v>6</v>
      </c>
      <c r="H31" s="2" t="s">
        <v>7</v>
      </c>
      <c r="I31" s="205" t="s">
        <v>29</v>
      </c>
      <c r="J31" s="2" t="s">
        <v>30</v>
      </c>
      <c r="K31" s="2" t="s">
        <v>31</v>
      </c>
      <c r="L31" s="2" t="s">
        <v>32</v>
      </c>
      <c r="M31" s="2" t="s">
        <v>33</v>
      </c>
    </row>
    <row r="32" spans="1:13" ht="15.5" x14ac:dyDescent="0.35">
      <c r="A32" s="4" t="s">
        <v>383</v>
      </c>
      <c r="B32" s="170">
        <f>'Raw Data'!B28</f>
        <v>1025111080529</v>
      </c>
      <c r="C32" s="170">
        <f>'Raw Data'!C28</f>
        <v>1091968239964</v>
      </c>
      <c r="D32" s="170">
        <f>'Raw Data'!D28</f>
        <v>1176632415566</v>
      </c>
      <c r="E32" s="170">
        <f>'Raw Data'!E28</f>
        <v>1830894396372</v>
      </c>
      <c r="F32" s="170">
        <f>'Raw Data'!F28</f>
        <v>1701751836942</v>
      </c>
      <c r="G32" s="170">
        <f>'Raw Data'!G28</f>
        <v>1867453670532</v>
      </c>
      <c r="H32" s="170">
        <f>'Raw Data'!H28</f>
        <v>2133213102262</v>
      </c>
      <c r="I32" s="274">
        <f>I33+I36+I38+I44+I47</f>
        <v>2168126343521.0764</v>
      </c>
      <c r="J32" s="170">
        <f>J33+J36+J38+J44+J47</f>
        <v>2368703244779.9834</v>
      </c>
      <c r="K32" s="170">
        <f>K33+K36+K38+K44+K47</f>
        <v>2706792428134.2813</v>
      </c>
      <c r="L32" s="170">
        <f>L33+L36+L38+L44+L47</f>
        <v>3098956786187.7646</v>
      </c>
      <c r="M32" s="170">
        <f>M33+M36+M38+M44+M47</f>
        <v>3554773200192.6084</v>
      </c>
    </row>
    <row r="33" spans="1:13" ht="15.5" x14ac:dyDescent="0.35">
      <c r="A33" s="2" t="s">
        <v>130</v>
      </c>
      <c r="B33" s="3">
        <f>'Raw Data'!B29</f>
        <v>424423331022</v>
      </c>
      <c r="C33" s="3">
        <f>'Raw Data'!C29</f>
        <v>353869383127</v>
      </c>
      <c r="D33" s="3">
        <f>'Raw Data'!D29</f>
        <v>145861230396</v>
      </c>
      <c r="E33" s="3">
        <f>'Raw Data'!E29</f>
        <v>190855576577</v>
      </c>
      <c r="F33" s="3">
        <f>'Raw Data'!F29</f>
        <v>371680211939</v>
      </c>
      <c r="G33" s="3">
        <f>'Raw Data'!G29</f>
        <v>503425694773</v>
      </c>
      <c r="H33" s="3">
        <f>'Raw Data'!H29</f>
        <v>405368125624</v>
      </c>
      <c r="I33" s="208">
        <f>I34+I35</f>
        <v>448994297654.01953</v>
      </c>
      <c r="J33" s="208">
        <f t="shared" ref="J33:M33" si="10">J34+J35</f>
        <v>512140402104.52734</v>
      </c>
      <c r="K33" s="208">
        <f t="shared" si="10"/>
        <v>585239103130.854</v>
      </c>
      <c r="L33" s="208">
        <f t="shared" si="10"/>
        <v>670029467845.04175</v>
      </c>
      <c r="M33" s="208">
        <f t="shared" si="10"/>
        <v>768582126169.2666</v>
      </c>
    </row>
    <row r="34" spans="1:13" ht="15.5" x14ac:dyDescent="0.35">
      <c r="A34" s="2" t="s">
        <v>132</v>
      </c>
      <c r="B34" s="3">
        <f>'Raw Data'!B30</f>
        <v>123423331022</v>
      </c>
      <c r="C34" s="3">
        <f>'Raw Data'!C30</f>
        <v>82869383127</v>
      </c>
      <c r="D34" s="3">
        <f>'Raw Data'!D30</f>
        <v>104861230396</v>
      </c>
      <c r="E34" s="3">
        <f>'Raw Data'!E30</f>
        <v>99855576577</v>
      </c>
      <c r="F34" s="3">
        <f>'Raw Data'!F30</f>
        <v>152680211939</v>
      </c>
      <c r="G34" s="3">
        <f>'Raw Data'!G30</f>
        <v>339074817864</v>
      </c>
      <c r="H34" s="3">
        <f>'Raw Data'!H30</f>
        <v>405368125624</v>
      </c>
      <c r="I34" s="208">
        <f>I$2*Assumptions!$B$24</f>
        <v>258692545871.73227</v>
      </c>
      <c r="J34" s="3">
        <f>J$2*Assumptions!$B$24</f>
        <v>295074804193.35516</v>
      </c>
      <c r="K34" s="3">
        <f>K$2*Assumptions!$B$24</f>
        <v>337191350366.03857</v>
      </c>
      <c r="L34" s="3">
        <f>L$2*Assumptions!$B$24</f>
        <v>386044165263.4964</v>
      </c>
      <c r="M34" s="3">
        <f>M$2*Assumptions!$B$24</f>
        <v>442826262981.73108</v>
      </c>
    </row>
    <row r="35" spans="1:13" ht="15.5" x14ac:dyDescent="0.35">
      <c r="A35" s="2" t="s">
        <v>133</v>
      </c>
      <c r="B35" s="3">
        <f>'Raw Data'!B31</f>
        <v>301000000000</v>
      </c>
      <c r="C35" s="3">
        <f>'Raw Data'!C31</f>
        <v>271000000000</v>
      </c>
      <c r="D35" s="3">
        <f>'Raw Data'!D31</f>
        <v>41000000000</v>
      </c>
      <c r="E35" s="3">
        <f>'Raw Data'!E31</f>
        <v>91000000000</v>
      </c>
      <c r="F35" s="3">
        <f>'Raw Data'!F31</f>
        <v>219000000000</v>
      </c>
      <c r="G35" s="3">
        <f>'Raw Data'!G31</f>
        <v>164350876909</v>
      </c>
      <c r="H35" s="3">
        <f>'Raw Data'!H31</f>
        <v>0</v>
      </c>
      <c r="I35" s="208">
        <f>I$2*Assumptions!$B$25</f>
        <v>190301751782.28726</v>
      </c>
      <c r="J35" s="3">
        <f>J$2*Assumptions!$B$25</f>
        <v>217065597911.17215</v>
      </c>
      <c r="K35" s="3">
        <f>K$2*Assumptions!$B$25</f>
        <v>248047752764.81543</v>
      </c>
      <c r="L35" s="3">
        <f>L$2*Assumptions!$B$25</f>
        <v>283985302581.54529</v>
      </c>
      <c r="M35" s="3">
        <f>M$2*Assumptions!$B$25</f>
        <v>325755863187.53546</v>
      </c>
    </row>
    <row r="36" spans="1:13" ht="15.5" x14ac:dyDescent="0.35">
      <c r="A36" s="2" t="s">
        <v>134</v>
      </c>
      <c r="B36" s="3">
        <f>'Raw Data'!B32</f>
        <v>0</v>
      </c>
      <c r="C36" s="3">
        <f>'Raw Data'!C32</f>
        <v>0</v>
      </c>
      <c r="D36" s="3">
        <f>'Raw Data'!D32</f>
        <v>0</v>
      </c>
      <c r="E36" s="3">
        <f>'Raw Data'!E32</f>
        <v>466000000000</v>
      </c>
      <c r="F36" s="3">
        <f>'Raw Data'!F32</f>
        <v>372000000000</v>
      </c>
      <c r="G36" s="3">
        <f>'Raw Data'!G32</f>
        <v>239999139200</v>
      </c>
      <c r="H36" s="3">
        <f>'Raw Data'!H32</f>
        <v>359670000000</v>
      </c>
      <c r="I36" s="208">
        <f>I$2*Assumptions!$B$26</f>
        <v>306756136378.46088</v>
      </c>
      <c r="J36" s="3">
        <f>J$2*Assumptions!$B$26</f>
        <v>349898009515.37708</v>
      </c>
      <c r="K36" s="3">
        <f>K$2*Assumptions!$B$26</f>
        <v>399839568279.66901</v>
      </c>
      <c r="L36" s="3">
        <f>L$2*Assumptions!$B$26</f>
        <v>457768955841.48444</v>
      </c>
      <c r="M36" s="3">
        <f>M$2*Assumptions!$B$26</f>
        <v>525100841469.70972</v>
      </c>
    </row>
    <row r="37" spans="1:13" ht="15.5" x14ac:dyDescent="0.35">
      <c r="A37" s="2" t="s">
        <v>1410</v>
      </c>
      <c r="B37" s="3">
        <f>'Raw Data'!B33</f>
        <v>0</v>
      </c>
      <c r="C37" s="3">
        <f>'Raw Data'!C33</f>
        <v>0</v>
      </c>
      <c r="D37" s="3">
        <f>'Raw Data'!D33</f>
        <v>0</v>
      </c>
      <c r="E37" s="3">
        <f>'Raw Data'!E35</f>
        <v>466000000000</v>
      </c>
      <c r="F37" s="3">
        <f>'Raw Data'!F35</f>
        <v>372000000000</v>
      </c>
      <c r="G37" s="3">
        <f>'Raw Data'!G35</f>
        <v>239999139200</v>
      </c>
      <c r="H37" s="3">
        <f>'Raw Data'!H35</f>
        <v>359670000000</v>
      </c>
      <c r="I37" s="208">
        <f>I$2*Assumptions!$B$27</f>
        <v>306756136378.46088</v>
      </c>
      <c r="J37" s="3">
        <f>J$2*Assumptions!$B$27</f>
        <v>349898009515.37708</v>
      </c>
      <c r="K37" s="3">
        <f>K$2*Assumptions!$B$27</f>
        <v>399839568279.66901</v>
      </c>
      <c r="L37" s="3">
        <f>L$2*Assumptions!$B$27</f>
        <v>457768955841.48444</v>
      </c>
      <c r="M37" s="3">
        <f>M$2*Assumptions!$B$27</f>
        <v>525100841469.70972</v>
      </c>
    </row>
    <row r="38" spans="1:13" ht="15.5" x14ac:dyDescent="0.35">
      <c r="A38" s="2" t="s">
        <v>136</v>
      </c>
      <c r="B38" s="3">
        <f>'Raw Data'!B36</f>
        <v>122515004880</v>
      </c>
      <c r="C38" s="3">
        <f>'Raw Data'!C36</f>
        <v>204875546879</v>
      </c>
      <c r="D38" s="3">
        <f>'Raw Data'!D36</f>
        <v>337890452158</v>
      </c>
      <c r="E38" s="3">
        <f>'Raw Data'!E36</f>
        <v>581476470866</v>
      </c>
      <c r="F38" s="3">
        <f>'Raw Data'!F36</f>
        <v>415009507750</v>
      </c>
      <c r="G38" s="3">
        <f>'Raw Data'!G36</f>
        <v>398342077637</v>
      </c>
      <c r="H38" s="3">
        <f>'Raw Data'!H36</f>
        <v>370055589054</v>
      </c>
      <c r="I38" s="208">
        <f>I$2*Assumptions!$B$28</f>
        <v>510100355050.25665</v>
      </c>
      <c r="J38" s="3">
        <f>J$2*Assumptions!$B$28</f>
        <v>581840353683.97046</v>
      </c>
      <c r="K38" s="3">
        <f>K$2*Assumptions!$B$28</f>
        <v>664887451480.24231</v>
      </c>
      <c r="L38" s="3">
        <f>L$2*Assumptions!$B$28</f>
        <v>761217394580.93677</v>
      </c>
      <c r="M38" s="3">
        <f>M$2*Assumptions!$B$28</f>
        <v>873182616110.47937</v>
      </c>
    </row>
    <row r="39" spans="1:13" ht="15.5" x14ac:dyDescent="0.35">
      <c r="A39" s="2" t="s">
        <v>137</v>
      </c>
      <c r="B39" s="3">
        <f>'Raw Data'!B37</f>
        <v>99079216936</v>
      </c>
      <c r="C39" s="3">
        <f>'Raw Data'!C37</f>
        <v>176481251100</v>
      </c>
      <c r="D39" s="3">
        <f>'Raw Data'!D37</f>
        <v>316196499020</v>
      </c>
      <c r="E39" s="3">
        <f>'Raw Data'!E37</f>
        <v>540254253737</v>
      </c>
      <c r="F39" s="3">
        <f>'Raw Data'!F37</f>
        <v>386750747429</v>
      </c>
      <c r="G39" s="3">
        <f>'Raw Data'!G37</f>
        <v>360613054625</v>
      </c>
      <c r="H39" s="3">
        <f>'Raw Data'!H37</f>
        <v>336997466885</v>
      </c>
      <c r="I39" s="208">
        <f>I$2*Assumptions!$B$29</f>
        <v>467579535143.25806</v>
      </c>
      <c r="J39" s="3">
        <f>J$2*Assumptions!$B$29</f>
        <v>533339448619.5484</v>
      </c>
      <c r="K39" s="3">
        <f>K$2*Assumptions!$B$29</f>
        <v>609463926868.05261</v>
      </c>
      <c r="L39" s="3">
        <f>L$2*Assumptions!$B$29</f>
        <v>697764022269.79272</v>
      </c>
      <c r="M39" s="3">
        <f>M$2*Assumptions!$B$29</f>
        <v>800396074407.52844</v>
      </c>
    </row>
    <row r="40" spans="1:13" ht="15.5" x14ac:dyDescent="0.35">
      <c r="A40" s="2" t="s">
        <v>138</v>
      </c>
      <c r="B40" s="3">
        <f>'Raw Data'!B38</f>
        <v>18774948627</v>
      </c>
      <c r="C40" s="3">
        <f>'Raw Data'!C38</f>
        <v>22626965303</v>
      </c>
      <c r="D40" s="3">
        <f>'Raw Data'!D38</f>
        <v>18288552319</v>
      </c>
      <c r="E40" s="3">
        <f>'Raw Data'!E38</f>
        <v>18195133300</v>
      </c>
      <c r="F40" s="3">
        <f>'Raw Data'!F38</f>
        <v>16500972908</v>
      </c>
      <c r="G40" s="3">
        <f>'Raw Data'!G38</f>
        <v>30644903658</v>
      </c>
      <c r="H40" s="3">
        <f>'Raw Data'!H38</f>
        <v>29193396046</v>
      </c>
      <c r="I40" s="208">
        <f>I$2*Assumptions!$B$30</f>
        <v>30408348246.864796</v>
      </c>
      <c r="J40" s="3">
        <f>J$2*Assumptions!$B$30</f>
        <v>34684947625.958824</v>
      </c>
      <c r="K40" s="3">
        <f>K$2*Assumptions!$B$30</f>
        <v>39635591250.646507</v>
      </c>
      <c r="L40" s="3">
        <f>L$2*Assumptions!$B$30</f>
        <v>45378058252.297562</v>
      </c>
      <c r="M40" s="3">
        <f>M$2*Assumptions!$B$30</f>
        <v>52052583008.259071</v>
      </c>
    </row>
    <row r="41" spans="1:13" ht="15.5" x14ac:dyDescent="0.35">
      <c r="A41" s="2" t="s">
        <v>139</v>
      </c>
      <c r="B41" s="3">
        <f>'Raw Data'!B42</f>
        <v>5550973630</v>
      </c>
      <c r="C41" s="3">
        <f>'Raw Data'!C42</f>
        <v>6594563494</v>
      </c>
      <c r="D41" s="3">
        <f>'Raw Data'!D42</f>
        <v>4271091002</v>
      </c>
      <c r="E41" s="3">
        <f>'Raw Data'!E42</f>
        <v>23941767031</v>
      </c>
      <c r="F41" s="3">
        <f>'Raw Data'!F42</f>
        <v>11926026574</v>
      </c>
      <c r="G41" s="3">
        <f>'Raw Data'!G42</f>
        <v>19423980217</v>
      </c>
      <c r="H41" s="3">
        <f>'Raw Data'!H42</f>
        <v>10093073242</v>
      </c>
      <c r="I41" s="208">
        <f>I$2*Assumptions!$B$31</f>
        <v>16883865413.47143</v>
      </c>
      <c r="J41" s="3">
        <f>J$2*Assumptions!$B$31</f>
        <v>19258395189.234695</v>
      </c>
      <c r="K41" s="3">
        <f>K$2*Assumptions!$B$31</f>
        <v>22007179831.883121</v>
      </c>
      <c r="L41" s="3">
        <f>L$2*Assumptions!$B$31</f>
        <v>25195614771.198631</v>
      </c>
      <c r="M41" s="3">
        <f>M$2*Assumptions!$B$31</f>
        <v>28901563439.099602</v>
      </c>
    </row>
    <row r="42" spans="1:13" ht="15.5" x14ac:dyDescent="0.35">
      <c r="A42" s="2" t="s">
        <v>140</v>
      </c>
      <c r="B42" s="3">
        <f>'Raw Data'!B43</f>
        <v>-890134313</v>
      </c>
      <c r="C42" s="3">
        <f>'Raw Data'!C43</f>
        <v>-827233018</v>
      </c>
      <c r="D42" s="3">
        <f>'Raw Data'!D43</f>
        <v>-865690183</v>
      </c>
      <c r="E42" s="3">
        <f>'Raw Data'!E43</f>
        <v>-914683202</v>
      </c>
      <c r="F42" s="3">
        <f>'Raw Data'!F43</f>
        <v>-168239161</v>
      </c>
      <c r="G42" s="3">
        <f>'Raw Data'!G43</f>
        <v>-12339860863</v>
      </c>
      <c r="H42" s="3">
        <f>'Raw Data'!H43</f>
        <v>-6270311172</v>
      </c>
      <c r="I42" s="208">
        <f>I$2*Assumptions!$B$32</f>
        <v>-4779108007.2934008</v>
      </c>
      <c r="J42" s="3">
        <f>J$2*Assumptions!$B$32</f>
        <v>-5451236929.6106968</v>
      </c>
      <c r="K42" s="3">
        <f>K$2*Assumptions!$B$32</f>
        <v>-6229301571.4624729</v>
      </c>
      <c r="L42" s="3">
        <f>L$2*Assumptions!$B$32</f>
        <v>-7131812612.3914461</v>
      </c>
      <c r="M42" s="3">
        <f>M$2*Assumptions!$B$32</f>
        <v>-8180809895.8720617</v>
      </c>
    </row>
    <row r="43" spans="1:13" ht="15.5" x14ac:dyDescent="0.35">
      <c r="A43" s="2" t="s">
        <v>141</v>
      </c>
      <c r="B43" s="3">
        <f>'Raw Data'!B44</f>
        <v>0</v>
      </c>
      <c r="C43" s="3">
        <f>'Raw Data'!C44</f>
        <v>0</v>
      </c>
      <c r="D43" s="3">
        <f>'Raw Data'!D44</f>
        <v>0</v>
      </c>
      <c r="E43" s="3">
        <f>'Raw Data'!E44</f>
        <v>0</v>
      </c>
      <c r="F43" s="3">
        <f>'Raw Data'!F44</f>
        <v>0</v>
      </c>
      <c r="G43" s="3">
        <f>'Raw Data'!G44</f>
        <v>0</v>
      </c>
      <c r="H43" s="3">
        <f>'Raw Data'!H44</f>
        <v>41964053</v>
      </c>
      <c r="I43" s="208">
        <f>I$2*Assumptions!$B$33</f>
        <v>7714253.9557313947</v>
      </c>
      <c r="J43" s="3">
        <f>J$2*Assumptions!$B$33</f>
        <v>8799178.8391688243</v>
      </c>
      <c r="K43" s="3">
        <f>K$2*Assumptions!$B$33</f>
        <v>10055101.122586535</v>
      </c>
      <c r="L43" s="3">
        <f>L$2*Assumptions!$B$33</f>
        <v>11511900.039236372</v>
      </c>
      <c r="M43" s="3">
        <f>M$2*Assumptions!$B$33</f>
        <v>13205151.464249631</v>
      </c>
    </row>
    <row r="44" spans="1:13" ht="15.5" x14ac:dyDescent="0.35">
      <c r="A44" s="2" t="s">
        <v>142</v>
      </c>
      <c r="B44" s="3">
        <f>'Raw Data'!B45</f>
        <v>460697931983</v>
      </c>
      <c r="C44" s="3">
        <f>'Raw Data'!C45</f>
        <v>517175529421</v>
      </c>
      <c r="D44" s="3">
        <f>'Raw Data'!D45</f>
        <v>684484261574</v>
      </c>
      <c r="E44" s="3">
        <f>'Raw Data'!E45</f>
        <v>582361530894</v>
      </c>
      <c r="F44" s="3">
        <f>'Raw Data'!F45</f>
        <v>530224405469</v>
      </c>
      <c r="G44" s="3">
        <f>'Raw Data'!G45</f>
        <v>693114318297</v>
      </c>
      <c r="H44" s="3">
        <f>'Raw Data'!H45</f>
        <v>914140453757</v>
      </c>
      <c r="I44" s="208">
        <f>SUM(I45:I46)</f>
        <v>867749539750.33105</v>
      </c>
      <c r="J44" s="3">
        <f>J$2*Assumptions!$B$34</f>
        <v>885442760960.36707</v>
      </c>
      <c r="K44" s="3">
        <f>K$2*Assumptions!$B$34</f>
        <v>1011823564727.0592</v>
      </c>
      <c r="L44" s="3">
        <f>L$2*Assumptions!$B$34</f>
        <v>1158418159347.7034</v>
      </c>
      <c r="M44" s="3">
        <f>M$2*Assumptions!$B$34</f>
        <v>1328806469912.5376</v>
      </c>
    </row>
    <row r="45" spans="1:13" ht="15.5" x14ac:dyDescent="0.35">
      <c r="A45" s="2" t="s">
        <v>143</v>
      </c>
      <c r="B45" s="3">
        <f>'Raw Data'!B46</f>
        <v>478811442319</v>
      </c>
      <c r="C45" s="3">
        <f>'Raw Data'!C46</f>
        <v>534007886465</v>
      </c>
      <c r="D45" s="3">
        <f>'Raw Data'!D46</f>
        <v>703440229651</v>
      </c>
      <c r="E45" s="3">
        <f>'Raw Data'!E46</f>
        <v>611220729006</v>
      </c>
      <c r="F45" s="3">
        <f>'Raw Data'!F46</f>
        <v>554826392930</v>
      </c>
      <c r="G45" s="3">
        <f>'Raw Data'!G46</f>
        <v>704241213936</v>
      </c>
      <c r="H45" s="3">
        <f>'Raw Data'!H46</f>
        <v>930756948615</v>
      </c>
      <c r="I45" s="274">
        <f>I2*Assumptions!B35</f>
        <v>895152896067.07056</v>
      </c>
      <c r="J45" s="274">
        <f>J2*Assumptions!C35</f>
        <v>947161224706.23071</v>
      </c>
      <c r="K45" s="274">
        <f>K2*Assumptions!D35</f>
        <v>1246843021422.5439</v>
      </c>
      <c r="L45" s="274">
        <f>L2*Assumptions!E35</f>
        <v>1089061923773.8251</v>
      </c>
      <c r="M45" s="274">
        <f>M2*Assumptions!F35</f>
        <v>1373886997986.7502</v>
      </c>
    </row>
    <row r="46" spans="1:13" ht="15.5" x14ac:dyDescent="0.35">
      <c r="A46" s="2" t="s">
        <v>144</v>
      </c>
      <c r="B46" s="3">
        <f>'Raw Data'!B47</f>
        <v>-18113510336</v>
      </c>
      <c r="C46" s="3">
        <f>'Raw Data'!C47</f>
        <v>-16832357044</v>
      </c>
      <c r="D46" s="3">
        <f>'Raw Data'!D47</f>
        <v>-18955968077</v>
      </c>
      <c r="E46" s="3">
        <f>'Raw Data'!E47</f>
        <v>-28859198112</v>
      </c>
      <c r="F46" s="3">
        <f>'Raw Data'!F47</f>
        <v>-24601987461</v>
      </c>
      <c r="G46" s="3">
        <f>'Raw Data'!G47</f>
        <v>-11126895639</v>
      </c>
      <c r="H46" s="3">
        <f>'Raw Data'!H47</f>
        <v>-16616494858</v>
      </c>
      <c r="I46" s="208">
        <f>I45*Assumptions!$B$36</f>
        <v>-27403356316.739491</v>
      </c>
      <c r="J46" s="208">
        <f>J45*Assumptions!$B$36</f>
        <v>-28995489646.585979</v>
      </c>
      <c r="K46" s="208">
        <f>K45*Assumptions!$B$36</f>
        <v>-38169662118.282372</v>
      </c>
      <c r="L46" s="208">
        <f>L45*Assumptions!$B$36</f>
        <v>-33339502200.450695</v>
      </c>
      <c r="M46" s="208">
        <f>M45*Assumptions!$B$36</f>
        <v>-42058865150.502243</v>
      </c>
    </row>
    <row r="47" spans="1:13" ht="15.5" x14ac:dyDescent="0.35">
      <c r="A47" s="2" t="s">
        <v>145</v>
      </c>
      <c r="B47" s="3">
        <f>'Raw Data'!B48</f>
        <v>17474812644</v>
      </c>
      <c r="C47" s="3">
        <f>'Raw Data'!C48</f>
        <v>16047780537</v>
      </c>
      <c r="D47" s="3">
        <f>'Raw Data'!D48</f>
        <v>8396471438</v>
      </c>
      <c r="E47" s="3">
        <f>'Raw Data'!E48</f>
        <v>10200818035</v>
      </c>
      <c r="F47" s="3">
        <f>'Raw Data'!F48</f>
        <v>12837711784</v>
      </c>
      <c r="G47" s="3">
        <f>'Raw Data'!G48</f>
        <v>32572440625</v>
      </c>
      <c r="H47" s="3">
        <f>'Raw Data'!H48</f>
        <v>83978933827</v>
      </c>
      <c r="I47" s="208">
        <f>I$2*Assumptions!$B$37</f>
        <v>34526014688.008385</v>
      </c>
      <c r="J47" s="3">
        <f>J$2*Assumptions!$B$37</f>
        <v>39381718515.741005</v>
      </c>
      <c r="K47" s="3">
        <f>K$2*Assumptions!$B$37</f>
        <v>45002740516.457039</v>
      </c>
      <c r="L47" s="3">
        <f>L$2*Assumptions!$B$37</f>
        <v>51522808572.59848</v>
      </c>
      <c r="M47" s="3">
        <f>M$2*Assumptions!$B$37</f>
        <v>59101146530.615074</v>
      </c>
    </row>
    <row r="48" spans="1:13" ht="15.5" x14ac:dyDescent="0.35">
      <c r="A48" s="2" t="s">
        <v>146</v>
      </c>
      <c r="B48" s="3">
        <f>'Raw Data'!B49</f>
        <v>8251259433</v>
      </c>
      <c r="C48" s="3">
        <f>'Raw Data'!C49</f>
        <v>10153542137</v>
      </c>
      <c r="D48" s="3">
        <f>'Raw Data'!D49</f>
        <v>6909637976</v>
      </c>
      <c r="E48" s="3">
        <f>'Raw Data'!E49</f>
        <v>7897754885</v>
      </c>
      <c r="F48" s="3">
        <f>'Raw Data'!F49</f>
        <v>12713482192</v>
      </c>
      <c r="G48" s="3">
        <f>'Raw Data'!G49</f>
        <v>13186182712</v>
      </c>
      <c r="H48" s="3">
        <f>'Raw Data'!H49</f>
        <v>18870696354</v>
      </c>
      <c r="I48" s="208">
        <f>I$2*Assumptions!$B$38</f>
        <v>15501849594.281334</v>
      </c>
      <c r="J48" s="3">
        <f>J$2*Assumptions!$B$38</f>
        <v>17682014061.338432</v>
      </c>
      <c r="K48" s="3">
        <f>K$2*Assumptions!$B$38</f>
        <v>20205799050.965706</v>
      </c>
      <c r="L48" s="3">
        <f>L$2*Assumptions!$B$38</f>
        <v>23133247100.33144</v>
      </c>
      <c r="M48" s="3">
        <f>M$2*Assumptions!$B$38</f>
        <v>26535848190.013798</v>
      </c>
    </row>
    <row r="49" spans="1:13" ht="15.5" x14ac:dyDescent="0.35">
      <c r="A49" s="2" t="s">
        <v>147</v>
      </c>
      <c r="B49" s="3">
        <f>'Raw Data'!B50</f>
        <v>7470492991</v>
      </c>
      <c r="C49" s="3">
        <f>'Raw Data'!C50</f>
        <v>4141178180</v>
      </c>
      <c r="D49" s="3">
        <f>'Raw Data'!D50</f>
        <v>1368651636</v>
      </c>
      <c r="E49" s="3">
        <f>'Raw Data'!E50</f>
        <v>2288007696</v>
      </c>
      <c r="F49" s="3">
        <f>'Raw Data'!F50</f>
        <v>109174138</v>
      </c>
      <c r="G49" s="3">
        <f>'Raw Data'!G50</f>
        <v>15920601434</v>
      </c>
      <c r="H49" s="3">
        <f>'Raw Data'!H50</f>
        <v>58087118106</v>
      </c>
      <c r="I49" s="208">
        <f>I$2*Assumptions!$B$39</f>
        <v>16405070128.685808</v>
      </c>
      <c r="J49" s="3">
        <f>J$2*Assumptions!$B$39</f>
        <v>18712262619.27317</v>
      </c>
      <c r="K49" s="3">
        <f>K$2*Assumptions!$B$39</f>
        <v>21383096798.946388</v>
      </c>
      <c r="L49" s="3">
        <f>L$2*Assumptions!$B$39</f>
        <v>24481113603.705345</v>
      </c>
      <c r="M49" s="3">
        <f>M$2*Assumptions!$B$39</f>
        <v>28081968402.140099</v>
      </c>
    </row>
    <row r="50" spans="1:13" ht="15.5" x14ac:dyDescent="0.35">
      <c r="A50" s="2" t="s">
        <v>148</v>
      </c>
      <c r="B50" s="3">
        <f>'Raw Data'!B51</f>
        <v>1753060220</v>
      </c>
      <c r="C50" s="3">
        <f>'Raw Data'!C51</f>
        <v>1753060220</v>
      </c>
      <c r="D50" s="3">
        <f>'Raw Data'!D51</f>
        <v>118181826</v>
      </c>
      <c r="E50" s="3">
        <f>'Raw Data'!E51</f>
        <v>15055454</v>
      </c>
      <c r="F50" s="3">
        <f>'Raw Data'!F51</f>
        <v>15055454</v>
      </c>
      <c r="G50" s="3">
        <f>'Raw Data'!G51</f>
        <v>3465656479</v>
      </c>
      <c r="H50" s="3">
        <f>'Raw Data'!H51</f>
        <v>7021119367</v>
      </c>
      <c r="I50" s="208">
        <f>I$2*Assumptions!$B$40</f>
        <v>2619094965.0412383</v>
      </c>
      <c r="J50" s="3">
        <f>J$2*Assumptions!$B$40</f>
        <v>2987441835.1294055</v>
      </c>
      <c r="K50" s="3">
        <f>K$2*Assumptions!$B$40</f>
        <v>3413844666.5449486</v>
      </c>
      <c r="L50" s="3">
        <f>L$2*Assumptions!$B$40</f>
        <v>3908447868.5616975</v>
      </c>
      <c r="M50" s="3">
        <f>M$2*Assumptions!$B$40</f>
        <v>4483329938.4611788</v>
      </c>
    </row>
    <row r="51" spans="1:13" ht="15.5" x14ac:dyDescent="0.35">
      <c r="A51" s="201" t="s">
        <v>149</v>
      </c>
      <c r="B51" s="3">
        <f>'Raw Data'!B54</f>
        <v>359201386196</v>
      </c>
      <c r="C51" s="3">
        <f>'Raw Data'!C54</f>
        <v>476548476472</v>
      </c>
      <c r="D51" s="3">
        <f>'Raw Data'!D54</f>
        <v>618027228802</v>
      </c>
      <c r="E51" s="3">
        <f>'Raw Data'!E54</f>
        <v>586009531603</v>
      </c>
      <c r="F51" s="3">
        <f>'Raw Data'!F54</f>
        <v>612847304820</v>
      </c>
      <c r="G51" s="3">
        <f>'Raw Data'!G54</f>
        <v>578684880396</v>
      </c>
      <c r="H51" s="3">
        <f>'Raw Data'!H54</f>
        <v>735822949093</v>
      </c>
      <c r="I51" s="208">
        <f>I52+I54+I62+I64+I65+I69</f>
        <v>880019511115.84033</v>
      </c>
      <c r="J51" s="3">
        <f>J52+J54+J62+J64+J65+J69</f>
        <v>1099072880367.2723</v>
      </c>
      <c r="K51" s="3">
        <f>K52+K54+K62+K64+K65+K69</f>
        <v>1345482937063.4995</v>
      </c>
      <c r="L51" s="3">
        <f>L52+L54+L62+L64+L65+L69</f>
        <v>1624441330473.1418</v>
      </c>
      <c r="M51" s="3">
        <f>M52+M54+M62+M64+M65+M69</f>
        <v>1939093960281.6958</v>
      </c>
    </row>
    <row r="52" spans="1:13" ht="15.5" x14ac:dyDescent="0.35">
      <c r="A52" s="2" t="s">
        <v>150</v>
      </c>
      <c r="B52" s="169">
        <f>'Raw Data'!B55</f>
        <v>2053755852</v>
      </c>
      <c r="C52" s="169">
        <f>'Raw Data'!C55</f>
        <v>2002464375</v>
      </c>
      <c r="D52" s="169">
        <f>'Raw Data'!D55</f>
        <v>2679733353</v>
      </c>
      <c r="E52" s="169">
        <f>'Raw Data'!E55</f>
        <v>3084864613</v>
      </c>
      <c r="F52" s="169">
        <f>'Raw Data'!F55</f>
        <v>4636517123</v>
      </c>
      <c r="G52" s="169">
        <f>'Raw Data'!G55</f>
        <v>5799200123</v>
      </c>
      <c r="H52" s="169">
        <f>'Raw Data'!H55</f>
        <v>12449274241</v>
      </c>
      <c r="I52" s="208">
        <f>I$2*Assumptions!$B$42</f>
        <v>6553301794.0977335</v>
      </c>
      <c r="J52" s="3">
        <f>J$2*Assumptions!$B$42</f>
        <v>7474951538.3104506</v>
      </c>
      <c r="K52" s="3">
        <f>K$2*Assumptions!$B$42</f>
        <v>8541864528.2637691</v>
      </c>
      <c r="L52" s="3">
        <f>L$2*Assumptions!$B$42</f>
        <v>9779423339.3822536</v>
      </c>
      <c r="M52" s="3">
        <f>M$2*Assumptions!$B$42</f>
        <v>11217849876.164043</v>
      </c>
    </row>
    <row r="53" spans="1:13" ht="15.5" hidden="1" x14ac:dyDescent="0.35">
      <c r="A53" s="2" t="s">
        <v>151</v>
      </c>
      <c r="B53" s="3">
        <f>'Raw Data'!B61</f>
        <v>2053755852</v>
      </c>
      <c r="C53" s="3">
        <f>'Raw Data'!C61</f>
        <v>2002464375</v>
      </c>
      <c r="D53" s="3">
        <f>'Raw Data'!D61</f>
        <v>2679733353</v>
      </c>
      <c r="E53" s="3">
        <f>'Raw Data'!E61</f>
        <v>3084864613</v>
      </c>
      <c r="F53" s="3">
        <f>'Raw Data'!F61</f>
        <v>4636517123</v>
      </c>
      <c r="G53" s="3">
        <f>'Raw Data'!G61</f>
        <v>5799200123</v>
      </c>
      <c r="H53" s="3">
        <f>'Raw Data'!H61</f>
        <v>12449274241</v>
      </c>
      <c r="I53" s="208">
        <f>I$2*Assumptions!$B$43</f>
        <v>6553301794.0977335</v>
      </c>
      <c r="J53" s="3">
        <f>J$2*Assumptions!$B$43</f>
        <v>7474951538.3104506</v>
      </c>
      <c r="K53" s="3">
        <f>K$2*Assumptions!$B$43</f>
        <v>8541864528.2637691</v>
      </c>
      <c r="L53" s="3">
        <f>L$2*Assumptions!$B$43</f>
        <v>9779423339.3822536</v>
      </c>
      <c r="M53" s="3">
        <f>M$2*Assumptions!$B$43</f>
        <v>11217849876.164043</v>
      </c>
    </row>
    <row r="54" spans="1:13" ht="15.5" x14ac:dyDescent="0.35">
      <c r="A54" s="2" t="s">
        <v>384</v>
      </c>
      <c r="B54" s="3">
        <f>'Raw Data'!B63</f>
        <v>289918854187</v>
      </c>
      <c r="C54" s="3">
        <f>'Raw Data'!C63</f>
        <v>359509747304</v>
      </c>
      <c r="D54" s="3">
        <f>'Raw Data'!D63</f>
        <v>417122326343</v>
      </c>
      <c r="E54" s="3">
        <f>'Raw Data'!E63</f>
        <v>464236995775</v>
      </c>
      <c r="F54" s="3">
        <f>'Raw Data'!F63</f>
        <v>463588241667</v>
      </c>
      <c r="G54" s="3">
        <f>'Raw Data'!G63</f>
        <v>445543913696</v>
      </c>
      <c r="H54" s="3">
        <f>'Raw Data'!H63</f>
        <v>478349797287</v>
      </c>
      <c r="I54" s="208">
        <f>H54+(-I122)</f>
        <v>665353835770.7301</v>
      </c>
      <c r="J54" s="208">
        <f>I54+(-J122)</f>
        <v>854216841295.70251</v>
      </c>
      <c r="K54" s="208">
        <f>J54+(-K122)</f>
        <v>1065678164556.6595</v>
      </c>
      <c r="L54" s="208">
        <f>K54+(-L122)</f>
        <v>1304098001019.7393</v>
      </c>
      <c r="M54" s="208">
        <f>L54+(-M122)</f>
        <v>1571632275279.5383</v>
      </c>
    </row>
    <row r="55" spans="1:13" ht="15.5" x14ac:dyDescent="0.35">
      <c r="A55" s="2" t="s">
        <v>385</v>
      </c>
      <c r="B55" s="3">
        <f>B58+B61</f>
        <v>-355431377078</v>
      </c>
      <c r="C55" s="3">
        <f t="shared" ref="C55:H55" si="11">C58+C61</f>
        <v>-401170005365</v>
      </c>
      <c r="D55" s="3">
        <f t="shared" si="11"/>
        <v>-462305180710</v>
      </c>
      <c r="E55" s="3">
        <f t="shared" si="11"/>
        <v>-519720700997</v>
      </c>
      <c r="F55" s="3">
        <f t="shared" si="11"/>
        <v>-594233925703</v>
      </c>
      <c r="G55" s="3">
        <f t="shared" si="11"/>
        <v>-653635892274</v>
      </c>
      <c r="H55" s="3">
        <f t="shared" si="11"/>
        <v>-731562719200</v>
      </c>
      <c r="I55" s="208">
        <f>H55+(-I106)</f>
        <v>-842238989242.44165</v>
      </c>
      <c r="J55" s="208">
        <f>I55+(-J106)</f>
        <v>-984331104323.63</v>
      </c>
      <c r="K55" s="208">
        <f>J55+(-K106)</f>
        <v>-1161598113210.9861</v>
      </c>
      <c r="L55" s="208">
        <f>K55+(-L106)</f>
        <v>-1378524348190.1194</v>
      </c>
      <c r="M55" s="208">
        <f>L55+(-M106)</f>
        <v>-1639952762298.1772</v>
      </c>
    </row>
    <row r="56" spans="1:13" ht="0.75" customHeight="1" x14ac:dyDescent="0.35">
      <c r="A56" s="2" t="s">
        <v>386</v>
      </c>
      <c r="B56" s="3">
        <f>'Raw Data'!B64</f>
        <v>200871576769</v>
      </c>
      <c r="C56" s="3">
        <f>'Raw Data'!C64</f>
        <v>273323647755</v>
      </c>
      <c r="D56" s="3">
        <f>'Raw Data'!D64</f>
        <v>386671680681</v>
      </c>
      <c r="E56" s="3">
        <f>'Raw Data'!E64</f>
        <v>434775531550</v>
      </c>
      <c r="F56" s="3">
        <f>'Raw Data'!F64</f>
        <v>438944610201</v>
      </c>
      <c r="G56" s="3">
        <f>'Raw Data'!G64</f>
        <v>425390545912</v>
      </c>
      <c r="H56" s="3">
        <f>'Raw Data'!H64</f>
        <v>453705201167</v>
      </c>
      <c r="I56" s="208"/>
      <c r="J56" s="3"/>
      <c r="K56" s="3"/>
      <c r="L56" s="3"/>
      <c r="M56" s="3"/>
    </row>
    <row r="57" spans="1:13" ht="15.5" hidden="1" x14ac:dyDescent="0.35">
      <c r="A57" s="7" t="s">
        <v>387</v>
      </c>
      <c r="B57" s="3">
        <f>'Raw Data'!B65</f>
        <v>532701823372</v>
      </c>
      <c r="C57" s="3">
        <f>'Raw Data'!C65</f>
        <v>645023141721</v>
      </c>
      <c r="D57" s="3">
        <f>'Raw Data'!D65</f>
        <v>814013281236</v>
      </c>
      <c r="E57" s="3">
        <f>'Raw Data'!E65</f>
        <v>916525121861</v>
      </c>
      <c r="F57" s="3">
        <f>'Raw Data'!F65</f>
        <v>990029869959</v>
      </c>
      <c r="G57" s="3">
        <f>'Raw Data'!G65</f>
        <v>1031042278559</v>
      </c>
      <c r="H57" s="3">
        <f>'Raw Data'!H65</f>
        <v>1134421550236</v>
      </c>
      <c r="I57" s="208"/>
      <c r="J57" s="3"/>
      <c r="K57" s="3"/>
      <c r="L57" s="3"/>
      <c r="M57" s="3"/>
    </row>
    <row r="58" spans="1:13" ht="15.5" hidden="1" x14ac:dyDescent="0.35">
      <c r="A58" s="7" t="s">
        <v>388</v>
      </c>
      <c r="B58" s="3">
        <f>'Raw Data'!B66</f>
        <v>-331830246603</v>
      </c>
      <c r="C58" s="3">
        <f>'Raw Data'!C66</f>
        <v>-371699493966</v>
      </c>
      <c r="D58" s="3">
        <f>'Raw Data'!D66</f>
        <v>-427341600555</v>
      </c>
      <c r="E58" s="3">
        <f>'Raw Data'!E66</f>
        <v>-481749590311</v>
      </c>
      <c r="F58" s="3">
        <f>'Raw Data'!F66</f>
        <v>-551085259758</v>
      </c>
      <c r="G58" s="3">
        <f>'Raw Data'!G66</f>
        <v>-605651732647</v>
      </c>
      <c r="H58" s="3">
        <f>'Raw Data'!H66</f>
        <v>-680716349069</v>
      </c>
      <c r="I58" s="208"/>
      <c r="J58" s="3"/>
      <c r="K58" s="3"/>
      <c r="L58" s="3"/>
      <c r="M58" s="3"/>
    </row>
    <row r="59" spans="1:13" ht="15.5" x14ac:dyDescent="0.35">
      <c r="A59" s="2" t="s">
        <v>389</v>
      </c>
      <c r="B59" s="3">
        <f>'Raw Data'!B70</f>
        <v>89047277418</v>
      </c>
      <c r="C59" s="3">
        <f>'Raw Data'!C70</f>
        <v>86186099549</v>
      </c>
      <c r="D59" s="3">
        <f>'Raw Data'!D70</f>
        <v>30450645662</v>
      </c>
      <c r="E59" s="3">
        <f>'Raw Data'!E70</f>
        <v>29461464225</v>
      </c>
      <c r="F59" s="3">
        <f>'Raw Data'!F70</f>
        <v>24643631466</v>
      </c>
      <c r="G59" s="3">
        <f>'Raw Data'!G70</f>
        <v>20153367784</v>
      </c>
      <c r="H59" s="3">
        <f>'Raw Data'!H70</f>
        <v>24644596120</v>
      </c>
      <c r="I59" s="208"/>
      <c r="J59" s="3"/>
      <c r="K59" s="3"/>
      <c r="L59" s="3"/>
      <c r="M59" s="3"/>
    </row>
    <row r="60" spans="1:13" ht="15.5" hidden="1" x14ac:dyDescent="0.35">
      <c r="A60" s="2" t="s">
        <v>387</v>
      </c>
      <c r="B60" s="3">
        <f>'Raw Data'!B71</f>
        <v>112648407893</v>
      </c>
      <c r="C60" s="3">
        <f>'Raw Data'!C71</f>
        <v>115656610948</v>
      </c>
      <c r="D60" s="3">
        <f>'Raw Data'!D71</f>
        <v>65414225817</v>
      </c>
      <c r="E60" s="3">
        <f>'Raw Data'!E71</f>
        <v>67432574911</v>
      </c>
      <c r="F60" s="3">
        <f>'Raw Data'!F71</f>
        <v>67792297411</v>
      </c>
      <c r="G60" s="3">
        <f>'Raw Data'!G71</f>
        <v>68137527411</v>
      </c>
      <c r="H60" s="3">
        <f>'Raw Data'!H71</f>
        <v>75490966251</v>
      </c>
      <c r="I60" s="208"/>
      <c r="J60" s="3"/>
      <c r="K60" s="3"/>
      <c r="L60" s="3"/>
      <c r="M60" s="3"/>
    </row>
    <row r="61" spans="1:13" ht="15.5" hidden="1" x14ac:dyDescent="0.35">
      <c r="A61" s="2" t="s">
        <v>388</v>
      </c>
      <c r="B61" s="3">
        <f>'Raw Data'!B72</f>
        <v>-23601130475</v>
      </c>
      <c r="C61" s="3">
        <f>'Raw Data'!C72</f>
        <v>-29470511399</v>
      </c>
      <c r="D61" s="3">
        <f>'Raw Data'!D72</f>
        <v>-34963580155</v>
      </c>
      <c r="E61" s="3">
        <f>'Raw Data'!E72</f>
        <v>-37971110686</v>
      </c>
      <c r="F61" s="3">
        <f>'Raw Data'!F72</f>
        <v>-43148665945</v>
      </c>
      <c r="G61" s="3">
        <f>'Raw Data'!G72</f>
        <v>-47984159627</v>
      </c>
      <c r="H61" s="3">
        <f>'Raw Data'!H72</f>
        <v>-50846370131</v>
      </c>
      <c r="I61" s="208"/>
      <c r="J61" s="3"/>
      <c r="K61" s="3"/>
      <c r="L61" s="3"/>
      <c r="M61" s="3"/>
    </row>
    <row r="62" spans="1:13" ht="15.5" x14ac:dyDescent="0.35">
      <c r="A62" s="2" t="s">
        <v>153</v>
      </c>
      <c r="B62" s="3">
        <f>'Raw Data'!B73</f>
        <v>0</v>
      </c>
      <c r="C62" s="3">
        <f>'Raw Data'!C73</f>
        <v>0</v>
      </c>
      <c r="D62" s="3">
        <f>'Raw Data'!D73</f>
        <v>59888350067</v>
      </c>
      <c r="E62" s="3">
        <f>'Raw Data'!E73</f>
        <v>0</v>
      </c>
      <c r="F62" s="3">
        <f>'Raw Data'!F73</f>
        <v>0</v>
      </c>
      <c r="G62" s="3">
        <f>'Raw Data'!G73</f>
        <v>0</v>
      </c>
      <c r="H62" s="3">
        <f>'Raw Data'!H73</f>
        <v>0</v>
      </c>
      <c r="I62" s="208">
        <f>I$2*Assumptions!$B$45</f>
        <v>13573228621.798548</v>
      </c>
      <c r="J62" s="3">
        <f>J$2*Assumptions!$B$45</f>
        <v>15482153783.567894</v>
      </c>
      <c r="K62" s="3">
        <f>K$2*Assumptions!$B$45</f>
        <v>17691948843.707787</v>
      </c>
      <c r="L62" s="3">
        <f>L$2*Assumptions!$B$45</f>
        <v>20255186308.425388</v>
      </c>
      <c r="M62" s="3">
        <f>M$2*Assumptions!$B$45</f>
        <v>23234461924.418785</v>
      </c>
    </row>
    <row r="63" spans="1:13" ht="15.5" x14ac:dyDescent="0.35">
      <c r="A63" s="7" t="s">
        <v>1411</v>
      </c>
      <c r="B63" s="3">
        <f>'Raw Data'!B74</f>
        <v>0</v>
      </c>
      <c r="C63" s="3">
        <f>'Raw Data'!C74</f>
        <v>0</v>
      </c>
      <c r="D63" s="3">
        <f>'Raw Data'!D74</f>
        <v>59888350067</v>
      </c>
      <c r="E63" s="3">
        <f>'Raw Data'!E74</f>
        <v>0</v>
      </c>
      <c r="F63" s="3">
        <f>'Raw Data'!F74</f>
        <v>0</v>
      </c>
      <c r="G63" s="3">
        <f>'Raw Data'!G74</f>
        <v>0</v>
      </c>
      <c r="H63" s="3">
        <f>'Raw Data'!H74</f>
        <v>0</v>
      </c>
      <c r="I63" s="208">
        <f>I$2*Assumptions!$B$46</f>
        <v>13573228621.798548</v>
      </c>
      <c r="J63" s="3">
        <f>J$2*Assumptions!$B$46</f>
        <v>15482153783.567894</v>
      </c>
      <c r="K63" s="3">
        <f>K$2*Assumptions!$B$46</f>
        <v>17691948843.707787</v>
      </c>
      <c r="L63" s="3">
        <f>L$2*Assumptions!$B$46</f>
        <v>20255186308.425388</v>
      </c>
      <c r="M63" s="3">
        <f>M$2*Assumptions!$B$46</f>
        <v>23234461924.418785</v>
      </c>
    </row>
    <row r="64" spans="1:13" ht="15.5" x14ac:dyDescent="0.35">
      <c r="A64" s="2" t="s">
        <v>155</v>
      </c>
      <c r="B64" s="3">
        <f>'Raw Data'!B76</f>
        <v>8309739078</v>
      </c>
      <c r="C64" s="3">
        <f>'Raw Data'!C76</f>
        <v>48211169387</v>
      </c>
      <c r="D64" s="3">
        <f>'Raw Data'!D76</f>
        <v>64703776055</v>
      </c>
      <c r="E64" s="3">
        <f>'Raw Data'!E76</f>
        <v>26712919979</v>
      </c>
      <c r="F64" s="3">
        <f>'Raw Data'!F76</f>
        <v>13434075449</v>
      </c>
      <c r="G64" s="3">
        <f>'Raw Data'!G76</f>
        <v>19040558603</v>
      </c>
      <c r="H64" s="3">
        <f>'Raw Data'!H76</f>
        <v>102815871219</v>
      </c>
      <c r="I64" s="208">
        <f>I$2*Assumptions!$B$47</f>
        <v>59233315118.173019</v>
      </c>
      <c r="J64" s="3">
        <f>J$2*Assumptions!$B$47</f>
        <v>67563828719.225906</v>
      </c>
      <c r="K64" s="3">
        <f>K$2*Assumptions!$B$47</f>
        <v>77207332913.477371</v>
      </c>
      <c r="L64" s="3">
        <f>L$2*Assumptions!$B$47</f>
        <v>88393253131.935043</v>
      </c>
      <c r="M64" s="3">
        <f>M$2*Assumptions!$B$47</f>
        <v>101394756039.10718</v>
      </c>
    </row>
    <row r="65" spans="1:13" ht="15.5" x14ac:dyDescent="0.35">
      <c r="A65" s="2" t="s">
        <v>156</v>
      </c>
      <c r="B65" s="3">
        <f>'Raw Data'!B79</f>
        <v>19835883107</v>
      </c>
      <c r="C65" s="3">
        <f>'Raw Data'!C79</f>
        <v>19694488391</v>
      </c>
      <c r="D65" s="3">
        <f>'Raw Data'!D79</f>
        <v>20436762423</v>
      </c>
      <c r="E65" s="3">
        <f>'Raw Data'!E79</f>
        <v>21092112000</v>
      </c>
      <c r="F65" s="3">
        <f>'Raw Data'!F79</f>
        <v>21942320000</v>
      </c>
      <c r="G65" s="3">
        <f>'Raw Data'!G79</f>
        <v>33621440000</v>
      </c>
      <c r="H65" s="3">
        <f>'Raw Data'!H79</f>
        <v>58723584000</v>
      </c>
      <c r="I65" s="208">
        <f>I66+I67+I68</f>
        <v>37128231659.254288</v>
      </c>
      <c r="J65" s="208">
        <f t="shared" ref="J65:M65" si="12">J66+J67+J68</f>
        <v>42349908653.077759</v>
      </c>
      <c r="K65" s="208">
        <f t="shared" si="12"/>
        <v>48394585656.497894</v>
      </c>
      <c r="L65" s="208">
        <f t="shared" si="12"/>
        <v>55406069588.542969</v>
      </c>
      <c r="M65" s="208">
        <f t="shared" si="12"/>
        <v>63555584956.590546</v>
      </c>
    </row>
    <row r="66" spans="1:13" ht="15.5" x14ac:dyDescent="0.35">
      <c r="A66" s="174" t="s">
        <v>157</v>
      </c>
      <c r="B66" s="3">
        <f>'Raw Data'!B81</f>
        <v>0</v>
      </c>
      <c r="C66" s="3">
        <f>'Raw Data'!C81</f>
        <v>0</v>
      </c>
      <c r="D66" s="3">
        <f>'Raw Data'!D81</f>
        <v>0</v>
      </c>
      <c r="E66" s="3">
        <f>'Raw Data'!E81</f>
        <v>0</v>
      </c>
      <c r="F66" s="3">
        <f>'Raw Data'!F81</f>
        <v>0</v>
      </c>
      <c r="G66" s="3">
        <f>'Raw Data'!G81</f>
        <v>0</v>
      </c>
      <c r="H66" s="3">
        <f>'Raw Data'!H81</f>
        <v>25000000000</v>
      </c>
      <c r="I66" s="208">
        <f>I$2*Assumptions!$B$49</f>
        <v>4595751246.7464676</v>
      </c>
      <c r="J66" s="3">
        <f>J$2*Assumptions!$B$49</f>
        <v>5242093059.4864273</v>
      </c>
      <c r="K66" s="3">
        <f>K$2*Assumptions!$B$49</f>
        <v>5990306228.6348591</v>
      </c>
      <c r="L66" s="3">
        <f>L$2*Assumptions!$B$49</f>
        <v>6858191247.1826611</v>
      </c>
      <c r="M66" s="3">
        <f>M$2*Assumptions!$B$49</f>
        <v>7866942371.0393457</v>
      </c>
    </row>
    <row r="67" spans="1:13" ht="15.5" x14ac:dyDescent="0.35">
      <c r="A67" s="174" t="s">
        <v>158</v>
      </c>
      <c r="B67" s="3">
        <f>'Raw Data'!B82</f>
        <v>30685000000</v>
      </c>
      <c r="C67" s="3">
        <f>'Raw Data'!C82</f>
        <v>30685000000</v>
      </c>
      <c r="D67" s="3">
        <f>'Raw Data'!D82</f>
        <v>30685000000</v>
      </c>
      <c r="E67" s="3">
        <f>'Raw Data'!E82</f>
        <v>30685000000</v>
      </c>
      <c r="F67" s="3">
        <f>'Raw Data'!F82</f>
        <v>30685000000</v>
      </c>
      <c r="G67" s="3">
        <f>'Raw Data'!G82</f>
        <v>37685000000</v>
      </c>
      <c r="H67" s="3">
        <f>'Raw Data'!H82</f>
        <v>37685000000</v>
      </c>
      <c r="I67" s="208">
        <f>I$2*Assumptions!$B$50</f>
        <v>44480191054.73806</v>
      </c>
      <c r="J67" s="3">
        <f>J$2*Assumptions!$B$50</f>
        <v>50735840191.033699</v>
      </c>
      <c r="K67" s="3">
        <f>K$2*Assumptions!$B$50</f>
        <v>57977455963.200249</v>
      </c>
      <c r="L67" s="3">
        <f>L$2*Assumptions!$B$50</f>
        <v>66377321266.153786</v>
      </c>
      <c r="M67" s="3">
        <f>M$2*Assumptions!$B$50</f>
        <v>76140565686.223755</v>
      </c>
    </row>
    <row r="68" spans="1:13" ht="15.5" x14ac:dyDescent="0.35">
      <c r="A68" s="174" t="s">
        <v>159</v>
      </c>
      <c r="B68" s="3">
        <f>'Raw Data'!B83</f>
        <v>-10849116893</v>
      </c>
      <c r="C68" s="3">
        <f>'Raw Data'!C83</f>
        <v>-10990511609</v>
      </c>
      <c r="D68" s="3">
        <f>'Raw Data'!D83</f>
        <v>-10248237577</v>
      </c>
      <c r="E68" s="3">
        <f>'Raw Data'!E83</f>
        <v>-9592888000</v>
      </c>
      <c r="F68" s="3">
        <f>'Raw Data'!F83</f>
        <v>-8742680000</v>
      </c>
      <c r="G68" s="3">
        <f>'Raw Data'!G83</f>
        <v>-4063560000</v>
      </c>
      <c r="H68" s="3">
        <f>'Raw Data'!H83</f>
        <v>-3961416000</v>
      </c>
      <c r="I68" s="208">
        <f>(I67+I66)*Assumptions!$B$51</f>
        <v>-11947710642.230242</v>
      </c>
      <c r="J68" s="208">
        <f>(J67+J66)*Assumptions!$B$51</f>
        <v>-13628024597.442366</v>
      </c>
      <c r="K68" s="208">
        <f>(K67+K66)*Assumptions!$B$51</f>
        <v>-15573176535.33721</v>
      </c>
      <c r="L68" s="208">
        <f>(L67+L66)*Assumptions!$B$51</f>
        <v>-17829442924.793468</v>
      </c>
      <c r="M68" s="208">
        <f>(M67+M66)*Assumptions!$B$51</f>
        <v>-20451923100.672562</v>
      </c>
    </row>
    <row r="69" spans="1:13" ht="15.5" x14ac:dyDescent="0.35">
      <c r="A69" s="2" t="s">
        <v>161</v>
      </c>
      <c r="B69" s="3">
        <f>'Raw Data'!B85</f>
        <v>39083153972</v>
      </c>
      <c r="C69" s="3">
        <f>'Raw Data'!C85</f>
        <v>47130607015</v>
      </c>
      <c r="D69" s="3">
        <f>'Raw Data'!D85</f>
        <v>53196280561</v>
      </c>
      <c r="E69" s="3">
        <f>'Raw Data'!E85</f>
        <v>70882639236</v>
      </c>
      <c r="F69" s="3">
        <f>'Raw Data'!F85</f>
        <v>109246150581</v>
      </c>
      <c r="G69" s="3">
        <f>'Raw Data'!G85</f>
        <v>74679767974</v>
      </c>
      <c r="H69" s="3">
        <f>'Raw Data'!H85</f>
        <v>83484422346</v>
      </c>
      <c r="I69" s="208">
        <f>I70+I71</f>
        <v>98177598151.786606</v>
      </c>
      <c r="J69" s="208">
        <f t="shared" ref="J69:M69" si="13">J70+J71</f>
        <v>111985196377.38782</v>
      </c>
      <c r="K69" s="208">
        <f t="shared" si="13"/>
        <v>127969040564.89328</v>
      </c>
      <c r="L69" s="208">
        <f t="shared" si="13"/>
        <v>146509397085.11694</v>
      </c>
      <c r="M69" s="208">
        <f t="shared" si="13"/>
        <v>168059032205.87704</v>
      </c>
    </row>
    <row r="70" spans="1:13" ht="15.5" x14ac:dyDescent="0.35">
      <c r="A70" s="174" t="s">
        <v>162</v>
      </c>
      <c r="B70" s="3">
        <f>'Raw Data'!B86</f>
        <v>14861839365</v>
      </c>
      <c r="C70" s="3">
        <f>'Raw Data'!C86</f>
        <v>21207669563</v>
      </c>
      <c r="D70" s="3">
        <f>'Raw Data'!D86</f>
        <v>28143995826</v>
      </c>
      <c r="E70" s="3">
        <f>'Raw Data'!E86</f>
        <v>39582025338</v>
      </c>
      <c r="F70" s="3">
        <f>'Raw Data'!F86</f>
        <v>80297126389</v>
      </c>
      <c r="G70" s="3">
        <f>'Raw Data'!G86</f>
        <v>64581906877</v>
      </c>
      <c r="H70" s="3">
        <f>'Raw Data'!H86</f>
        <v>56689092291</v>
      </c>
      <c r="I70" s="208">
        <f>I$2*Assumptions!$B$53</f>
        <v>65197832422.19796</v>
      </c>
      <c r="J70" s="3">
        <f>J$2*Assumptions!$B$53</f>
        <v>74367189711.566559</v>
      </c>
      <c r="K70" s="3">
        <f>K$2*Assumptions!$B$53</f>
        <v>84981749595.05806</v>
      </c>
      <c r="L70" s="3">
        <f>L$2*Assumptions!$B$53</f>
        <v>97294039569.645828</v>
      </c>
      <c r="M70" s="3">
        <f>M$2*Assumptions!$B$53</f>
        <v>111604732903.07466</v>
      </c>
    </row>
    <row r="71" spans="1:13" ht="15.5" x14ac:dyDescent="0.35">
      <c r="A71" s="174" t="s">
        <v>163</v>
      </c>
      <c r="B71" s="3">
        <f>'Raw Data'!B87</f>
        <v>24221314607</v>
      </c>
      <c r="C71" s="3">
        <f>'Raw Data'!C87</f>
        <v>25922937452</v>
      </c>
      <c r="D71" s="3">
        <f>'Raw Data'!D87</f>
        <v>25052284735</v>
      </c>
      <c r="E71" s="3">
        <f>'Raw Data'!E87</f>
        <v>31300613898</v>
      </c>
      <c r="F71" s="3">
        <f>'Raw Data'!F87</f>
        <v>28949024192</v>
      </c>
      <c r="G71" s="3">
        <f>'Raw Data'!G87</f>
        <v>10097861097</v>
      </c>
      <c r="H71" s="3">
        <f>'Raw Data'!H87</f>
        <v>26795330055</v>
      </c>
      <c r="I71" s="208">
        <f>I$2*Assumptions!$B$54</f>
        <v>32979765729.58865</v>
      </c>
      <c r="J71" s="3">
        <f>J$2*Assumptions!$B$54</f>
        <v>37618006665.821259</v>
      </c>
      <c r="K71" s="3">
        <f>K$2*Assumptions!$B$54</f>
        <v>42987290969.835213</v>
      </c>
      <c r="L71" s="3">
        <f>L$2*Assumptions!$B$54</f>
        <v>49215357515.471123</v>
      </c>
      <c r="M71" s="3">
        <f>M$2*Assumptions!$B$54</f>
        <v>56454299302.802376</v>
      </c>
    </row>
    <row r="72" spans="1:13" ht="15.5" x14ac:dyDescent="0.35">
      <c r="A72" s="201" t="s">
        <v>390</v>
      </c>
      <c r="B72" s="202">
        <f>'Raw Data'!B91</f>
        <v>1384312466725</v>
      </c>
      <c r="C72" s="202">
        <f>'Raw Data'!C91</f>
        <v>1568516716436</v>
      </c>
      <c r="D72" s="202">
        <f>'Raw Data'!D91</f>
        <v>1794659644368</v>
      </c>
      <c r="E72" s="202">
        <f>'Raw Data'!E91</f>
        <v>2416903927975</v>
      </c>
      <c r="F72" s="202">
        <f>'Raw Data'!F91</f>
        <v>2314599141762</v>
      </c>
      <c r="G72" s="202">
        <f>'Raw Data'!G91</f>
        <v>2446138550928</v>
      </c>
      <c r="H72" s="202">
        <f>'Raw Data'!H91</f>
        <v>2869036051355</v>
      </c>
      <c r="I72" s="323">
        <f>I32+I51</f>
        <v>3048145854636.917</v>
      </c>
      <c r="J72" s="202">
        <f>J32+J51</f>
        <v>3467776125147.2559</v>
      </c>
      <c r="K72" s="202">
        <f>K32+K51</f>
        <v>4052275365197.7808</v>
      </c>
      <c r="L72" s="202">
        <f>L32+L51</f>
        <v>4723398116660.9063</v>
      </c>
      <c r="M72" s="202">
        <f>M32+M51</f>
        <v>5493867160474.3047</v>
      </c>
    </row>
    <row r="73" spans="1:13" ht="15.5" x14ac:dyDescent="0.35">
      <c r="A73" s="2"/>
      <c r="B73" s="3"/>
      <c r="C73" s="3"/>
      <c r="D73" s="3"/>
      <c r="E73" s="3"/>
      <c r="F73" s="3"/>
      <c r="G73" s="3"/>
      <c r="H73" s="3"/>
      <c r="I73" s="208"/>
      <c r="J73" s="3"/>
      <c r="K73" s="3"/>
      <c r="L73" s="3"/>
      <c r="M73" s="3"/>
    </row>
    <row r="74" spans="1:13" ht="15.5" x14ac:dyDescent="0.35">
      <c r="A74" s="201" t="s">
        <v>164</v>
      </c>
      <c r="B74" s="202">
        <f>'Raw Data'!B93</f>
        <v>460086007616</v>
      </c>
      <c r="C74" s="202">
        <f>'Raw Data'!C93</f>
        <v>508561941187</v>
      </c>
      <c r="D74" s="202">
        <f>'Raw Data'!D93</f>
        <v>525991247698</v>
      </c>
      <c r="E74" s="202">
        <f>'Raw Data'!E93</f>
        <v>609917056329</v>
      </c>
      <c r="F74" s="202">
        <f>'Raw Data'!F93</f>
        <v>566339505472</v>
      </c>
      <c r="G74" s="202">
        <f>'Raw Data'!G93</f>
        <v>620560103651</v>
      </c>
      <c r="H74" s="202">
        <f>'Raw Data'!H93</f>
        <v>911164294533</v>
      </c>
      <c r="I74" s="323">
        <f>I75+I85</f>
        <v>1046138285070.5273</v>
      </c>
      <c r="J74" s="202">
        <f>J75+J85</f>
        <v>1364065785743.2339</v>
      </c>
      <c r="K74" s="202">
        <f>K75+K85</f>
        <v>1846200284545.1929</v>
      </c>
      <c r="L74" s="202">
        <f>L75+L85</f>
        <v>2422501494865.7129</v>
      </c>
      <c r="M74" s="202">
        <f>M75+M85</f>
        <v>2823377405672.4609</v>
      </c>
    </row>
    <row r="75" spans="1:13" ht="15.5" x14ac:dyDescent="0.35">
      <c r="A75" s="4" t="s">
        <v>165</v>
      </c>
      <c r="B75" s="5">
        <f>'Raw Data'!B94</f>
        <v>413093993826</v>
      </c>
      <c r="C75" s="5">
        <f>'Raw Data'!C94</f>
        <v>474574740460</v>
      </c>
      <c r="D75" s="5">
        <f>'Raw Data'!D94</f>
        <v>495903207694</v>
      </c>
      <c r="E75" s="5">
        <f>'Raw Data'!E94</f>
        <v>554653680656</v>
      </c>
      <c r="F75" s="5">
        <f>'Raw Data'!F94</f>
        <v>499556492085</v>
      </c>
      <c r="G75" s="5">
        <f>'Raw Data'!G94</f>
        <v>578295639397</v>
      </c>
      <c r="H75" s="5">
        <f>'Raw Data'!H94</f>
        <v>831255708627</v>
      </c>
      <c r="I75" s="324">
        <f>I76+I82+I84</f>
        <v>759289273734.07251</v>
      </c>
      <c r="J75" s="5">
        <f>J76+J82+J84</f>
        <v>866074950162.21228</v>
      </c>
      <c r="K75" s="5">
        <f>K76+K82+K84</f>
        <v>989691352203.8092</v>
      </c>
      <c r="L75" s="5">
        <f>L76+L82+L84</f>
        <v>1133079396951.5227</v>
      </c>
      <c r="M75" s="5">
        <f>M76+M82+M84</f>
        <v>1299740703686.479</v>
      </c>
    </row>
    <row r="76" spans="1:13" ht="15.5" x14ac:dyDescent="0.35">
      <c r="A76" s="2" t="s">
        <v>166</v>
      </c>
      <c r="B76" s="3">
        <f>'Raw Data'!B95</f>
        <v>131879671529</v>
      </c>
      <c r="C76" s="3">
        <f>'Raw Data'!C95</f>
        <v>147749949303</v>
      </c>
      <c r="D76" s="3">
        <f>'Raw Data'!D95</f>
        <v>137335288838</v>
      </c>
      <c r="E76" s="3">
        <f>'Raw Data'!E95</f>
        <v>181300286706</v>
      </c>
      <c r="F76" s="3">
        <f>'Raw Data'!F95</f>
        <v>113224556606</v>
      </c>
      <c r="G76" s="3">
        <f>'Raw Data'!G95</f>
        <v>192966654832</v>
      </c>
      <c r="H76" s="3">
        <f>'Raw Data'!H95</f>
        <v>260162035465</v>
      </c>
      <c r="I76" s="208">
        <f>I$2*Assumptions!$B$58</f>
        <v>227427564312.58926</v>
      </c>
      <c r="J76" s="3">
        <f>J$2*Assumptions!$B$58</f>
        <v>259412747211.44556</v>
      </c>
      <c r="K76" s="3">
        <f>K$2*Assumptions!$B$58</f>
        <v>296439185221.22644</v>
      </c>
      <c r="L76" s="3">
        <f>L$2*Assumptions!$B$58</f>
        <v>339387762129.39734</v>
      </c>
      <c r="M76" s="3">
        <f>M$2*Assumptions!$B$58</f>
        <v>389307307113.19678</v>
      </c>
    </row>
    <row r="77" spans="1:13" ht="15.5" hidden="1" x14ac:dyDescent="0.35">
      <c r="A77" s="2" t="s">
        <v>391</v>
      </c>
      <c r="B77" s="3">
        <f>'Raw Data'!B96</f>
        <v>7660650263</v>
      </c>
      <c r="C77" s="3">
        <f>'Raw Data'!C96</f>
        <v>1295677775</v>
      </c>
      <c r="D77" s="3">
        <f>'Raw Data'!D96</f>
        <v>3860818654</v>
      </c>
      <c r="E77" s="3">
        <f>'Raw Data'!E96</f>
        <v>2570299065</v>
      </c>
      <c r="F77" s="3">
        <f>'Raw Data'!F96</f>
        <v>6686687740</v>
      </c>
      <c r="G77" s="3">
        <f>'Raw Data'!G96</f>
        <v>6770431424</v>
      </c>
      <c r="H77" s="3">
        <f>'Raw Data'!H96</f>
        <v>4379600530</v>
      </c>
      <c r="I77" s="208"/>
      <c r="J77" s="208"/>
      <c r="K77" s="208"/>
      <c r="L77" s="208"/>
      <c r="M77" s="208"/>
    </row>
    <row r="78" spans="1:13" ht="15.5" hidden="1" x14ac:dyDescent="0.35">
      <c r="A78" s="2" t="s">
        <v>392</v>
      </c>
      <c r="B78" s="3">
        <f>'Raw Data'!B97</f>
        <v>11734745719</v>
      </c>
      <c r="C78" s="3">
        <f>'Raw Data'!C97</f>
        <v>13573962561</v>
      </c>
      <c r="D78" s="3">
        <f>'Raw Data'!D97</f>
        <v>14259738175</v>
      </c>
      <c r="E78" s="3">
        <f>'Raw Data'!E97</f>
        <v>31734854675</v>
      </c>
      <c r="F78" s="3">
        <f>'Raw Data'!F97</f>
        <v>18846224521</v>
      </c>
      <c r="G78" s="3">
        <f>'Raw Data'!G97</f>
        <v>23159487331</v>
      </c>
      <c r="H78" s="3">
        <f>'Raw Data'!H97</f>
        <v>25063262634</v>
      </c>
      <c r="I78" s="208"/>
      <c r="J78" s="208"/>
      <c r="K78" s="208"/>
      <c r="L78" s="208"/>
      <c r="M78" s="208"/>
    </row>
    <row r="79" spans="1:13" ht="15.5" hidden="1" x14ac:dyDescent="0.35">
      <c r="A79" s="2" t="s">
        <v>393</v>
      </c>
      <c r="B79" s="3">
        <f>'Raw Data'!B98</f>
        <v>14449860321</v>
      </c>
      <c r="C79" s="3">
        <f>'Raw Data'!C98</f>
        <v>14759439048</v>
      </c>
      <c r="D79" s="3">
        <f>'Raw Data'!D98</f>
        <v>23729016904</v>
      </c>
      <c r="E79" s="3">
        <f>'Raw Data'!E98</f>
        <v>25924624973</v>
      </c>
      <c r="F79" s="3">
        <f>'Raw Data'!F98</f>
        <v>23820358291</v>
      </c>
      <c r="G79" s="3">
        <f>'Raw Data'!G98</f>
        <v>27023465313</v>
      </c>
      <c r="H79" s="3">
        <f>'Raw Data'!H98</f>
        <v>40288640067</v>
      </c>
      <c r="I79" s="208"/>
      <c r="J79" s="208"/>
      <c r="K79" s="208"/>
      <c r="L79" s="208"/>
      <c r="M79" s="208"/>
    </row>
    <row r="80" spans="1:13" ht="15.5" hidden="1" x14ac:dyDescent="0.35">
      <c r="A80" s="2" t="s">
        <v>394</v>
      </c>
      <c r="B80" s="3">
        <f>'Raw Data'!B99</f>
        <v>53220112617</v>
      </c>
      <c r="C80" s="3">
        <f>'Raw Data'!C99</f>
        <v>66837241960</v>
      </c>
      <c r="D80" s="3">
        <f>'Raw Data'!D99</f>
        <v>76135843561</v>
      </c>
      <c r="E80" s="3">
        <f>'Raw Data'!E99</f>
        <v>96724794495</v>
      </c>
      <c r="F80" s="3">
        <f>'Raw Data'!F99</f>
        <v>93748732179</v>
      </c>
      <c r="G80" s="3">
        <f>'Raw Data'!G99</f>
        <v>96976213042</v>
      </c>
      <c r="H80" s="3">
        <f>'Raw Data'!H99</f>
        <v>134394283546</v>
      </c>
      <c r="I80" s="208"/>
      <c r="J80" s="208"/>
      <c r="K80" s="208"/>
      <c r="L80" s="208"/>
      <c r="M80" s="208"/>
    </row>
    <row r="81" spans="1:13" ht="15.5" hidden="1" x14ac:dyDescent="0.35">
      <c r="A81" s="2" t="s">
        <v>395</v>
      </c>
      <c r="B81" s="3">
        <f>'Raw Data'!B103</f>
        <v>4386022605</v>
      </c>
      <c r="C81" s="3">
        <f>'Raw Data'!C103</f>
        <v>56465313682</v>
      </c>
      <c r="D81" s="3">
        <f>'Raw Data'!D103</f>
        <v>6752874128</v>
      </c>
      <c r="E81" s="3">
        <f>'Raw Data'!E103</f>
        <v>9028740183</v>
      </c>
      <c r="F81" s="3">
        <f>'Raw Data'!F103</f>
        <v>90142614189</v>
      </c>
      <c r="G81" s="3">
        <f>'Raw Data'!G103</f>
        <v>49255503644</v>
      </c>
      <c r="H81" s="3">
        <f>'Raw Data'!H103</f>
        <v>171925952658</v>
      </c>
      <c r="I81" s="208"/>
      <c r="J81" s="208"/>
      <c r="K81" s="208"/>
      <c r="L81" s="208"/>
      <c r="M81" s="208"/>
    </row>
    <row r="82" spans="1:13" ht="15.5" x14ac:dyDescent="0.35">
      <c r="A82" s="2" t="s">
        <v>396</v>
      </c>
      <c r="B82" s="3">
        <f>'Raw Data'!B104</f>
        <v>171584405449</v>
      </c>
      <c r="C82" s="3">
        <f>'Raw Data'!C104</f>
        <v>160974445870</v>
      </c>
      <c r="D82" s="3">
        <f>'Raw Data'!D104</f>
        <v>222159942446</v>
      </c>
      <c r="E82" s="3">
        <f>'Raw Data'!E104</f>
        <v>195113477671</v>
      </c>
      <c r="F82" s="3">
        <f>'Raw Data'!F104</f>
        <v>147248648694</v>
      </c>
      <c r="G82" s="3">
        <f>'Raw Data'!G104</f>
        <v>173272413271</v>
      </c>
      <c r="H82" s="3">
        <f>'Raw Data'!H104</f>
        <v>182885122900</v>
      </c>
      <c r="I82" s="208">
        <f>I$2*Assumptions!$B$59</f>
        <v>242048660174.47311</v>
      </c>
      <c r="J82" s="3">
        <f>J$2*Assumptions!$B$59</f>
        <v>276090139225.1947</v>
      </c>
      <c r="K82" s="3">
        <f>K$2*Assumptions!$B$59</f>
        <v>315496970751.48444</v>
      </c>
      <c r="L82" s="3">
        <f>L$2*Assumptions!$B$59</f>
        <v>361206669698.68292</v>
      </c>
      <c r="M82" s="3">
        <f>M$2*Assumptions!$B$59</f>
        <v>414335493446.89185</v>
      </c>
    </row>
    <row r="83" spans="1:13" ht="15.5" hidden="1" x14ac:dyDescent="0.35">
      <c r="A83" s="2" t="s">
        <v>397</v>
      </c>
      <c r="B83" s="3">
        <f>'Raw Data'!B106</f>
        <v>18178525323</v>
      </c>
      <c r="C83" s="3">
        <f>'Raw Data'!C106</f>
        <v>12918710261</v>
      </c>
      <c r="D83" s="3">
        <f>'Raw Data'!D106</f>
        <v>11669684988</v>
      </c>
      <c r="E83" s="3">
        <f>'Raw Data'!E106</f>
        <v>12256602888</v>
      </c>
      <c r="F83" s="3">
        <f>'Raw Data'!F106</f>
        <v>5838669865</v>
      </c>
      <c r="G83" s="3">
        <f>'Raw Data'!G106</f>
        <v>8871470540</v>
      </c>
      <c r="H83" s="3">
        <f>'Raw Data'!H106</f>
        <v>12156810827</v>
      </c>
      <c r="I83" s="208"/>
      <c r="J83" s="208"/>
      <c r="K83" s="208"/>
      <c r="L83" s="208"/>
      <c r="M83" s="208"/>
    </row>
    <row r="84" spans="1:13" ht="15.5" x14ac:dyDescent="0.35">
      <c r="A84" s="2" t="s">
        <v>398</v>
      </c>
      <c r="B84" s="3">
        <f t="shared" ref="B84:H84" si="14">B83+B81+B80+B79+B78+B77</f>
        <v>109629916848</v>
      </c>
      <c r="C84" s="3">
        <f t="shared" si="14"/>
        <v>165850345287</v>
      </c>
      <c r="D84" s="3">
        <f t="shared" si="14"/>
        <v>136407976410</v>
      </c>
      <c r="E84" s="3">
        <f t="shared" si="14"/>
        <v>178239916279</v>
      </c>
      <c r="F84" s="3">
        <f t="shared" si="14"/>
        <v>239083286785</v>
      </c>
      <c r="G84" s="3">
        <f t="shared" si="14"/>
        <v>212056571294</v>
      </c>
      <c r="H84" s="3">
        <f t="shared" si="14"/>
        <v>388208550262</v>
      </c>
      <c r="I84" s="208">
        <f>I$2*Assumptions!$B$60</f>
        <v>289813049247.01019</v>
      </c>
      <c r="J84" s="3">
        <f>J$2*Assumptions!$B$60</f>
        <v>330572063725.57202</v>
      </c>
      <c r="K84" s="3">
        <f>K$2*Assumptions!$B$60</f>
        <v>377755196231.09827</v>
      </c>
      <c r="L84" s="3">
        <f>L$2*Assumptions!$B$60</f>
        <v>432484965123.44238</v>
      </c>
      <c r="M84" s="3">
        <f>M$2*Assumptions!$B$60</f>
        <v>496097903126.39038</v>
      </c>
    </row>
    <row r="85" spans="1:13" ht="15.5" x14ac:dyDescent="0.35">
      <c r="A85" s="4" t="s">
        <v>169</v>
      </c>
      <c r="B85" s="5">
        <f>'Raw Data'!B109</f>
        <v>46992013790</v>
      </c>
      <c r="C85" s="5">
        <f>'Raw Data'!C109</f>
        <v>33987200727</v>
      </c>
      <c r="D85" s="5">
        <f>'Raw Data'!D109</f>
        <v>30088040004</v>
      </c>
      <c r="E85" s="5">
        <f>'Raw Data'!E109</f>
        <v>55263375673</v>
      </c>
      <c r="F85" s="5">
        <f>'Raw Data'!F109</f>
        <v>66783013387</v>
      </c>
      <c r="G85" s="5">
        <f>'Raw Data'!G109</f>
        <v>42264464254</v>
      </c>
      <c r="H85" s="5">
        <f>'Raw Data'!H109</f>
        <v>79908585906</v>
      </c>
      <c r="I85" s="324">
        <f>I86+I87+I88</f>
        <v>286849011336.45477</v>
      </c>
      <c r="J85" s="5">
        <f>J86+J87+J88</f>
        <v>497990835581.02161</v>
      </c>
      <c r="K85" s="5">
        <f>K86+K87+K88</f>
        <v>856508932341.38367</v>
      </c>
      <c r="L85" s="5">
        <f>L86+L87+L88</f>
        <v>1289422097914.1902</v>
      </c>
      <c r="M85" s="5">
        <f>M86+M87+M88</f>
        <v>1523636701985.9819</v>
      </c>
    </row>
    <row r="86" spans="1:13" ht="15.5" x14ac:dyDescent="0.35">
      <c r="A86" s="2" t="s">
        <v>170</v>
      </c>
      <c r="B86" s="3">
        <f>'Raw Data'!B116</f>
        <v>141717970</v>
      </c>
      <c r="C86" s="3">
        <f>'Raw Data'!C116</f>
        <v>54500000</v>
      </c>
      <c r="D86" s="3">
        <f>'Raw Data'!D116</f>
        <v>0</v>
      </c>
      <c r="E86" s="3">
        <f>'Raw Data'!E116</f>
        <v>0</v>
      </c>
      <c r="F86" s="3">
        <f>'Raw Data'!F116</f>
        <v>0</v>
      </c>
      <c r="G86" s="3">
        <f>'Raw Data'!G116</f>
        <v>0</v>
      </c>
      <c r="H86" s="3">
        <f>'Raw Data'!H116</f>
        <v>0</v>
      </c>
      <c r="I86" s="208">
        <f>I$2*Assumptions!$B$62</f>
        <v>14124506.36368168</v>
      </c>
      <c r="J86" s="3">
        <f>J$2*Assumptions!$B$62</f>
        <v>16110962.670171747</v>
      </c>
      <c r="K86" s="3">
        <f>K$2*Assumptions!$B$62</f>
        <v>18410508.729482312</v>
      </c>
      <c r="L86" s="3">
        <f>L$2*Assumptions!$B$62</f>
        <v>21077852.284271251</v>
      </c>
      <c r="M86" s="3">
        <f>M$2*Assumptions!$B$62</f>
        <v>24178131.412383687</v>
      </c>
    </row>
    <row r="87" spans="1:13" ht="15.5" x14ac:dyDescent="0.35">
      <c r="A87" s="2" t="s">
        <v>399</v>
      </c>
      <c r="B87" s="3">
        <f>'Raw Data'!B117</f>
        <v>20808564711</v>
      </c>
      <c r="C87" s="3">
        <f>'Raw Data'!C117</f>
        <v>5059232137</v>
      </c>
      <c r="D87" s="3">
        <f>'Raw Data'!D117</f>
        <v>0</v>
      </c>
      <c r="E87" s="3">
        <f>'Raw Data'!E117</f>
        <v>25846153842</v>
      </c>
      <c r="F87" s="3">
        <f>'Raw Data'!F117</f>
        <v>31807692298</v>
      </c>
      <c r="G87" s="3">
        <f>'Raw Data'!G117</f>
        <v>11689230754</v>
      </c>
      <c r="H87" s="3">
        <f>'Raw Data'!H117</f>
        <v>63613468906</v>
      </c>
      <c r="I87" s="208">
        <f>I72-I89-I75-I86-I88</f>
        <v>247834086096.29095</v>
      </c>
      <c r="J87" s="3">
        <f>J72-J89-J75-J86-J88</f>
        <v>453488890667.74261</v>
      </c>
      <c r="K87" s="3">
        <f>K72-K89-K75-K86-K88</f>
        <v>805655146501.40125</v>
      </c>
      <c r="L87" s="3">
        <f>L72-L89-L75-L86-L88</f>
        <v>1231200535339.1917</v>
      </c>
      <c r="M87" s="3">
        <f>M72-M89-M75-M86-M88</f>
        <v>1456851501483.2209</v>
      </c>
    </row>
    <row r="88" spans="1:13" ht="15.5" x14ac:dyDescent="0.35">
      <c r="A88" s="2" t="s">
        <v>171</v>
      </c>
      <c r="B88" s="3">
        <f>'Raw Data'!B121</f>
        <v>26041731109</v>
      </c>
      <c r="C88" s="3">
        <f>'Raw Data'!C121</f>
        <v>28873468590</v>
      </c>
      <c r="D88" s="3">
        <f>'Raw Data'!D121</f>
        <v>30088040004</v>
      </c>
      <c r="E88" s="3">
        <f>'Raw Data'!E121</f>
        <v>29417221831</v>
      </c>
      <c r="F88" s="3">
        <f>'Raw Data'!F121</f>
        <v>34975321089</v>
      </c>
      <c r="G88" s="3">
        <f>'Raw Data'!G121</f>
        <v>30575233500</v>
      </c>
      <c r="H88" s="3">
        <f>'Raw Data'!H121</f>
        <v>16295117000</v>
      </c>
      <c r="I88" s="208">
        <f>I$2*Assumptions!$B$63</f>
        <v>39000800733.800156</v>
      </c>
      <c r="J88" s="3">
        <f>J$2*Assumptions!$B$63</f>
        <v>44485833950.608849</v>
      </c>
      <c r="K88" s="3">
        <f>K$2*Assumptions!$B$63</f>
        <v>50835375331.252876</v>
      </c>
      <c r="L88" s="3">
        <f>L$2*Assumptions!$B$63</f>
        <v>58200484722.714371</v>
      </c>
      <c r="M88" s="3">
        <f>M$2*Assumptions!$B$63</f>
        <v>66761022371.348747</v>
      </c>
    </row>
    <row r="89" spans="1:13" ht="15.5" x14ac:dyDescent="0.35">
      <c r="A89" s="201" t="s">
        <v>172</v>
      </c>
      <c r="B89" s="202">
        <f>'Raw Data'!B123</f>
        <v>924226459109</v>
      </c>
      <c r="C89" s="202">
        <f>'Raw Data'!C123</f>
        <v>1059954775249</v>
      </c>
      <c r="D89" s="202">
        <f>'Raw Data'!D123</f>
        <v>1268668396670</v>
      </c>
      <c r="E89" s="202">
        <f>'Raw Data'!E123</f>
        <v>1806986871646</v>
      </c>
      <c r="F89" s="202">
        <f>'Raw Data'!F123</f>
        <v>1748259636290</v>
      </c>
      <c r="G89" s="202">
        <f>'Raw Data'!G123</f>
        <v>1825578447277</v>
      </c>
      <c r="H89" s="202">
        <f>'Raw Data'!H123</f>
        <v>1957871756822</v>
      </c>
      <c r="I89" s="323">
        <f>I90</f>
        <v>2002007569566.3896</v>
      </c>
      <c r="J89" s="202">
        <f>J90</f>
        <v>2103710339404.022</v>
      </c>
      <c r="K89" s="202">
        <f>K90</f>
        <v>2206075080652.5879</v>
      </c>
      <c r="L89" s="202">
        <f>L90</f>
        <v>2300896621795.1934</v>
      </c>
      <c r="M89" s="202">
        <f>M90</f>
        <v>2670489754801.8438</v>
      </c>
    </row>
    <row r="90" spans="1:13" ht="15.5" x14ac:dyDescent="0.35">
      <c r="A90" s="2" t="s">
        <v>173</v>
      </c>
      <c r="B90" s="3">
        <f>'Raw Data'!B124</f>
        <v>924226459109</v>
      </c>
      <c r="C90" s="3">
        <f>'Raw Data'!C124</f>
        <v>1059954775249</v>
      </c>
      <c r="D90" s="3">
        <f>'Raw Data'!D124</f>
        <v>1268668396670</v>
      </c>
      <c r="E90" s="3">
        <f>'Raw Data'!E124</f>
        <v>1806986871646</v>
      </c>
      <c r="F90" s="3">
        <f>'Raw Data'!F124</f>
        <v>1748259636290</v>
      </c>
      <c r="G90" s="3">
        <f>'Raw Data'!G124</f>
        <v>1825578447277</v>
      </c>
      <c r="H90" s="3">
        <f>'Raw Data'!H124</f>
        <v>1957871756822</v>
      </c>
      <c r="I90" s="208">
        <f>I91+I93+I94+I95+I96+I99</f>
        <v>2002007569566.3896</v>
      </c>
      <c r="J90" s="3">
        <f>J91+J93+J94+J95+J96+J99</f>
        <v>2103710339404.022</v>
      </c>
      <c r="K90" s="3">
        <f>K91+K93+K94+K95+K96+K99</f>
        <v>2206075080652.5879</v>
      </c>
      <c r="L90" s="3">
        <f>L91+L93+L94+L95+L96+L99</f>
        <v>2300896621795.1934</v>
      </c>
      <c r="M90" s="3">
        <f>M91+M93+M94+M95+M96+M99</f>
        <v>2670489754801.8438</v>
      </c>
    </row>
    <row r="91" spans="1:13" ht="15.5" x14ac:dyDescent="0.35">
      <c r="A91" s="2" t="s">
        <v>174</v>
      </c>
      <c r="B91" s="3">
        <f>'Raw Data'!B125</f>
        <v>383126720000</v>
      </c>
      <c r="C91" s="3">
        <f>'Raw Data'!C125</f>
        <v>505562560000</v>
      </c>
      <c r="D91" s="3">
        <f>'Raw Data'!D125</f>
        <v>657228530000</v>
      </c>
      <c r="E91" s="3">
        <f>'Raw Data'!E125</f>
        <v>777944530000</v>
      </c>
      <c r="F91" s="3">
        <f>'Raw Data'!F125</f>
        <v>777944530000</v>
      </c>
      <c r="G91" s="3">
        <f>'Raw Data'!G125</f>
        <v>777944530000</v>
      </c>
      <c r="H91" s="3">
        <f>'Raw Data'!H125</f>
        <v>777944530000</v>
      </c>
      <c r="I91" s="208">
        <f>FS_BS[[#This Row],[2022]]</f>
        <v>777944530000</v>
      </c>
      <c r="J91" s="3">
        <f>FS_BS[[#This Row],[2023]]</f>
        <v>777944530000</v>
      </c>
      <c r="K91" s="3">
        <f>FS_BS[[#This Row],[2024]]</f>
        <v>777944530000</v>
      </c>
      <c r="L91" s="3">
        <f>FS_BS[[#This Row],[2025]]</f>
        <v>777944530000</v>
      </c>
      <c r="M91" s="3">
        <f>FS_BS[[#This Row],[2026]]</f>
        <v>777944530000</v>
      </c>
    </row>
    <row r="92" spans="1:13" ht="15.5" x14ac:dyDescent="0.35">
      <c r="A92" s="7" t="s">
        <v>400</v>
      </c>
      <c r="B92" s="3">
        <f>'Raw Data'!B126</f>
        <v>383126720000</v>
      </c>
      <c r="C92" s="3">
        <f>'Raw Data'!C126</f>
        <v>505562560000</v>
      </c>
      <c r="D92" s="3">
        <f>'Raw Data'!D126</f>
        <v>657228530000</v>
      </c>
      <c r="E92" s="3">
        <f>'Raw Data'!E126</f>
        <v>777944530000</v>
      </c>
      <c r="F92" s="3">
        <f>'Raw Data'!F126</f>
        <v>777944530000</v>
      </c>
      <c r="G92" s="3">
        <f>'Raw Data'!G126</f>
        <v>777944530000</v>
      </c>
      <c r="H92" s="3">
        <f>'Raw Data'!H126</f>
        <v>777944530000</v>
      </c>
      <c r="I92" s="208">
        <v>777944530000</v>
      </c>
      <c r="J92" s="3">
        <v>777944530000</v>
      </c>
      <c r="K92" s="3">
        <v>777944530000</v>
      </c>
      <c r="L92" s="3">
        <v>777944530000</v>
      </c>
      <c r="M92" s="3">
        <v>777944530000</v>
      </c>
    </row>
    <row r="93" spans="1:13" ht="15.5" x14ac:dyDescent="0.35">
      <c r="A93" s="2" t="s">
        <v>176</v>
      </c>
      <c r="B93" s="3">
        <f>'Raw Data'!B128</f>
        <v>128217023000</v>
      </c>
      <c r="C93" s="3">
        <f>'Raw Data'!C128</f>
        <v>28281183000</v>
      </c>
      <c r="D93" s="3">
        <f>'Raw Data'!D128</f>
        <v>28281183000</v>
      </c>
      <c r="E93" s="3">
        <f>'Raw Data'!E128</f>
        <v>392944802300</v>
      </c>
      <c r="F93" s="3">
        <f>'Raw Data'!F128</f>
        <v>361633483771</v>
      </c>
      <c r="G93" s="3">
        <f>'Raw Data'!G128</f>
        <v>361633483771</v>
      </c>
      <c r="H93" s="3">
        <f>'Raw Data'!H128</f>
        <v>361633483771</v>
      </c>
      <c r="I93" s="208">
        <f>FS_BS[[#This Row],[2022]]</f>
        <v>361633483771</v>
      </c>
      <c r="J93" s="3">
        <f>FS_BS[[#This Row],[2023]]</f>
        <v>361633483771</v>
      </c>
      <c r="K93" s="3">
        <f>FS_BS[[#This Row],[2024]]</f>
        <v>361633483771</v>
      </c>
      <c r="L93" s="3">
        <f>FS_BS[[#This Row],[2025]]</f>
        <v>361633483771</v>
      </c>
      <c r="M93" s="3">
        <f>FS_BS[[#This Row],[2026]]</f>
        <v>361633483771</v>
      </c>
    </row>
    <row r="94" spans="1:13" ht="15.5" x14ac:dyDescent="0.35">
      <c r="A94" s="2" t="s">
        <v>177</v>
      </c>
      <c r="B94" s="169">
        <f>'Raw Data'!B133</f>
        <v>0</v>
      </c>
      <c r="C94" s="169">
        <f>'Raw Data'!C133</f>
        <v>0</v>
      </c>
      <c r="D94" s="169">
        <f>'Raw Data'!D133</f>
        <v>0</v>
      </c>
      <c r="E94" s="169">
        <f>'Raw Data'!E133</f>
        <v>0</v>
      </c>
      <c r="F94" s="169">
        <f>'Raw Data'!F133</f>
        <v>92630401</v>
      </c>
      <c r="G94" s="169">
        <f>'Raw Data'!G133</f>
        <v>-300043194</v>
      </c>
      <c r="H94" s="169">
        <f>'Raw Data'!H133</f>
        <v>526982987</v>
      </c>
      <c r="I94" s="208">
        <f>AVERAGE(FS_BS[[#This Row],[2020]:[2022]])</f>
        <v>106523398</v>
      </c>
      <c r="J94" s="3">
        <f>AVERAGE(FS_BS[[#This Row],[2021]:[2023]])</f>
        <v>111154397</v>
      </c>
      <c r="K94" s="3">
        <f>AVERAGE(FS_BS[[#This Row],[2022]:[2024]])</f>
        <v>248220260.66666666</v>
      </c>
      <c r="L94" s="3">
        <f>AVERAGE(FS_BS[[#This Row],[2023]:[2025]])</f>
        <v>155299351.88888887</v>
      </c>
      <c r="M94" s="3">
        <f>AVERAGE(FS_BS[[#This Row],[2024]:[2026]])</f>
        <v>171558003.18518516</v>
      </c>
    </row>
    <row r="95" spans="1:13" ht="15.5" x14ac:dyDescent="0.35">
      <c r="A95" s="2" t="s">
        <v>180</v>
      </c>
      <c r="B95" s="3">
        <f>'Raw Data'!B134</f>
        <v>97075895498</v>
      </c>
      <c r="C95" s="3">
        <f>'Raw Data'!C134</f>
        <v>125884643498</v>
      </c>
      <c r="D95" s="3">
        <f>'Raw Data'!D134</f>
        <v>158051613498</v>
      </c>
      <c r="E95" s="3">
        <f>'Raw Data'!E134</f>
        <v>158019722556</v>
      </c>
      <c r="F95" s="3">
        <f>'Raw Data'!F134</f>
        <v>199910168556</v>
      </c>
      <c r="G95" s="3">
        <f>'Raw Data'!G134</f>
        <v>228691572556</v>
      </c>
      <c r="H95" s="3">
        <f>'Raw Data'!H134</f>
        <v>261896462556</v>
      </c>
      <c r="I95" s="208">
        <f>I$2*Assumptions!$B$70</f>
        <v>251707516755.66556</v>
      </c>
      <c r="J95" s="3">
        <f>J$2*Assumptions!$B$70</f>
        <v>287107407638.64258</v>
      </c>
      <c r="K95" s="3">
        <f>K$2*Assumptions!$B$70</f>
        <v>328086753277.41406</v>
      </c>
      <c r="L95" s="3">
        <f>L$2*Assumptions!$B$70</f>
        <v>375620479782.46906</v>
      </c>
      <c r="M95" s="3">
        <f>M$2*Assumptions!$B$70</f>
        <v>430869388345.61353</v>
      </c>
    </row>
    <row r="96" spans="1:13" ht="15.5" x14ac:dyDescent="0.35">
      <c r="A96" s="325" t="s">
        <v>181</v>
      </c>
      <c r="B96" s="3">
        <f>'Raw Data'!B137</f>
        <v>315806820611</v>
      </c>
      <c r="C96" s="3">
        <f>'Raw Data'!C137</f>
        <v>400226388751</v>
      </c>
      <c r="D96" s="3">
        <f>'Raw Data'!D137</f>
        <v>425107070172</v>
      </c>
      <c r="E96" s="3">
        <f>'Raw Data'!E137</f>
        <v>478077816790</v>
      </c>
      <c r="F96" s="3">
        <f>'Raw Data'!F137</f>
        <v>408678823562</v>
      </c>
      <c r="G96" s="3">
        <f>'Raw Data'!G137</f>
        <v>457608904144</v>
      </c>
      <c r="H96" s="3">
        <f>'Raw Data'!H137</f>
        <v>554720805316</v>
      </c>
      <c r="I96" s="208">
        <f>Assumptions!B71*FS!I23</f>
        <v>610615515641.72412</v>
      </c>
      <c r="J96" s="208">
        <f>Assumptions!C71*FS!J23</f>
        <v>676913763597.37952</v>
      </c>
      <c r="K96" s="208">
        <f>Assumptions!D71*FS!K23</f>
        <v>738162093343.50684</v>
      </c>
      <c r="L96" s="208">
        <f>Assumptions!E71*FS!L23</f>
        <v>785542828889.83545</v>
      </c>
      <c r="M96" s="208">
        <f>Assumptions!F71*FS!M23</f>
        <v>1099870794682.0452</v>
      </c>
    </row>
    <row r="97" spans="1:14" ht="15.5" x14ac:dyDescent="0.35">
      <c r="A97" s="7" t="s">
        <v>182</v>
      </c>
      <c r="B97" s="3">
        <f>'Raw Data'!B138</f>
        <v>153617482353</v>
      </c>
      <c r="C97" s="3">
        <f>'Raw Data'!C138</f>
        <v>195591119260</v>
      </c>
      <c r="D97" s="3">
        <f>'Raw Data'!D138</f>
        <v>271671178810</v>
      </c>
      <c r="E97" s="3">
        <f>'Raw Data'!E138</f>
        <v>244956496053</v>
      </c>
      <c r="F97" s="3">
        <f>'Raw Data'!F138</f>
        <v>77956130749</v>
      </c>
      <c r="G97" s="3">
        <f>'Raw Data'!G138</f>
        <v>111618507257</v>
      </c>
      <c r="H97" s="3">
        <f>'Raw Data'!H138</f>
        <v>396733273144</v>
      </c>
      <c r="I97" s="208">
        <f>FS_BS[[#This Row],[2022]]+H98*Assumptions!$B$72</f>
        <v>409598055520.46454</v>
      </c>
      <c r="J97" s="3">
        <f>FS_BS[[#This Row],[2023]]+I98*Assumptions!$B$72</f>
        <v>431056695554.20398</v>
      </c>
      <c r="K97" s="3">
        <f>FS_BS[[#This Row],[2024]]+J98*Assumptions!$B$72</f>
        <v>455082959481.8692</v>
      </c>
      <c r="L97" s="3">
        <f>FS_BS[[#This Row],[2025]]+K98*Assumptions!$B$72</f>
        <v>482172253297.47443</v>
      </c>
      <c r="M97" s="3">
        <f>FS_BS[[#This Row],[2026]]+L98*Assumptions!$B$72</f>
        <v>512569533442.78937</v>
      </c>
    </row>
    <row r="98" spans="1:14" ht="15.5" x14ac:dyDescent="0.35">
      <c r="A98" s="7" t="s">
        <v>183</v>
      </c>
      <c r="B98" s="3">
        <f>'Raw Data'!B139</f>
        <v>162189338258</v>
      </c>
      <c r="C98" s="3">
        <f>'Raw Data'!C139</f>
        <v>204635269491</v>
      </c>
      <c r="D98" s="3">
        <f>'Raw Data'!D139</f>
        <v>153435891362</v>
      </c>
      <c r="E98" s="3">
        <f>'Raw Data'!E139</f>
        <v>233121320737</v>
      </c>
      <c r="F98" s="3">
        <f>'Raw Data'!F139</f>
        <v>330722692813</v>
      </c>
      <c r="G98" s="3">
        <f>'Raw Data'!G139</f>
        <v>345990396887</v>
      </c>
      <c r="H98" s="3">
        <f>'Raw Data'!H139</f>
        <v>157987532172</v>
      </c>
      <c r="I98" s="208">
        <f>I23*(Assumptions!$B$73)</f>
        <v>263525451382.68085</v>
      </c>
      <c r="J98" s="3">
        <f>J23*(Assumptions!$B$73)</f>
        <v>295057470399.91058</v>
      </c>
      <c r="K98" s="3">
        <f>K23*(Assumptions!$B$73)</f>
        <v>332673383269.91931</v>
      </c>
      <c r="L98" s="3">
        <f>L23*(Assumptions!$B$73)</f>
        <v>373297513659.07043</v>
      </c>
      <c r="M98" s="3">
        <f>M23*(Assumptions!$B$73)</f>
        <v>420088077395.86987</v>
      </c>
    </row>
    <row r="99" spans="1:14" ht="15.5" x14ac:dyDescent="0.35">
      <c r="A99" s="2" t="s">
        <v>184</v>
      </c>
      <c r="B99" s="3">
        <f>'Raw Data'!B141</f>
        <v>0</v>
      </c>
      <c r="C99" s="3">
        <f>'Raw Data'!C141</f>
        <v>0</v>
      </c>
      <c r="D99" s="3">
        <f>'Raw Data'!D141</f>
        <v>0</v>
      </c>
      <c r="E99" s="3">
        <f>'Raw Data'!E141</f>
        <v>0</v>
      </c>
      <c r="F99" s="3">
        <f>'Raw Data'!F141</f>
        <v>0</v>
      </c>
      <c r="G99" s="3">
        <f>'Raw Data'!G141</f>
        <v>0</v>
      </c>
      <c r="H99" s="3">
        <f>'Raw Data'!H141</f>
        <v>1149492192</v>
      </c>
      <c r="I99" s="208">
        <v>0</v>
      </c>
      <c r="J99" s="3">
        <f>FS_BS[[#This Row],[2023]]</f>
        <v>0</v>
      </c>
      <c r="K99" s="3">
        <f>FS_BS[[#This Row],[2024]]</f>
        <v>0</v>
      </c>
      <c r="L99" s="3">
        <f>FS_BS[[#This Row],[2025]]</f>
        <v>0</v>
      </c>
      <c r="M99" s="3">
        <f>FS_BS[[#This Row],[2026]]</f>
        <v>0</v>
      </c>
    </row>
    <row r="100" spans="1:14" ht="15.5" x14ac:dyDescent="0.35">
      <c r="A100" s="201" t="s">
        <v>401</v>
      </c>
      <c r="B100" s="202">
        <f>'Raw Data'!B145</f>
        <v>1384312466725</v>
      </c>
      <c r="C100" s="202">
        <f>'Raw Data'!C145</f>
        <v>1568516716436</v>
      </c>
      <c r="D100" s="202">
        <f>'Raw Data'!D145</f>
        <v>1794659644368</v>
      </c>
      <c r="E100" s="202">
        <f>'Raw Data'!E145</f>
        <v>2416903927975</v>
      </c>
      <c r="F100" s="202">
        <f>'Raw Data'!F145</f>
        <v>2314599141762</v>
      </c>
      <c r="G100" s="202">
        <f>'Raw Data'!G145</f>
        <v>2446138550928</v>
      </c>
      <c r="H100" s="202">
        <f>'Raw Data'!H145</f>
        <v>2869036051355</v>
      </c>
      <c r="I100" s="323">
        <f>I74+I89</f>
        <v>3048145854636.917</v>
      </c>
      <c r="J100" s="202">
        <f>J74+J89</f>
        <v>3467776125147.2559</v>
      </c>
      <c r="K100" s="202">
        <f>K74+K89</f>
        <v>4052275365197.7808</v>
      </c>
      <c r="L100" s="202">
        <f>L74+L89</f>
        <v>4723398116660.9063</v>
      </c>
      <c r="M100" s="202">
        <f>M74+M89</f>
        <v>5493867160474.3047</v>
      </c>
    </row>
    <row r="101" spans="1:14" x14ac:dyDescent="0.35">
      <c r="I101" s="31"/>
    </row>
    <row r="102" spans="1:14" ht="15.5" x14ac:dyDescent="0.35">
      <c r="A102" s="2" t="s">
        <v>320</v>
      </c>
      <c r="B102" s="2" t="s">
        <v>13</v>
      </c>
      <c r="C102" s="2" t="s">
        <v>2</v>
      </c>
      <c r="D102" s="2" t="s">
        <v>3</v>
      </c>
      <c r="E102" s="2" t="s">
        <v>4</v>
      </c>
      <c r="F102" s="2" t="s">
        <v>5</v>
      </c>
      <c r="G102" s="2" t="s">
        <v>6</v>
      </c>
      <c r="H102" s="2" t="s">
        <v>7</v>
      </c>
      <c r="I102" s="205" t="s">
        <v>29</v>
      </c>
      <c r="J102" s="2" t="s">
        <v>30</v>
      </c>
      <c r="K102" s="2" t="s">
        <v>31</v>
      </c>
      <c r="L102" s="2" t="s">
        <v>32</v>
      </c>
      <c r="M102" s="2" t="s">
        <v>33</v>
      </c>
    </row>
    <row r="103" spans="1:14" s="57" customFormat="1" ht="15.5" x14ac:dyDescent="0.35">
      <c r="A103" s="201" t="s">
        <v>402</v>
      </c>
      <c r="B103" s="201"/>
      <c r="C103" s="202"/>
      <c r="D103" s="202"/>
      <c r="E103" s="202"/>
      <c r="F103" s="202"/>
      <c r="G103" s="202"/>
      <c r="H103" s="202"/>
      <c r="I103" s="323"/>
      <c r="J103" s="202"/>
      <c r="K103" s="202"/>
      <c r="L103" s="202"/>
      <c r="M103" s="202"/>
    </row>
    <row r="104" spans="1:14" ht="15.5" x14ac:dyDescent="0.35">
      <c r="A104" s="2" t="s">
        <v>403</v>
      </c>
      <c r="B104" s="3">
        <f>'Raw Data'!B149</f>
        <v>306363619047</v>
      </c>
      <c r="C104" s="3">
        <f>'Raw Data'!C149</f>
        <v>334605605852</v>
      </c>
      <c r="D104" s="3">
        <f>'Raw Data'!D149</f>
        <v>368270871380</v>
      </c>
      <c r="E104" s="3">
        <f>'Raw Data'!E149</f>
        <v>436850758578</v>
      </c>
      <c r="F104" s="3">
        <f>'Raw Data'!F149</f>
        <v>303637473680</v>
      </c>
      <c r="G104" s="3">
        <f>'Raw Data'!G149</f>
        <v>358564884026</v>
      </c>
      <c r="H104" s="3">
        <f>'Raw Data'!H149</f>
        <v>506666648202</v>
      </c>
      <c r="I104" s="208">
        <f>I19</f>
        <v>511210273064.22449</v>
      </c>
      <c r="J104" s="3">
        <f>J19</f>
        <v>572378907696.99963</v>
      </c>
      <c r="K104" s="3">
        <f>K19</f>
        <v>645349624525.07837</v>
      </c>
      <c r="L104" s="3">
        <f>L19</f>
        <v>724155951125.6803</v>
      </c>
      <c r="M104" s="3">
        <f>M19</f>
        <v>814924477426.32544</v>
      </c>
      <c r="N104" t="s">
        <v>1437</v>
      </c>
    </row>
    <row r="105" spans="1:14" ht="15.5" x14ac:dyDescent="0.35">
      <c r="A105" s="2" t="s">
        <v>404</v>
      </c>
      <c r="B105" s="3"/>
      <c r="C105" s="3"/>
      <c r="D105" s="3"/>
      <c r="E105" s="3"/>
      <c r="F105" s="3"/>
      <c r="G105" s="3"/>
      <c r="H105" s="3"/>
      <c r="I105" s="208"/>
      <c r="J105" s="3"/>
      <c r="K105" s="3"/>
      <c r="L105" s="3"/>
      <c r="M105" s="3"/>
    </row>
    <row r="106" spans="1:14" ht="15.5" x14ac:dyDescent="0.35">
      <c r="A106" s="7" t="s">
        <v>405</v>
      </c>
      <c r="B106" s="3">
        <f>'Raw Data'!B151</f>
        <v>44323662660</v>
      </c>
      <c r="C106" s="3">
        <f>'Raw Data'!C151</f>
        <v>49798331415</v>
      </c>
      <c r="D106" s="3">
        <f>'Raw Data'!D151</f>
        <v>65989947275</v>
      </c>
      <c r="E106" s="3">
        <f>'Raw Data'!E151</f>
        <v>77552153082</v>
      </c>
      <c r="F106" s="3">
        <f>'Raw Data'!F151</f>
        <v>80427015086</v>
      </c>
      <c r="G106" s="3">
        <f>'Raw Data'!G151</f>
        <v>83919429257</v>
      </c>
      <c r="H106" s="3">
        <f>'Raw Data'!H151</f>
        <v>82485634011</v>
      </c>
      <c r="I106" s="208">
        <f>I54*'Depreciation Calculation'!$B$3</f>
        <v>110676270042.44167</v>
      </c>
      <c r="J106" s="3">
        <f>J54*'Depreciation Calculation'!$B$3</f>
        <v>142092115081.18839</v>
      </c>
      <c r="K106" s="3">
        <f>K54*'Depreciation Calculation'!$B$3</f>
        <v>177267008887.35602</v>
      </c>
      <c r="L106" s="3">
        <f>L54*'Depreciation Calculation'!$B$3</f>
        <v>216926234979.13324</v>
      </c>
      <c r="M106" s="3">
        <f>M54*'Depreciation Calculation'!$B$3</f>
        <v>261428414108.05792</v>
      </c>
    </row>
    <row r="107" spans="1:14" ht="15.5" x14ac:dyDescent="0.35">
      <c r="A107" s="7" t="s">
        <v>406</v>
      </c>
      <c r="B107" s="3">
        <f>'Raw Data'!B152</f>
        <v>-9242721037</v>
      </c>
      <c r="C107" s="3">
        <f>'Raw Data'!C152</f>
        <v>1629077611</v>
      </c>
      <c r="D107" s="3">
        <f>'Raw Data'!D152</f>
        <v>2634365580</v>
      </c>
      <c r="E107" s="3">
        <f>'Raw Data'!E152</f>
        <v>8626055304</v>
      </c>
      <c r="F107" s="3">
        <f>'Raw Data'!F152</f>
        <v>-9843622423</v>
      </c>
      <c r="G107" s="3">
        <f>'Raw Data'!G152</f>
        <v>-10060980737</v>
      </c>
      <c r="H107" s="3">
        <f>'Raw Data'!H152</f>
        <v>-15038842760</v>
      </c>
      <c r="I107" s="208">
        <f>AVERAGE(B107:H107)</f>
        <v>-4470952637.4285717</v>
      </c>
      <c r="J107" s="3">
        <f t="shared" ref="J107:M107" si="15">AVERAGE(C107:I107)</f>
        <v>-3789271437.4897962</v>
      </c>
      <c r="K107" s="3">
        <f t="shared" si="15"/>
        <v>-4563321301.5597668</v>
      </c>
      <c r="L107" s="3">
        <f t="shared" si="15"/>
        <v>-5591562284.6397343</v>
      </c>
      <c r="M107" s="3">
        <f t="shared" si="15"/>
        <v>-7622650511.5882673</v>
      </c>
      <c r="N107" t="s">
        <v>408</v>
      </c>
    </row>
    <row r="108" spans="1:14" ht="15.5" x14ac:dyDescent="0.35">
      <c r="A108" s="7" t="s">
        <v>407</v>
      </c>
      <c r="B108" s="3">
        <f>'Raw Data'!B153</f>
        <v>547778398</v>
      </c>
      <c r="C108" s="3">
        <f>'Raw Data'!C153</f>
        <v>32228235</v>
      </c>
      <c r="D108" s="3">
        <f>'Raw Data'!D153</f>
        <v>504277463</v>
      </c>
      <c r="E108" s="3">
        <f>'Raw Data'!E153</f>
        <v>16650960</v>
      </c>
      <c r="F108" s="3">
        <f>'Raw Data'!F153</f>
        <v>284619586</v>
      </c>
      <c r="G108" s="3">
        <f>'Raw Data'!G153</f>
        <v>-318054357</v>
      </c>
      <c r="H108" s="3">
        <f>'Raw Data'!H153</f>
        <v>6966897124</v>
      </c>
      <c r="I108" s="208">
        <f>AVERAGE(B108:H108)</f>
        <v>1147771058.4285715</v>
      </c>
      <c r="J108" s="3">
        <f t="shared" ref="J108:M108" si="16">AVERAGE(C108:I108)</f>
        <v>1233484295.632653</v>
      </c>
      <c r="K108" s="3">
        <f t="shared" si="16"/>
        <v>1405092304.2944605</v>
      </c>
      <c r="L108" s="3">
        <f t="shared" si="16"/>
        <v>1533780138.7650979</v>
      </c>
      <c r="M108" s="3">
        <f t="shared" si="16"/>
        <v>1750512878.5886834</v>
      </c>
      <c r="N108" t="s">
        <v>408</v>
      </c>
    </row>
    <row r="109" spans="1:14" ht="15.5" x14ac:dyDescent="0.35">
      <c r="A109" s="7" t="s">
        <v>409</v>
      </c>
      <c r="B109" s="3">
        <f>'Raw Data'!B154</f>
        <v>-16154393112</v>
      </c>
      <c r="C109" s="3">
        <f>'Raw Data'!C154</f>
        <v>-16289299176</v>
      </c>
      <c r="D109" s="3">
        <f>'Raw Data'!D154</f>
        <v>-8187154568</v>
      </c>
      <c r="E109" s="3">
        <f>'Raw Data'!E154</f>
        <v>-57340235185</v>
      </c>
      <c r="F109" s="3">
        <f>'Raw Data'!F154</f>
        <v>-22385207920</v>
      </c>
      <c r="G109" s="3">
        <f>'Raw Data'!G154</f>
        <v>-23868121847</v>
      </c>
      <c r="H109" s="3">
        <f>'Raw Data'!H154</f>
        <v>-24663621794</v>
      </c>
      <c r="I109" s="208">
        <f>AVERAGE(B109:H109)</f>
        <v>-24126861943.142857</v>
      </c>
      <c r="J109" s="3">
        <f t="shared" ref="J109:M109" si="17">AVERAGE(C109:I109)</f>
        <v>-25265786061.877552</v>
      </c>
      <c r="K109" s="3">
        <f t="shared" si="17"/>
        <v>-26548141331.288631</v>
      </c>
      <c r="L109" s="3">
        <f t="shared" si="17"/>
        <v>-29171139440.329865</v>
      </c>
      <c r="M109" s="3">
        <f t="shared" si="17"/>
        <v>-25146982905.376984</v>
      </c>
      <c r="N109" t="s">
        <v>408</v>
      </c>
    </row>
    <row r="110" spans="1:14" ht="15.5" x14ac:dyDescent="0.35">
      <c r="A110" s="7" t="s">
        <v>410</v>
      </c>
      <c r="B110" s="3">
        <f>'Raw Data'!B155</f>
        <v>10697412010</v>
      </c>
      <c r="C110" s="3">
        <f>'Raw Data'!C155</f>
        <v>9500290007</v>
      </c>
      <c r="D110" s="3">
        <f>'Raw Data'!D155</f>
        <v>11068142459</v>
      </c>
      <c r="E110" s="3">
        <f>'Raw Data'!E155</f>
        <v>11434553822</v>
      </c>
      <c r="F110" s="3">
        <f>'Raw Data'!F155</f>
        <v>11853821706</v>
      </c>
      <c r="G110" s="3">
        <f>'Raw Data'!G155</f>
        <v>7019978348</v>
      </c>
      <c r="H110" s="3">
        <f>'Raw Data'!H155</f>
        <v>8881716860</v>
      </c>
      <c r="I110" s="328"/>
      <c r="J110" s="329"/>
      <c r="K110" s="329"/>
      <c r="L110" s="329"/>
      <c r="M110" s="329"/>
      <c r="N110" t="s">
        <v>408</v>
      </c>
    </row>
    <row r="111" spans="1:14" ht="15.5" x14ac:dyDescent="0.35">
      <c r="A111" s="2" t="s">
        <v>411</v>
      </c>
      <c r="B111" s="3">
        <f>'Raw Data'!B157</f>
        <v>336535357966</v>
      </c>
      <c r="C111" s="3">
        <f>'Raw Data'!C157</f>
        <v>379276233944</v>
      </c>
      <c r="D111" s="3">
        <f>'Raw Data'!D157</f>
        <v>440280449589</v>
      </c>
      <c r="E111" s="3">
        <f>'Raw Data'!E157</f>
        <v>477139936561</v>
      </c>
      <c r="F111" s="3">
        <f>'Raw Data'!F157</f>
        <v>363974099715</v>
      </c>
      <c r="G111" s="3">
        <f>'Raw Data'!G157</f>
        <v>415257134690</v>
      </c>
      <c r="H111" s="3">
        <f>'Raw Data'!H157</f>
        <v>565298431643</v>
      </c>
      <c r="I111" s="208">
        <f>I104+SUM(I106:I110)</f>
        <v>594436499584.52332</v>
      </c>
      <c r="J111" s="3">
        <f>J104+SUM(J106:J110)</f>
        <v>686649449574.45337</v>
      </c>
      <c r="K111" s="3">
        <f>K104+SUM(K106:K110)</f>
        <v>792910263083.88049</v>
      </c>
      <c r="L111" s="3">
        <f>L104+SUM(L106:L110)</f>
        <v>907853264518.60901</v>
      </c>
      <c r="M111" s="3">
        <f>M104+SUM(M106:M110)</f>
        <v>1045333770996.0068</v>
      </c>
    </row>
    <row r="112" spans="1:14" ht="15.5" x14ac:dyDescent="0.35">
      <c r="A112" s="7" t="s">
        <v>412</v>
      </c>
      <c r="B112" s="3">
        <f>'Raw Data'!B158</f>
        <v>-23364463090</v>
      </c>
      <c r="C112" s="3">
        <f>'Raw Data'!C158</f>
        <v>-78789029547</v>
      </c>
      <c r="D112" s="3">
        <f>'Raw Data'!D158</f>
        <v>-128740790023</v>
      </c>
      <c r="E112" s="3">
        <f>'Raw Data'!E158</f>
        <v>-226056564034</v>
      </c>
      <c r="F112" s="3">
        <f>'Raw Data'!F158</f>
        <v>163476604891</v>
      </c>
      <c r="G112" s="3">
        <f>'Raw Data'!G158</f>
        <v>24949485918</v>
      </c>
      <c r="H112" s="3">
        <f>'Raw Data'!H158</f>
        <v>-26902790739</v>
      </c>
      <c r="I112" s="208">
        <f>I38-H38</f>
        <v>140044765996.25665</v>
      </c>
      <c r="J112" s="3">
        <f>J38-I38</f>
        <v>71739998633.713806</v>
      </c>
      <c r="K112" s="3">
        <f>K38-J38</f>
        <v>83047097796.271851</v>
      </c>
      <c r="L112" s="3">
        <f>L38-K38</f>
        <v>96329943100.694458</v>
      </c>
      <c r="M112" s="3">
        <f>M38-L38</f>
        <v>111965221529.5426</v>
      </c>
    </row>
    <row r="113" spans="1:14" ht="15.5" x14ac:dyDescent="0.35">
      <c r="A113" s="7" t="s">
        <v>413</v>
      </c>
      <c r="B113" s="3">
        <f>'Raw Data'!B159</f>
        <v>-31581065498</v>
      </c>
      <c r="C113" s="3">
        <f>'Raw Data'!C159</f>
        <v>-55196444146</v>
      </c>
      <c r="D113" s="3">
        <f>'Raw Data'!D159</f>
        <v>-169432343186</v>
      </c>
      <c r="E113" s="3">
        <f>'Raw Data'!E159</f>
        <v>92205148534</v>
      </c>
      <c r="F113" s="3">
        <f>'Raw Data'!F159</f>
        <v>56523700153</v>
      </c>
      <c r="G113" s="3">
        <f>'Raw Data'!G159</f>
        <v>-142286693964</v>
      </c>
      <c r="H113" s="3">
        <f>'Raw Data'!H159</f>
        <v>-226515734679</v>
      </c>
      <c r="I113" s="208">
        <f>I44-H44</f>
        <v>-46390914006.668945</v>
      </c>
      <c r="J113" s="3">
        <f>J44-I44</f>
        <v>17693221210.036011</v>
      </c>
      <c r="K113" s="3">
        <f>K44-J44</f>
        <v>126380803766.69214</v>
      </c>
      <c r="L113" s="3">
        <f>L44-K44</f>
        <v>146594594620.64417</v>
      </c>
      <c r="M113" s="3">
        <f>M44-L44</f>
        <v>170388310564.83423</v>
      </c>
    </row>
    <row r="114" spans="1:14" ht="15.5" x14ac:dyDescent="0.35">
      <c r="A114" s="7" t="s">
        <v>414</v>
      </c>
      <c r="B114" s="3">
        <f>'Raw Data'!B160</f>
        <v>52953821709</v>
      </c>
      <c r="C114" s="3">
        <f>'Raw Data'!C160</f>
        <v>12954485568</v>
      </c>
      <c r="D114" s="3">
        <f>'Raw Data'!D160</f>
        <v>21265608938</v>
      </c>
      <c r="E114" s="3">
        <f>'Raw Data'!E160</f>
        <v>66510228951</v>
      </c>
      <c r="F114" s="3">
        <f>'Raw Data'!F160</f>
        <v>-60624667853</v>
      </c>
      <c r="G114" s="3">
        <f>'Raw Data'!G160</f>
        <v>17702900285</v>
      </c>
      <c r="H114" s="3">
        <f>'Raw Data'!H160</f>
        <v>143144163947</v>
      </c>
      <c r="I114" s="208">
        <f>(I76-H76)+(I86-H86)</f>
        <v>-32720346646.047054</v>
      </c>
      <c r="J114" s="208">
        <f>(J76-I76)+(J86-I86)</f>
        <v>31987169355.162785</v>
      </c>
      <c r="K114" s="208">
        <f>(K76-J76)+(K86-J86)</f>
        <v>37028737555.840195</v>
      </c>
      <c r="L114" s="208">
        <f>(L76-K76)+(L86-K86)</f>
        <v>42951244251.725685</v>
      </c>
      <c r="M114" s="208">
        <f>(M76-L76)+(M86-L86)</f>
        <v>49922645262.927551</v>
      </c>
    </row>
    <row r="115" spans="1:14" ht="15.5" x14ac:dyDescent="0.35">
      <c r="A115" s="7" t="s">
        <v>415</v>
      </c>
      <c r="B115" s="3">
        <f>'Raw Data'!B161</f>
        <v>63471294940</v>
      </c>
      <c r="C115" s="3">
        <f>'Raw Data'!C161</f>
        <v>-8001816747</v>
      </c>
      <c r="D115" s="3">
        <f>'Raw Data'!D161</f>
        <v>-2543260885</v>
      </c>
      <c r="E115" s="3">
        <f>'Raw Data'!E161</f>
        <v>-12229001807</v>
      </c>
      <c r="F115" s="3">
        <f>'Raw Data'!F161</f>
        <v>-33310311486</v>
      </c>
      <c r="G115" s="3">
        <f>'Raw Data'!G161</f>
        <v>14993621322</v>
      </c>
      <c r="H115" s="3">
        <f>'Raw Data'!H161</f>
        <v>1715302118</v>
      </c>
      <c r="I115" s="208">
        <f>(I48-H48)+(I70-H70)</f>
        <v>5139893371.4792938</v>
      </c>
      <c r="J115" s="208">
        <f>(J48-I48)+(J70-I70)</f>
        <v>11349521756.425697</v>
      </c>
      <c r="K115" s="208">
        <f>(K48-J48)+(K70-J70)</f>
        <v>13138344873.118774</v>
      </c>
      <c r="L115" s="208">
        <f>(L48-K48)+(L70-K70)</f>
        <v>15239738023.953503</v>
      </c>
      <c r="M115" s="208">
        <f>(M48-L48)+(M70-L70)</f>
        <v>17713294423.111191</v>
      </c>
    </row>
    <row r="116" spans="1:14" ht="15.5" x14ac:dyDescent="0.35">
      <c r="A116" s="7" t="s">
        <v>416</v>
      </c>
      <c r="B116" s="3">
        <f>'Raw Data'!B163</f>
        <v>-10858150706</v>
      </c>
      <c r="C116" s="3">
        <f>'Raw Data'!C163</f>
        <v>-9502315767</v>
      </c>
      <c r="D116" s="3">
        <f>'Raw Data'!D163</f>
        <v>-10874257469</v>
      </c>
      <c r="E116" s="3">
        <f>'Raw Data'!E163</f>
        <v>-11425842447</v>
      </c>
      <c r="F116" s="3">
        <f>'Raw Data'!F163</f>
        <v>-12125598196</v>
      </c>
      <c r="G116" s="3">
        <f>'Raw Data'!G163</f>
        <v>-6928466153</v>
      </c>
      <c r="H116" s="3">
        <f>'Raw Data'!H163</f>
        <v>-8804653480</v>
      </c>
      <c r="I116" s="328"/>
      <c r="J116" s="329"/>
      <c r="K116" s="329"/>
      <c r="L116" s="329"/>
      <c r="M116" s="329"/>
    </row>
    <row r="117" spans="1:14" ht="15.5" x14ac:dyDescent="0.35">
      <c r="A117" s="7" t="s">
        <v>417</v>
      </c>
      <c r="B117" s="3">
        <f>'Raw Data'!B164</f>
        <v>-63781053222</v>
      </c>
      <c r="C117" s="3">
        <f>'Raw Data'!C164</f>
        <v>-69215627013</v>
      </c>
      <c r="D117" s="3">
        <f>'Raw Data'!D164</f>
        <v>-70201897515</v>
      </c>
      <c r="E117" s="3">
        <f>'Raw Data'!E164</f>
        <v>-87578360119</v>
      </c>
      <c r="F117" s="3">
        <f>'Raw Data'!F164</f>
        <v>-67079096806</v>
      </c>
      <c r="G117" s="3">
        <f>'Raw Data'!G164</f>
        <v>-62699502885</v>
      </c>
      <c r="H117" s="3">
        <f>'Raw Data'!H164</f>
        <v>-123738872889</v>
      </c>
      <c r="I117" s="208">
        <f>-I22</f>
        <v>-106287239836.6796</v>
      </c>
      <c r="J117" s="3">
        <f>-J22</f>
        <v>-119004991576.53793</v>
      </c>
      <c r="K117" s="3">
        <f>-K22</f>
        <v>-134176549131.65392</v>
      </c>
      <c r="L117" s="3">
        <f>-L22</f>
        <v>-150561405574.07047</v>
      </c>
      <c r="M117" s="3">
        <f>-M22</f>
        <v>-169433358335.72122</v>
      </c>
    </row>
    <row r="118" spans="1:14" ht="15.5" x14ac:dyDescent="0.35">
      <c r="A118" s="7" t="s">
        <v>418</v>
      </c>
      <c r="B118" s="3">
        <f>'Raw Data'!B165</f>
        <v>0</v>
      </c>
      <c r="C118" s="3">
        <f>'Raw Data'!C165</f>
        <v>0</v>
      </c>
      <c r="D118" s="3">
        <f>'Raw Data'!D165</f>
        <v>0</v>
      </c>
      <c r="E118" s="3">
        <f>'Raw Data'!E165</f>
        <v>0</v>
      </c>
      <c r="F118" s="3">
        <f>'Raw Data'!F165</f>
        <v>0</v>
      </c>
      <c r="G118" s="3">
        <f>'Raw Data'!G165</f>
        <v>0</v>
      </c>
      <c r="H118" s="3">
        <f>'Raw Data'!H165</f>
        <v>-35021384068</v>
      </c>
      <c r="I118" s="404">
        <v>0</v>
      </c>
      <c r="J118" s="404">
        <v>0</v>
      </c>
      <c r="K118" s="404">
        <v>0</v>
      </c>
      <c r="L118" s="404">
        <v>0</v>
      </c>
      <c r="M118" s="404">
        <v>0</v>
      </c>
    </row>
    <row r="119" spans="1:14" ht="15.5" x14ac:dyDescent="0.35">
      <c r="A119" s="7" t="s">
        <v>419</v>
      </c>
      <c r="B119" s="3">
        <f>'Raw Data'!B166</f>
        <v>-30468272965</v>
      </c>
      <c r="C119" s="3">
        <f>'Raw Data'!C166</f>
        <v>-51118157000</v>
      </c>
      <c r="D119" s="3">
        <f>'Raw Data'!D166</f>
        <v>-36251390000</v>
      </c>
      <c r="E119" s="3">
        <f>'Raw Data'!E166</f>
        <v>-40396702157</v>
      </c>
      <c r="F119" s="3">
        <f>'Raw Data'!F166</f>
        <v>-42265374888</v>
      </c>
      <c r="G119" s="3">
        <f>'Raw Data'!G166</f>
        <v>-39800891600</v>
      </c>
      <c r="H119" s="3">
        <f>'Raw Data'!H166</f>
        <v>0</v>
      </c>
      <c r="I119" s="404">
        <v>0</v>
      </c>
      <c r="J119" s="404">
        <v>0</v>
      </c>
      <c r="K119" s="404">
        <v>0</v>
      </c>
      <c r="L119" s="404">
        <v>0</v>
      </c>
      <c r="M119" s="404">
        <v>0</v>
      </c>
    </row>
    <row r="120" spans="1:14" ht="15.5" x14ac:dyDescent="0.35">
      <c r="A120" s="2" t="s">
        <v>420</v>
      </c>
      <c r="B120" s="3">
        <f>'Raw Data'!B167</f>
        <v>292907469134</v>
      </c>
      <c r="C120" s="3">
        <f>'Raw Data'!C167</f>
        <v>120407329292</v>
      </c>
      <c r="D120" s="3">
        <f>'Raw Data'!D167</f>
        <v>43502119449</v>
      </c>
      <c r="E120" s="3">
        <f>'Raw Data'!E167</f>
        <v>258168843482</v>
      </c>
      <c r="F120" s="3">
        <f>'Raw Data'!F167</f>
        <v>368569355530</v>
      </c>
      <c r="G120" s="3">
        <f>'Raw Data'!G167</f>
        <v>221187587613</v>
      </c>
      <c r="H120" s="3">
        <f>'Raw Data'!H167</f>
        <v>289174461853</v>
      </c>
      <c r="I120" s="208">
        <f>SUM(I111:I119)</f>
        <v>554222658462.86377</v>
      </c>
      <c r="J120" s="3">
        <f t="shared" ref="J120:M120" si="18">SUM(J111:J119)</f>
        <v>700414368953.25378</v>
      </c>
      <c r="K120" s="3">
        <f t="shared" si="18"/>
        <v>918328697944.14954</v>
      </c>
      <c r="L120" s="3">
        <f t="shared" si="18"/>
        <v>1058407378941.5565</v>
      </c>
      <c r="M120" s="3">
        <f t="shared" si="18"/>
        <v>1225889884440.7009</v>
      </c>
    </row>
    <row r="121" spans="1:14" s="57" customFormat="1" ht="15.5" x14ac:dyDescent="0.35">
      <c r="A121" s="201" t="s">
        <v>421</v>
      </c>
      <c r="B121" s="202"/>
      <c r="C121" s="202"/>
      <c r="D121" s="202"/>
      <c r="E121" s="202"/>
      <c r="F121" s="202"/>
      <c r="G121" s="202"/>
      <c r="H121" s="202"/>
      <c r="I121" s="323"/>
      <c r="J121" s="202"/>
      <c r="K121" s="202"/>
      <c r="L121" s="202"/>
      <c r="M121" s="202"/>
    </row>
    <row r="122" spans="1:14" ht="15.5" x14ac:dyDescent="0.35">
      <c r="A122" s="2" t="s">
        <v>422</v>
      </c>
      <c r="B122" s="3">
        <f>'Raw Data'!B169</f>
        <v>-135038349499</v>
      </c>
      <c r="C122" s="3">
        <f>'Raw Data'!C169</f>
        <v>-146128176279</v>
      </c>
      <c r="D122" s="3">
        <f>'Raw Data'!D169</f>
        <v>-215504947563</v>
      </c>
      <c r="E122" s="3">
        <f>'Raw Data'!E169</f>
        <v>-84540730238</v>
      </c>
      <c r="F122" s="3">
        <f>'Raw Data'!F169</f>
        <v>-85086927060</v>
      </c>
      <c r="G122" s="3">
        <f>'Raw Data'!G169</f>
        <v>-58046246969</v>
      </c>
      <c r="H122" s="3">
        <f>'Raw Data'!H169</f>
        <v>-169603926893</v>
      </c>
      <c r="I122" s="3">
        <f>-'Depreciation Calculation'!$B$2*FS!H23</f>
        <v>-187004038483.73007</v>
      </c>
      <c r="J122" s="3">
        <f>-'Depreciation Calculation'!$B$2*FS!I23</f>
        <v>-188863005524.97241</v>
      </c>
      <c r="K122" s="3">
        <f>-'Depreciation Calculation'!$B$2*FS!J23</f>
        <v>-211461323260.95703</v>
      </c>
      <c r="L122" s="3">
        <f>-'Depreciation Calculation'!$B$2*FS!K23</f>
        <v>-238419836463.07971</v>
      </c>
      <c r="M122" s="3">
        <f>-'Depreciation Calculation'!$B$2*FS!L23</f>
        <v>-267534274259.79904</v>
      </c>
    </row>
    <row r="123" spans="1:14" ht="15.5" x14ac:dyDescent="0.35">
      <c r="A123" s="2" t="s">
        <v>423</v>
      </c>
      <c r="B123" s="3">
        <f>'Raw Data'!B170</f>
        <v>1272116663</v>
      </c>
      <c r="C123" s="3">
        <f>'Raw Data'!C170</f>
        <v>1852033119</v>
      </c>
      <c r="D123" s="3">
        <f>'Raw Data'!D170</f>
        <v>1477863636</v>
      </c>
      <c r="E123" s="3">
        <f>'Raw Data'!E170</f>
        <v>96605895895</v>
      </c>
      <c r="F123" s="3">
        <f>'Raw Data'!F170</f>
        <v>1020459916</v>
      </c>
      <c r="G123" s="3">
        <f>'Raw Data'!G170</f>
        <v>2166609649</v>
      </c>
      <c r="H123" s="3">
        <f>'Raw Data'!H170</f>
        <v>1736833818</v>
      </c>
      <c r="I123" s="403">
        <v>0</v>
      </c>
      <c r="J123" s="403">
        <v>0</v>
      </c>
      <c r="K123" s="403">
        <v>0</v>
      </c>
      <c r="L123" s="403">
        <v>0</v>
      </c>
      <c r="M123" s="403">
        <v>0</v>
      </c>
    </row>
    <row r="124" spans="1:14" ht="15.5" x14ac:dyDescent="0.35">
      <c r="A124" s="2" t="s">
        <v>424</v>
      </c>
      <c r="B124" s="3">
        <f>'Raw Data'!B171</f>
        <v>0</v>
      </c>
      <c r="C124" s="3">
        <f>'Raw Data'!C171</f>
        <v>0</v>
      </c>
      <c r="D124" s="3">
        <f>'Raw Data'!D171</f>
        <v>0</v>
      </c>
      <c r="E124" s="3">
        <f>'Raw Data'!E171</f>
        <v>-619000000000</v>
      </c>
      <c r="F124" s="3">
        <f>'Raw Data'!F171</f>
        <v>-464500000000</v>
      </c>
      <c r="G124" s="3">
        <f>'Raw Data'!G171</f>
        <v>-515999139200</v>
      </c>
      <c r="H124" s="3">
        <f>'Raw Data'!H171</f>
        <v>-616732323288</v>
      </c>
      <c r="I124" s="403">
        <f t="shared" ref="I124:M125" si="19">AVERAGE(E124:H124)</f>
        <v>-554057865622</v>
      </c>
      <c r="J124" s="403">
        <f t="shared" si="19"/>
        <v>-537822332027.5</v>
      </c>
      <c r="K124" s="403">
        <f t="shared" si="19"/>
        <v>-556152915034.375</v>
      </c>
      <c r="L124" s="403">
        <f t="shared" si="19"/>
        <v>-566191358992.96875</v>
      </c>
      <c r="M124" s="403">
        <f t="shared" si="19"/>
        <v>-553556117919.21094</v>
      </c>
      <c r="N124" t="s">
        <v>1438</v>
      </c>
    </row>
    <row r="125" spans="1:14" ht="15.5" x14ac:dyDescent="0.35">
      <c r="A125" s="2" t="s">
        <v>425</v>
      </c>
      <c r="B125" s="3">
        <f>'Raw Data'!B172</f>
        <v>0</v>
      </c>
      <c r="C125" s="3">
        <f>'Raw Data'!C172</f>
        <v>0</v>
      </c>
      <c r="D125" s="3">
        <f>'Raw Data'!D172</f>
        <v>0</v>
      </c>
      <c r="E125" s="3">
        <f>'Raw Data'!E172</f>
        <v>153000000000</v>
      </c>
      <c r="F125" s="3">
        <f>'Raw Data'!F172</f>
        <v>558500000000</v>
      </c>
      <c r="G125" s="3">
        <f>'Raw Data'!G172</f>
        <v>648000000000</v>
      </c>
      <c r="H125" s="3">
        <f>'Raw Data'!H172</f>
        <v>497061462488</v>
      </c>
      <c r="I125" s="403">
        <f t="shared" si="19"/>
        <v>464140365622</v>
      </c>
      <c r="J125" s="403">
        <f t="shared" si="19"/>
        <v>541925457027.5</v>
      </c>
      <c r="K125" s="403">
        <f t="shared" si="19"/>
        <v>537781821284.375</v>
      </c>
      <c r="L125" s="403">
        <f t="shared" si="19"/>
        <v>510227276605.46875</v>
      </c>
      <c r="M125" s="403">
        <f t="shared" si="19"/>
        <v>513518730134.83594</v>
      </c>
      <c r="N125" t="s">
        <v>1438</v>
      </c>
    </row>
    <row r="126" spans="1:14" ht="15.5" x14ac:dyDescent="0.35">
      <c r="A126" s="2" t="s">
        <v>426</v>
      </c>
      <c r="B126" s="3">
        <f>'Raw Data'!B173</f>
        <v>0</v>
      </c>
      <c r="C126" s="3">
        <f>'Raw Data'!C173</f>
        <v>0</v>
      </c>
      <c r="D126" s="3">
        <f>'Raw Data'!D173</f>
        <v>0</v>
      </c>
      <c r="E126" s="3">
        <f>'Raw Data'!E173</f>
        <v>0</v>
      </c>
      <c r="F126" s="3">
        <f>'Raw Data'!F173</f>
        <v>0</v>
      </c>
      <c r="G126" s="3">
        <f>'Raw Data'!G173</f>
        <v>-7000000000</v>
      </c>
      <c r="H126" s="3">
        <f>'Raw Data'!H173</f>
        <v>-25000000000</v>
      </c>
      <c r="I126" s="210">
        <v>0</v>
      </c>
      <c r="J126" s="46">
        <v>0</v>
      </c>
      <c r="K126" s="46">
        <v>0</v>
      </c>
      <c r="L126" s="46">
        <v>0</v>
      </c>
      <c r="M126" s="46">
        <v>0</v>
      </c>
    </row>
    <row r="127" spans="1:14" ht="15.5" x14ac:dyDescent="0.35">
      <c r="A127" s="2" t="s">
        <v>427</v>
      </c>
      <c r="B127" s="3">
        <f>'Raw Data'!B175</f>
        <v>15328330255</v>
      </c>
      <c r="C127" s="3">
        <f>'Raw Data'!C175</f>
        <v>14676870688</v>
      </c>
      <c r="D127" s="3">
        <f>'Raw Data'!D175</f>
        <v>7645687575</v>
      </c>
      <c r="E127" s="3">
        <f>'Raw Data'!E175</f>
        <v>11134804294</v>
      </c>
      <c r="F127" s="3">
        <f>'Raw Data'!F175</f>
        <v>28851374215</v>
      </c>
      <c r="G127" s="3">
        <f>'Raw Data'!G175</f>
        <v>30217926187</v>
      </c>
      <c r="H127" s="3">
        <f>'Raw Data'!H175</f>
        <v>21502569973</v>
      </c>
      <c r="I127" s="210">
        <v>0</v>
      </c>
      <c r="J127" s="46">
        <v>0</v>
      </c>
      <c r="K127" s="46">
        <v>0</v>
      </c>
      <c r="L127" s="46">
        <v>0</v>
      </c>
      <c r="M127" s="46">
        <v>0</v>
      </c>
    </row>
    <row r="128" spans="1:14" ht="15.5" x14ac:dyDescent="0.35">
      <c r="A128" s="2" t="s">
        <v>428</v>
      </c>
      <c r="B128" s="3">
        <f>'Raw Data'!B176</f>
        <v>-118437902581</v>
      </c>
      <c r="C128" s="3">
        <f>'Raw Data'!C176</f>
        <v>-129599272472</v>
      </c>
      <c r="D128" s="3">
        <f>'Raw Data'!D176</f>
        <v>-206381396352</v>
      </c>
      <c r="E128" s="3">
        <f>'Raw Data'!E176</f>
        <v>-442800030049</v>
      </c>
      <c r="F128" s="3">
        <f>'Raw Data'!F176</f>
        <v>38784907071</v>
      </c>
      <c r="G128" s="3">
        <f>'Raw Data'!G176</f>
        <v>99339149667</v>
      </c>
      <c r="H128" s="3">
        <f>'Raw Data'!H176</f>
        <v>-291035383902</v>
      </c>
      <c r="I128" s="210">
        <f>SUM(I122:I127)</f>
        <v>-276921538483.7301</v>
      </c>
      <c r="J128" s="46">
        <f t="shared" ref="J128:M128" si="20">SUM(J122:J127)</f>
        <v>-184759880524.97241</v>
      </c>
      <c r="K128" s="46">
        <f t="shared" si="20"/>
        <v>-229832417010.95703</v>
      </c>
      <c r="L128" s="46">
        <f t="shared" si="20"/>
        <v>-294383918850.57971</v>
      </c>
      <c r="M128" s="46">
        <f t="shared" si="20"/>
        <v>-307571662044.17407</v>
      </c>
    </row>
    <row r="129" spans="1:14" s="57" customFormat="1" ht="15.5" x14ac:dyDescent="0.35">
      <c r="A129" s="201" t="s">
        <v>429</v>
      </c>
      <c r="B129" s="202"/>
      <c r="C129" s="202"/>
      <c r="D129" s="202"/>
      <c r="E129" s="202"/>
      <c r="F129" s="202"/>
      <c r="G129" s="202"/>
      <c r="H129" s="202"/>
      <c r="I129" s="323"/>
      <c r="J129" s="202"/>
      <c r="K129" s="202"/>
      <c r="L129" s="202"/>
      <c r="M129" s="202"/>
    </row>
    <row r="130" spans="1:14" ht="15.5" x14ac:dyDescent="0.35">
      <c r="A130" s="2" t="s">
        <v>430</v>
      </c>
      <c r="B130" s="3">
        <f>'Raw Data'!B178</f>
        <v>0</v>
      </c>
      <c r="C130" s="3">
        <f>'Raw Data'!C178</f>
        <v>22500000000</v>
      </c>
      <c r="D130" s="3">
        <f>'Raw Data'!D178</f>
        <v>0</v>
      </c>
      <c r="E130" s="3">
        <f>'Raw Data'!E178</f>
        <v>414663619300</v>
      </c>
      <c r="F130" s="3">
        <f>'Raw Data'!F178</f>
        <v>15000000000</v>
      </c>
      <c r="G130" s="3">
        <f>'Raw Data'!G178</f>
        <v>0</v>
      </c>
      <c r="H130" s="3">
        <f>'Raw Data'!H178</f>
        <v>1656180000</v>
      </c>
      <c r="I130" s="404">
        <v>0</v>
      </c>
      <c r="J130" s="404">
        <v>0</v>
      </c>
      <c r="K130" s="404">
        <v>0</v>
      </c>
      <c r="L130" s="404">
        <v>0</v>
      </c>
      <c r="M130" s="404">
        <v>0</v>
      </c>
    </row>
    <row r="131" spans="1:14" ht="15.5" x14ac:dyDescent="0.35">
      <c r="A131" s="2" t="s">
        <v>431</v>
      </c>
      <c r="B131" s="3">
        <f>'Raw Data'!B179</f>
        <v>0</v>
      </c>
      <c r="C131" s="3">
        <f>'Raw Data'!C179</f>
        <v>0</v>
      </c>
      <c r="D131" s="3">
        <f>'Raw Data'!D179</f>
        <v>0</v>
      </c>
      <c r="E131" s="3">
        <f>'Raw Data'!E179</f>
        <v>0</v>
      </c>
      <c r="F131" s="3">
        <f>'Raw Data'!F179</f>
        <v>-46311318529</v>
      </c>
      <c r="G131" s="3">
        <f>'Raw Data'!G179</f>
        <v>0</v>
      </c>
      <c r="H131" s="3">
        <f>'Raw Data'!H179</f>
        <v>0</v>
      </c>
      <c r="I131" s="404">
        <f>'Raw Data'!I179</f>
        <v>0</v>
      </c>
      <c r="J131" s="404">
        <f>'Raw Data'!J179</f>
        <v>0</v>
      </c>
      <c r="K131" s="404">
        <f>'Raw Data'!K179</f>
        <v>0</v>
      </c>
      <c r="L131" s="404">
        <f>'Raw Data'!L179</f>
        <v>0</v>
      </c>
      <c r="M131" s="404">
        <f>'Raw Data'!M179</f>
        <v>0</v>
      </c>
    </row>
    <row r="132" spans="1:14" ht="15.5" x14ac:dyDescent="0.35">
      <c r="A132" s="2" t="s">
        <v>432</v>
      </c>
      <c r="B132" s="3">
        <f>'Raw Data'!B180</f>
        <v>602933842572</v>
      </c>
      <c r="C132" s="3">
        <f>'Raw Data'!C180</f>
        <v>550564264097</v>
      </c>
      <c r="D132" s="3">
        <f>'Raw Data'!D180</f>
        <v>828374937236</v>
      </c>
      <c r="E132" s="3">
        <f>'Raw Data'!E180</f>
        <v>631294976475</v>
      </c>
      <c r="F132" s="3">
        <f>'Raw Data'!F180</f>
        <v>694739377675</v>
      </c>
      <c r="G132" s="3">
        <f>'Raw Data'!G180</f>
        <v>583271414505</v>
      </c>
      <c r="H132" s="3">
        <f>'Raw Data'!H180</f>
        <v>780517479565</v>
      </c>
      <c r="I132" s="3">
        <f t="shared" ref="I132:M133" si="21">AVERAGE(D132:H132)</f>
        <v>703639637091.19995</v>
      </c>
      <c r="J132" s="3">
        <f t="shared" si="21"/>
        <v>678692577062.23999</v>
      </c>
      <c r="K132" s="3">
        <f t="shared" si="21"/>
        <v>688172097179.68811</v>
      </c>
      <c r="L132" s="3">
        <f t="shared" si="21"/>
        <v>686858641080.62561</v>
      </c>
      <c r="M132" s="3">
        <f t="shared" si="21"/>
        <v>707576086395.75073</v>
      </c>
      <c r="N132" t="s">
        <v>1439</v>
      </c>
    </row>
    <row r="133" spans="1:14" ht="15.5" x14ac:dyDescent="0.35">
      <c r="A133" s="2" t="s">
        <v>433</v>
      </c>
      <c r="B133" s="3">
        <f>'Raw Data'!B181</f>
        <v>-654127263813</v>
      </c>
      <c r="C133" s="3">
        <f>'Raw Data'!C181</f>
        <v>-576920673014</v>
      </c>
      <c r="D133" s="3">
        <f>'Raw Data'!D181</f>
        <v>-772248672797</v>
      </c>
      <c r="E133" s="3">
        <f>'Raw Data'!E181</f>
        <v>-632495287408</v>
      </c>
      <c r="F133" s="3">
        <f>'Raw Data'!F181</f>
        <v>-736642668196</v>
      </c>
      <c r="G133" s="3">
        <f>'Raw Data'!G181</f>
        <v>-577366111472</v>
      </c>
      <c r="H133" s="3">
        <f>'Raw Data'!H181</f>
        <v>-718980531784</v>
      </c>
      <c r="I133" s="3">
        <f t="shared" si="21"/>
        <v>-687546654331.40002</v>
      </c>
      <c r="J133" s="3">
        <f t="shared" si="21"/>
        <v>-670606250638.28003</v>
      </c>
      <c r="K133" s="3">
        <f t="shared" si="21"/>
        <v>-678228443284.33594</v>
      </c>
      <c r="L133" s="3">
        <f t="shared" si="21"/>
        <v>-666545598302.00317</v>
      </c>
      <c r="M133" s="3">
        <f t="shared" si="21"/>
        <v>-684381495668.00366</v>
      </c>
      <c r="N133" t="s">
        <v>1439</v>
      </c>
    </row>
    <row r="134" spans="1:14" ht="15.5" x14ac:dyDescent="0.35">
      <c r="A134" s="2" t="s">
        <v>434</v>
      </c>
      <c r="B134" s="3">
        <f>'Raw Data'!B183</f>
        <v>-125206631250</v>
      </c>
      <c r="C134" s="3">
        <f>'Raw Data'!C183</f>
        <v>-57508258525</v>
      </c>
      <c r="D134" s="3">
        <f>'Raw Data'!D183</f>
        <v>-101107152100</v>
      </c>
      <c r="E134" s="3">
        <f>'Raw Data'!E183</f>
        <v>-183880080350</v>
      </c>
      <c r="F134" s="3">
        <f>'Raw Data'!F183</f>
        <v>-153373200000</v>
      </c>
      <c r="G134" s="3">
        <f>'Raw Data'!G183</f>
        <v>-194455871500</v>
      </c>
      <c r="H134" s="3">
        <f>'Raw Data'!H183</f>
        <v>-155619167000</v>
      </c>
      <c r="I134" s="208">
        <f>-(1-Assumptions!$B$73)*FS!I23</f>
        <v>-141397581844.86407</v>
      </c>
      <c r="J134" s="208">
        <f>-(1-Assumptions!$B$73)*FS!J23</f>
        <v>-158316445720.55109</v>
      </c>
      <c r="K134" s="208">
        <f>-(1-Assumptions!$B$73)*FS!K23</f>
        <v>-178499692123.50513</v>
      </c>
      <c r="L134" s="208">
        <f>-(1-Assumptions!$B$73)*FS!L23</f>
        <v>-200297031892.53943</v>
      </c>
      <c r="M134" s="208">
        <f>-(1-Assumptions!$B$73)*FS!M23</f>
        <v>-225403041694.73438</v>
      </c>
      <c r="N134" t="s">
        <v>1440</v>
      </c>
    </row>
    <row r="135" spans="1:14" ht="15.5" x14ac:dyDescent="0.35">
      <c r="A135" s="2" t="s">
        <v>435</v>
      </c>
      <c r="B135" s="3">
        <f>'Raw Data'!B185</f>
        <v>-176400052491</v>
      </c>
      <c r="C135" s="3">
        <f>'Raw Data'!C185</f>
        <v>-61364667442</v>
      </c>
      <c r="D135" s="3">
        <f>'Raw Data'!D185</f>
        <v>-44980887661</v>
      </c>
      <c r="E135" s="3">
        <f>'Raw Data'!E185</f>
        <v>229583228017</v>
      </c>
      <c r="F135" s="3">
        <f>'Raw Data'!F185</f>
        <v>-226587809050</v>
      </c>
      <c r="G135" s="3">
        <f>'Raw Data'!G185</f>
        <v>-188550568467</v>
      </c>
      <c r="H135" s="3">
        <f>'Raw Data'!H185</f>
        <v>-92426039219</v>
      </c>
      <c r="I135" s="208">
        <f>SUM(I130:I134)</f>
        <v>-125304599085.06415</v>
      </c>
      <c r="J135" s="3">
        <f t="shared" ref="J135:M135" si="22">SUM(J130:J134)</f>
        <v>-150230119296.59113</v>
      </c>
      <c r="K135" s="3">
        <f t="shared" si="22"/>
        <v>-168556038228.15295</v>
      </c>
      <c r="L135" s="3">
        <f t="shared" si="22"/>
        <v>-179983989113.91699</v>
      </c>
      <c r="M135" s="3">
        <f t="shared" si="22"/>
        <v>-202208450966.9873</v>
      </c>
      <c r="N135" t="s">
        <v>1441</v>
      </c>
    </row>
    <row r="136" spans="1:14" ht="15.5" x14ac:dyDescent="0.35">
      <c r="A136" s="2" t="s">
        <v>436</v>
      </c>
      <c r="B136" s="3">
        <f>'Raw Data'!B186</f>
        <v>-1930485938</v>
      </c>
      <c r="C136" s="3">
        <f>'Raw Data'!C186</f>
        <v>-70556610622</v>
      </c>
      <c r="D136" s="3">
        <f>'Raw Data'!D186</f>
        <v>-207860164564</v>
      </c>
      <c r="E136" s="3">
        <f>'Raw Data'!E186</f>
        <v>44952041450</v>
      </c>
      <c r="F136" s="3">
        <f>'Raw Data'!F186</f>
        <v>180766453551</v>
      </c>
      <c r="G136" s="3">
        <f>'Raw Data'!G186</f>
        <v>131976168813</v>
      </c>
      <c r="H136" s="3">
        <f>'Raw Data'!H186</f>
        <v>-94286961268</v>
      </c>
      <c r="I136" s="208">
        <f>I135+I128+I120</f>
        <v>151996520894.06952</v>
      </c>
      <c r="J136" s="3">
        <f t="shared" ref="J136:M136" si="23">J135+J128+J120</f>
        <v>365424369131.69025</v>
      </c>
      <c r="K136" s="3">
        <f t="shared" si="23"/>
        <v>519940242705.03955</v>
      </c>
      <c r="L136" s="3">
        <f t="shared" si="23"/>
        <v>584039470977.05981</v>
      </c>
      <c r="M136" s="3">
        <f t="shared" si="23"/>
        <v>716109771429.53955</v>
      </c>
    </row>
    <row r="137" spans="1:14" ht="15.5" x14ac:dyDescent="0.35">
      <c r="A137" s="2" t="s">
        <v>437</v>
      </c>
      <c r="B137" s="3">
        <f>'Raw Data'!B187</f>
        <v>426351225090</v>
      </c>
      <c r="C137" s="3">
        <f>'Raw Data'!C187</f>
        <v>424423331022</v>
      </c>
      <c r="D137" s="3">
        <f>'Raw Data'!D187</f>
        <v>353869383127</v>
      </c>
      <c r="E137" s="3">
        <f>'Raw Data'!E187</f>
        <v>145861230396</v>
      </c>
      <c r="F137" s="3">
        <f>'Raw Data'!F187</f>
        <v>190855576577</v>
      </c>
      <c r="G137" s="3">
        <f>'Raw Data'!G187</f>
        <v>371680211939</v>
      </c>
      <c r="H137" s="3">
        <f>'Raw Data'!H187</f>
        <v>503425694773</v>
      </c>
      <c r="I137" s="208">
        <f>H137+H136</f>
        <v>409138733505</v>
      </c>
      <c r="J137" s="3">
        <f t="shared" ref="J137:M137" si="24">I137+I136</f>
        <v>561135254399.06958</v>
      </c>
      <c r="K137" s="3">
        <f t="shared" si="24"/>
        <v>926559623530.75977</v>
      </c>
      <c r="L137" s="3">
        <f t="shared" si="24"/>
        <v>1446499866235.7993</v>
      </c>
      <c r="M137" s="3">
        <f t="shared" si="24"/>
        <v>2030539337212.8591</v>
      </c>
    </row>
    <row r="138" spans="1:14" ht="15.5" x14ac:dyDescent="0.35">
      <c r="A138" s="2" t="s">
        <v>438</v>
      </c>
      <c r="B138" s="3">
        <f>'Raw Data'!B188</f>
        <v>2491870</v>
      </c>
      <c r="C138" s="3">
        <f>'Raw Data'!C188</f>
        <v>2662727</v>
      </c>
      <c r="D138" s="3">
        <f>'Raw Data'!D188</f>
        <v>-147988167</v>
      </c>
      <c r="E138" s="3">
        <f>'Raw Data'!E188</f>
        <v>42304731</v>
      </c>
      <c r="F138" s="3">
        <f>'Raw Data'!F188</f>
        <v>58181811</v>
      </c>
      <c r="G138" s="3">
        <f>'Raw Data'!G188</f>
        <v>-230685979</v>
      </c>
      <c r="H138" s="3">
        <f>'Raw Data'!H188</f>
        <v>-3770607881</v>
      </c>
      <c r="I138" s="208">
        <f>AVERAGE(F138:H138)</f>
        <v>-1314370683</v>
      </c>
      <c r="J138" s="3">
        <f t="shared" ref="J138:M138" si="25">AVERAGE(G138:I138)</f>
        <v>-1771888181</v>
      </c>
      <c r="K138" s="3">
        <f t="shared" si="25"/>
        <v>-2285622248.3333335</v>
      </c>
      <c r="L138" s="3">
        <f t="shared" si="25"/>
        <v>-1790627037.4444447</v>
      </c>
      <c r="M138" s="3">
        <f t="shared" si="25"/>
        <v>-1949379155.592593</v>
      </c>
    </row>
    <row r="139" spans="1:14" ht="15.5" x14ac:dyDescent="0.35">
      <c r="A139" s="2" t="s">
        <v>439</v>
      </c>
      <c r="B139" s="3">
        <f>'Raw Data'!B189</f>
        <v>424423231022</v>
      </c>
      <c r="C139" s="3">
        <f>'Raw Data'!C189</f>
        <v>353869383127</v>
      </c>
      <c r="D139" s="3">
        <f>'Raw Data'!D189</f>
        <v>145861230396</v>
      </c>
      <c r="E139" s="3">
        <f>'Raw Data'!E189</f>
        <v>190855576577</v>
      </c>
      <c r="F139" s="3">
        <f>'Raw Data'!F189</f>
        <v>371680211939</v>
      </c>
      <c r="G139" s="3">
        <f>'Raw Data'!G189</f>
        <v>503425694773</v>
      </c>
      <c r="H139" s="3">
        <f>'Raw Data'!H189</f>
        <v>405368125624</v>
      </c>
      <c r="I139" s="208">
        <f>I137+I138</f>
        <v>407824362822</v>
      </c>
      <c r="J139" s="3">
        <f t="shared" ref="J139:M139" si="26">J137+J138</f>
        <v>559363366218.06958</v>
      </c>
      <c r="K139" s="3">
        <f t="shared" si="26"/>
        <v>924274001282.42639</v>
      </c>
      <c r="L139" s="3">
        <f t="shared" si="26"/>
        <v>1444709239198.355</v>
      </c>
      <c r="M139" s="3">
        <f t="shared" si="26"/>
        <v>2028589958057.2666</v>
      </c>
    </row>
  </sheetData>
  <phoneticPr fontId="7" type="noConversion"/>
  <pageMargins left="0.7" right="0.7" top="0.75" bottom="0.75" header="0.3" footer="0.3"/>
  <pageSetup orientation="portrait" r:id="rId1"/>
  <legacyDrawing r:id="rId2"/>
  <tableParts count="3">
    <tablePart r:id="rId3"/>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FEBC5-BE6F-4ECD-A875-DCDD061F170A}">
  <sheetPr>
    <tabColor theme="5"/>
  </sheetPr>
  <dimension ref="A1:H22"/>
  <sheetViews>
    <sheetView zoomScale="112" zoomScaleNormal="130" workbookViewId="0">
      <selection activeCell="A26" sqref="A26"/>
    </sheetView>
  </sheetViews>
  <sheetFormatPr defaultColWidth="8.81640625" defaultRowHeight="14.5" x14ac:dyDescent="0.35"/>
  <cols>
    <col min="1" max="1" width="29.6328125" bestFit="1" customWidth="1"/>
    <col min="2" max="2" width="22.453125" bestFit="1" customWidth="1"/>
    <col min="3" max="3" width="25" bestFit="1" customWidth="1"/>
    <col min="4" max="4" width="28.1796875" bestFit="1" customWidth="1"/>
    <col min="5" max="5" width="31.453125" bestFit="1" customWidth="1"/>
    <col min="6" max="6" width="24.6328125" bestFit="1" customWidth="1"/>
    <col min="7" max="7" width="54.6328125" customWidth="1"/>
    <col min="8" max="8" width="116" bestFit="1" customWidth="1"/>
  </cols>
  <sheetData>
    <row r="1" spans="1:8" x14ac:dyDescent="0.35">
      <c r="A1" s="620" t="s">
        <v>77</v>
      </c>
      <c r="B1" s="621"/>
      <c r="C1" s="621"/>
      <c r="D1" s="621"/>
      <c r="E1" s="621"/>
      <c r="F1" s="622"/>
    </row>
    <row r="2" spans="1:8" x14ac:dyDescent="0.35">
      <c r="A2" s="21" t="s">
        <v>78</v>
      </c>
      <c r="B2" s="22" t="s">
        <v>79</v>
      </c>
      <c r="C2" s="623" t="s">
        <v>80</v>
      </c>
      <c r="D2" s="623"/>
      <c r="E2" s="623"/>
      <c r="F2" s="623"/>
    </row>
    <row r="3" spans="1:8" x14ac:dyDescent="0.35">
      <c r="A3" s="23" t="s">
        <v>81</v>
      </c>
      <c r="B3" s="194">
        <v>2.7692000000000001E-2</v>
      </c>
      <c r="C3" s="618" t="s">
        <v>82</v>
      </c>
      <c r="D3" s="618"/>
      <c r="E3" s="618"/>
      <c r="F3" s="619"/>
    </row>
    <row r="4" spans="1:8" x14ac:dyDescent="0.35">
      <c r="A4" s="23" t="s">
        <v>83</v>
      </c>
      <c r="B4" s="24">
        <f>DCF!E3</f>
        <v>0.02</v>
      </c>
      <c r="C4" s="618" t="s">
        <v>84</v>
      </c>
      <c r="D4" s="618"/>
      <c r="E4" s="618"/>
      <c r="F4" s="619"/>
    </row>
    <row r="5" spans="1:8" x14ac:dyDescent="0.35">
      <c r="A5" s="23" t="s">
        <v>85</v>
      </c>
      <c r="B5" s="24">
        <v>0.1113</v>
      </c>
      <c r="C5" s="618" t="s">
        <v>86</v>
      </c>
      <c r="D5" s="618"/>
      <c r="E5" s="618"/>
      <c r="F5" s="619"/>
    </row>
    <row r="6" spans="1:8" x14ac:dyDescent="0.35">
      <c r="A6" s="23" t="s">
        <v>87</v>
      </c>
      <c r="B6" s="176">
        <f>FS!H18/(FS!H82+FS!H87)</f>
        <v>3.6031511559263242E-2</v>
      </c>
      <c r="C6" s="618" t="s">
        <v>88</v>
      </c>
      <c r="D6" s="618"/>
      <c r="E6" s="618"/>
      <c r="F6" s="619"/>
    </row>
    <row r="7" spans="1:8" x14ac:dyDescent="0.35">
      <c r="A7" s="23" t="s">
        <v>62</v>
      </c>
      <c r="B7" s="24">
        <f>Assumptions!B20</f>
        <v>0.20791295761641804</v>
      </c>
      <c r="C7" s="618" t="s">
        <v>89</v>
      </c>
      <c r="D7" s="618"/>
      <c r="E7" s="618"/>
      <c r="F7" s="619"/>
    </row>
    <row r="8" spans="1:8" x14ac:dyDescent="0.35">
      <c r="A8" s="23" t="s">
        <v>90</v>
      </c>
      <c r="B8" s="24">
        <f>B6*(1-B7)</f>
        <v>2.8540093423586668E-2</v>
      </c>
      <c r="C8" s="618" t="s">
        <v>91</v>
      </c>
      <c r="D8" s="618"/>
      <c r="E8" s="618"/>
      <c r="F8" s="619"/>
    </row>
    <row r="9" spans="1:8" x14ac:dyDescent="0.35">
      <c r="A9" s="23" t="s">
        <v>92</v>
      </c>
      <c r="B9" s="25">
        <f>Beta!G29</f>
        <v>0.38686299947357816</v>
      </c>
      <c r="C9" s="618" t="s">
        <v>93</v>
      </c>
      <c r="D9" s="618"/>
      <c r="E9" s="618"/>
      <c r="F9" s="619"/>
    </row>
    <row r="10" spans="1:8" x14ac:dyDescent="0.35">
      <c r="A10" s="23" t="s">
        <v>94</v>
      </c>
      <c r="B10" s="24">
        <f>B3+B9*B5</f>
        <v>7.074985184140925E-2</v>
      </c>
      <c r="C10" s="618" t="s">
        <v>95</v>
      </c>
      <c r="D10" s="618"/>
      <c r="E10" s="618"/>
      <c r="F10" s="619"/>
    </row>
    <row r="11" spans="1:8" x14ac:dyDescent="0.35">
      <c r="A11" s="23" t="s">
        <v>96</v>
      </c>
      <c r="B11" s="177">
        <f>FS!H74/FS!H72</f>
        <v>0.317585515909663</v>
      </c>
      <c r="C11" s="618" t="s">
        <v>97</v>
      </c>
      <c r="D11" s="618"/>
      <c r="E11" s="618"/>
      <c r="F11" s="619"/>
    </row>
    <row r="12" spans="1:8" x14ac:dyDescent="0.35">
      <c r="A12" s="23" t="s">
        <v>98</v>
      </c>
      <c r="B12" s="177">
        <f>1-B11</f>
        <v>0.682414484090337</v>
      </c>
      <c r="C12" s="618" t="s">
        <v>99</v>
      </c>
      <c r="D12" s="618"/>
      <c r="E12" s="618"/>
      <c r="F12" s="619"/>
    </row>
    <row r="13" spans="1:8" x14ac:dyDescent="0.35">
      <c r="A13" s="26" t="s">
        <v>71</v>
      </c>
      <c r="B13" s="27">
        <f>B12*B10+B11*B8</f>
        <v>5.734464393786283E-2</v>
      </c>
      <c r="C13" s="624" t="s">
        <v>100</v>
      </c>
      <c r="D13" s="624"/>
      <c r="E13" s="624"/>
      <c r="F13" s="625"/>
    </row>
    <row r="15" spans="1:8" x14ac:dyDescent="0.35">
      <c r="A15" s="28" t="s">
        <v>101</v>
      </c>
      <c r="B15" s="28" t="s">
        <v>102</v>
      </c>
      <c r="C15" s="28" t="s">
        <v>103</v>
      </c>
      <c r="D15" s="28" t="s">
        <v>104</v>
      </c>
      <c r="E15" s="28" t="s">
        <v>105</v>
      </c>
      <c r="F15" s="28" t="s">
        <v>106</v>
      </c>
      <c r="H15" s="186"/>
    </row>
    <row r="16" spans="1:8" x14ac:dyDescent="0.35">
      <c r="A16" t="s">
        <v>107</v>
      </c>
      <c r="B16" s="1">
        <f>Beta!D11</f>
        <v>37349760129750</v>
      </c>
      <c r="C16" s="1">
        <f>Beta!D13</f>
        <v>1205191008000</v>
      </c>
      <c r="D16" s="1">
        <f>Beta!D12</f>
        <v>4566534391100</v>
      </c>
      <c r="E16" s="1">
        <f>Beta!D14</f>
        <v>15524752167000.002</v>
      </c>
      <c r="F16" s="1">
        <f>Beta!D15</f>
        <v>1752544215000.0002</v>
      </c>
    </row>
    <row r="17" spans="1:6" x14ac:dyDescent="0.35">
      <c r="A17" t="s">
        <v>108</v>
      </c>
      <c r="B17" s="17">
        <v>27180000000</v>
      </c>
      <c r="C17" s="17">
        <v>13030000000</v>
      </c>
      <c r="D17" s="17">
        <f>FS!H15</f>
        <v>598033999073</v>
      </c>
      <c r="E17" s="17">
        <v>12140000000</v>
      </c>
      <c r="F17" s="17">
        <v>2410000000</v>
      </c>
    </row>
    <row r="18" spans="1:6" x14ac:dyDescent="0.35">
      <c r="A18" t="s">
        <v>109</v>
      </c>
      <c r="B18" s="33">
        <v>163.65</v>
      </c>
      <c r="C18" s="198">
        <v>17.911999999999999</v>
      </c>
      <c r="D18" s="17">
        <v>1</v>
      </c>
      <c r="E18" s="33">
        <v>163.65</v>
      </c>
      <c r="F18" s="33">
        <v>163.65</v>
      </c>
    </row>
    <row r="19" spans="1:6" x14ac:dyDescent="0.35">
      <c r="A19" t="s">
        <v>110</v>
      </c>
      <c r="B19" s="200">
        <f>B17*B18</f>
        <v>4448007000000</v>
      </c>
      <c r="C19" s="200">
        <f t="shared" ref="C19:F19" si="0">C17*C18</f>
        <v>233393360000</v>
      </c>
      <c r="D19" s="200">
        <f>D17*D18</f>
        <v>598033999073</v>
      </c>
      <c r="E19" s="200">
        <f t="shared" si="0"/>
        <v>1986711000000</v>
      </c>
      <c r="F19" s="200">
        <f t="shared" si="0"/>
        <v>394396500000</v>
      </c>
    </row>
    <row r="20" spans="1:6" x14ac:dyDescent="0.35">
      <c r="A20" t="s">
        <v>111</v>
      </c>
      <c r="B20" s="199">
        <f>B16/B19</f>
        <v>8.3969652317880801</v>
      </c>
      <c r="C20" s="199">
        <f t="shared" ref="C20:F20" si="1">C16/C19</f>
        <v>5.163775901765157</v>
      </c>
      <c r="D20" s="199">
        <f t="shared" si="1"/>
        <v>7.6359109986697904</v>
      </c>
      <c r="E20" s="199">
        <f t="shared" si="1"/>
        <v>7.8142981878088973</v>
      </c>
      <c r="F20" s="199">
        <f t="shared" si="1"/>
        <v>4.443609958506225</v>
      </c>
    </row>
    <row r="21" spans="1:6" x14ac:dyDescent="0.35">
      <c r="A21" s="196" t="s">
        <v>1352</v>
      </c>
      <c r="B21" s="197">
        <f>AVERAGE(B20:F20)</f>
        <v>6.6909120557076296</v>
      </c>
      <c r="C21" s="626"/>
      <c r="D21" s="626"/>
      <c r="E21" s="626"/>
      <c r="F21" s="626"/>
    </row>
    <row r="22" spans="1:6" x14ac:dyDescent="0.35">
      <c r="A22" t="s">
        <v>112</v>
      </c>
    </row>
  </sheetData>
  <mergeCells count="14">
    <mergeCell ref="C13:F13"/>
    <mergeCell ref="C21:F21"/>
    <mergeCell ref="C7:F7"/>
    <mergeCell ref="C8:F8"/>
    <mergeCell ref="C9:F9"/>
    <mergeCell ref="C10:F10"/>
    <mergeCell ref="C11:F11"/>
    <mergeCell ref="C12:F12"/>
    <mergeCell ref="C6:F6"/>
    <mergeCell ref="A1:F1"/>
    <mergeCell ref="C2:F2"/>
    <mergeCell ref="C3:F3"/>
    <mergeCell ref="C4:F4"/>
    <mergeCell ref="C5:F5"/>
  </mergeCells>
  <hyperlinks>
    <hyperlink ref="C5" r:id="rId1" xr:uid="{442958F0-2E65-4995-9B80-94C3127FC364}"/>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353A4-181F-4281-B038-5205CE4F3072}">
  <sheetPr>
    <tabColor theme="5"/>
  </sheetPr>
  <dimension ref="A1:T1253"/>
  <sheetViews>
    <sheetView zoomScaleNormal="70" workbookViewId="0">
      <selection activeCell="G29" sqref="G29"/>
    </sheetView>
  </sheetViews>
  <sheetFormatPr defaultColWidth="8.81640625" defaultRowHeight="14.5" x14ac:dyDescent="0.35"/>
  <cols>
    <col min="1" max="1" width="20.26953125" customWidth="1"/>
    <col min="2" max="2" width="39.453125" bestFit="1" customWidth="1"/>
    <col min="3" max="3" width="16.81640625" customWidth="1"/>
    <col min="4" max="4" width="26.6328125" bestFit="1" customWidth="1"/>
    <col min="5" max="5" width="22.1796875" customWidth="1"/>
    <col min="6" max="6" width="23.1796875" bestFit="1" customWidth="1"/>
    <col min="7" max="7" width="18" bestFit="1" customWidth="1"/>
    <col min="8" max="8" width="15.453125" bestFit="1" customWidth="1"/>
    <col min="9" max="9" width="10.6328125" bestFit="1" customWidth="1"/>
    <col min="10" max="10" width="9.1796875" bestFit="1" customWidth="1"/>
    <col min="11" max="11" width="14" bestFit="1" customWidth="1"/>
    <col min="12" max="12" width="25.26953125" bestFit="1" customWidth="1"/>
    <col min="13" max="13" width="24" bestFit="1" customWidth="1"/>
    <col min="14" max="14" width="12.6328125" bestFit="1" customWidth="1"/>
    <col min="15" max="15" width="14.453125" bestFit="1" customWidth="1"/>
    <col min="17" max="17" width="21.81640625" bestFit="1" customWidth="1"/>
    <col min="18" max="18" width="6.453125" bestFit="1" customWidth="1"/>
    <col min="20" max="20" width="12" bestFit="1" customWidth="1"/>
  </cols>
  <sheetData>
    <row r="1" spans="1:20" ht="15.5" x14ac:dyDescent="0.35">
      <c r="A1" s="627" t="s">
        <v>440</v>
      </c>
      <c r="B1" s="628"/>
      <c r="C1" s="628"/>
      <c r="D1" s="628"/>
      <c r="E1" s="628"/>
      <c r="F1" s="628"/>
      <c r="G1" s="629"/>
      <c r="H1" s="188"/>
      <c r="I1" s="178" t="s">
        <v>441</v>
      </c>
      <c r="J1" s="178" t="s">
        <v>442</v>
      </c>
      <c r="K1" s="178" t="s">
        <v>443</v>
      </c>
      <c r="L1" s="178" t="s">
        <v>444</v>
      </c>
      <c r="M1" s="179" t="s">
        <v>445</v>
      </c>
      <c r="N1" s="39" t="s">
        <v>446</v>
      </c>
      <c r="O1" s="39" t="s">
        <v>447</v>
      </c>
    </row>
    <row r="2" spans="1:20" ht="15.5" x14ac:dyDescent="0.35">
      <c r="A2" s="275" t="s">
        <v>448</v>
      </c>
      <c r="B2" s="276" t="s">
        <v>449</v>
      </c>
      <c r="C2" s="276" t="s">
        <v>450</v>
      </c>
      <c r="D2" s="276" t="s">
        <v>451</v>
      </c>
      <c r="E2" s="277" t="s">
        <v>452</v>
      </c>
      <c r="F2" s="278" t="s">
        <v>453</v>
      </c>
      <c r="G2" s="279" t="s">
        <v>454</v>
      </c>
      <c r="I2" s="408" t="s">
        <v>1444</v>
      </c>
      <c r="J2" s="409">
        <v>58700</v>
      </c>
      <c r="K2" s="409">
        <v>1120.18</v>
      </c>
      <c r="L2" s="310"/>
      <c r="M2" s="310"/>
      <c r="N2" s="311">
        <f>(J2-J3)/J3</f>
        <v>8.5910652920962206E-3</v>
      </c>
      <c r="O2" s="311">
        <f>(K2-K3)/K3</f>
        <v>-4.6295062156230605E-3</v>
      </c>
    </row>
    <row r="3" spans="1:20" ht="15.5" x14ac:dyDescent="0.35">
      <c r="A3" s="280">
        <v>1</v>
      </c>
      <c r="B3" s="281" t="s">
        <v>102</v>
      </c>
      <c r="C3" s="282" t="s">
        <v>455</v>
      </c>
      <c r="D3" s="283">
        <f>D19</f>
        <v>1623408000000</v>
      </c>
      <c r="E3" s="284">
        <f>E19</f>
        <v>323290.57500000001</v>
      </c>
      <c r="F3" s="309">
        <v>115530000</v>
      </c>
      <c r="G3" s="285">
        <v>0.04</v>
      </c>
      <c r="I3" s="408" t="s">
        <v>1445</v>
      </c>
      <c r="J3" s="409">
        <v>58200</v>
      </c>
      <c r="K3" s="409">
        <v>1125.3900000000001</v>
      </c>
      <c r="L3" s="41">
        <f>(J2-J3)/J3</f>
        <v>8.5910652920962206E-3</v>
      </c>
      <c r="M3" s="41">
        <f>(K2-K3)/K3</f>
        <v>-4.6295062156230605E-3</v>
      </c>
      <c r="N3" s="180">
        <f t="shared" ref="N3:O33" si="0">(J3-J4)/J4</f>
        <v>3.4482758620689655E-3</v>
      </c>
      <c r="O3" s="180">
        <f t="shared" si="0"/>
        <v>-1.1384899196204867E-2</v>
      </c>
    </row>
    <row r="4" spans="1:20" ht="15.5" x14ac:dyDescent="0.35">
      <c r="A4" s="280">
        <v>2</v>
      </c>
      <c r="B4" s="280" t="s">
        <v>104</v>
      </c>
      <c r="C4" s="280" t="s">
        <v>442</v>
      </c>
      <c r="D4" s="303">
        <f t="shared" ref="D4:D6" si="1">D20</f>
        <v>911164295</v>
      </c>
      <c r="E4" s="284">
        <f t="shared" ref="E4:E7" si="2">E20</f>
        <v>58700</v>
      </c>
      <c r="F4" s="304">
        <v>77794453</v>
      </c>
      <c r="G4" s="305">
        <f>R4</f>
        <v>0.62489971182828941</v>
      </c>
      <c r="I4" s="408" t="s">
        <v>1446</v>
      </c>
      <c r="J4" s="409">
        <v>58000</v>
      </c>
      <c r="K4" s="409">
        <v>1138.3499999999999</v>
      </c>
      <c r="L4" s="41">
        <f t="shared" ref="L4:L67" si="3">(J3-J4)/J4</f>
        <v>3.4482758620689655E-3</v>
      </c>
      <c r="M4" s="41">
        <f t="shared" ref="M4:M67" si="4">(K3-K4)/K4</f>
        <v>-1.1384899196204867E-2</v>
      </c>
      <c r="N4" s="180">
        <f t="shared" si="0"/>
        <v>1.2216404886561954E-2</v>
      </c>
      <c r="O4" s="180">
        <f t="shared" si="0"/>
        <v>3.5439422390309539E-3</v>
      </c>
      <c r="Q4" s="308" t="s">
        <v>92</v>
      </c>
      <c r="R4" s="307">
        <f>_xlfn.COVARIANCE.S(N1:N1251,O1:O1251)/_xlfn.VAR.S(O1:O1251)</f>
        <v>0.62489971182828941</v>
      </c>
    </row>
    <row r="5" spans="1:20" ht="15.5" x14ac:dyDescent="0.35">
      <c r="A5" s="280">
        <v>3</v>
      </c>
      <c r="B5" s="281" t="s">
        <v>103</v>
      </c>
      <c r="C5" s="286" t="s">
        <v>458</v>
      </c>
      <c r="D5" s="283">
        <f>D21</f>
        <v>1667965440000</v>
      </c>
      <c r="E5" s="284">
        <f t="shared" si="2"/>
        <v>63766.719999999994</v>
      </c>
      <c r="F5" s="284">
        <v>18900000</v>
      </c>
      <c r="G5" s="285">
        <v>1.17</v>
      </c>
      <c r="I5" s="408" t="s">
        <v>1447</v>
      </c>
      <c r="J5" s="409">
        <v>57300</v>
      </c>
      <c r="K5" s="409">
        <v>1134.33</v>
      </c>
      <c r="L5" s="41">
        <f t="shared" si="3"/>
        <v>1.2216404886561954E-2</v>
      </c>
      <c r="M5" s="41">
        <f t="shared" si="4"/>
        <v>3.5439422390309539E-3</v>
      </c>
      <c r="N5" s="180">
        <f t="shared" si="0"/>
        <v>-1.8835616438356163E-2</v>
      </c>
      <c r="O5" s="180">
        <f t="shared" si="0"/>
        <v>2.0317482752223478E-3</v>
      </c>
      <c r="Q5" s="42"/>
      <c r="R5" s="43"/>
      <c r="S5" s="43"/>
      <c r="T5" s="181" t="s">
        <v>442</v>
      </c>
    </row>
    <row r="6" spans="1:20" ht="15.5" x14ac:dyDescent="0.35">
      <c r="A6" s="280">
        <v>4</v>
      </c>
      <c r="B6" s="281" t="s">
        <v>105</v>
      </c>
      <c r="C6" s="280" t="s">
        <v>460</v>
      </c>
      <c r="D6" s="283">
        <f t="shared" si="1"/>
        <v>641508000000</v>
      </c>
      <c r="E6" s="284">
        <f t="shared" si="2"/>
        <v>273950.10000000003</v>
      </c>
      <c r="F6" s="287">
        <v>56670000</v>
      </c>
      <c r="G6" s="288">
        <v>0.24</v>
      </c>
      <c r="I6" s="408" t="s">
        <v>1448</v>
      </c>
      <c r="J6" s="409">
        <v>58400</v>
      </c>
      <c r="K6" s="409">
        <v>1132.03</v>
      </c>
      <c r="L6" s="41">
        <f t="shared" si="3"/>
        <v>-1.8835616438356163E-2</v>
      </c>
      <c r="M6" s="41">
        <f t="shared" si="4"/>
        <v>2.0317482752223478E-3</v>
      </c>
      <c r="N6" s="180">
        <f t="shared" si="0"/>
        <v>-6.8027210884353739E-3</v>
      </c>
      <c r="O6" s="180">
        <f t="shared" si="0"/>
        <v>2.3464201597335381E-3</v>
      </c>
      <c r="Q6" s="31" t="s">
        <v>462</v>
      </c>
      <c r="T6" s="14">
        <f>AVERAGE(N2:N1251)</f>
        <v>1.5884761941270648E-4</v>
      </c>
    </row>
    <row r="7" spans="1:20" ht="15.5" x14ac:dyDescent="0.35">
      <c r="A7" s="280">
        <v>5</v>
      </c>
      <c r="B7" s="280" t="s">
        <v>106</v>
      </c>
      <c r="C7" s="280" t="s">
        <v>463</v>
      </c>
      <c r="D7" s="283">
        <f>D23</f>
        <v>1628317500000</v>
      </c>
      <c r="E7" s="284">
        <f t="shared" si="2"/>
        <v>160049.70000000001</v>
      </c>
      <c r="F7" s="289">
        <v>10950000</v>
      </c>
      <c r="G7" s="290">
        <v>0.4</v>
      </c>
      <c r="I7" s="408" t="s">
        <v>1449</v>
      </c>
      <c r="J7" s="409">
        <v>58800</v>
      </c>
      <c r="K7" s="409">
        <v>1129.3800000000001</v>
      </c>
      <c r="L7" s="41">
        <f t="shared" si="3"/>
        <v>-6.8027210884353739E-3</v>
      </c>
      <c r="M7" s="41">
        <f t="shared" si="4"/>
        <v>2.3464201597335381E-3</v>
      </c>
      <c r="N7" s="180">
        <f t="shared" si="0"/>
        <v>-3.7643207855973811E-2</v>
      </c>
      <c r="O7" s="180">
        <f t="shared" si="0"/>
        <v>3.6256998133832354E-3</v>
      </c>
      <c r="Q7" s="31" t="s">
        <v>465</v>
      </c>
      <c r="T7" s="14">
        <f>_xlfn.VAR.P(N1:N1251)</f>
        <v>5.1566757391857882E-4</v>
      </c>
    </row>
    <row r="8" spans="1:20" x14ac:dyDescent="0.35">
      <c r="A8" s="33"/>
      <c r="B8" s="33"/>
      <c r="C8" s="33"/>
      <c r="D8" s="33"/>
      <c r="E8" s="33"/>
      <c r="F8" s="33"/>
      <c r="G8" s="33"/>
      <c r="H8" s="33"/>
      <c r="I8" s="408" t="s">
        <v>1450</v>
      </c>
      <c r="J8" s="409">
        <v>61100</v>
      </c>
      <c r="K8" s="409">
        <v>1125.3</v>
      </c>
      <c r="L8" s="41">
        <f t="shared" si="3"/>
        <v>-3.7643207855973811E-2</v>
      </c>
      <c r="M8" s="41">
        <f t="shared" si="4"/>
        <v>3.6256998133832354E-3</v>
      </c>
      <c r="N8" s="180">
        <f>(J8-J9)/J9</f>
        <v>-3.2626427406199023E-3</v>
      </c>
      <c r="O8" s="180">
        <f t="shared" si="0"/>
        <v>6.1155517407863649E-3</v>
      </c>
      <c r="Q8" s="32" t="s">
        <v>467</v>
      </c>
      <c r="R8" s="44"/>
      <c r="S8" s="44"/>
      <c r="T8" s="45"/>
    </row>
    <row r="9" spans="1:20" ht="15.5" x14ac:dyDescent="0.35">
      <c r="A9" s="630" t="s">
        <v>468</v>
      </c>
      <c r="B9" s="631"/>
      <c r="C9" s="631"/>
      <c r="D9" s="631"/>
      <c r="E9" s="631"/>
      <c r="F9" s="631"/>
      <c r="G9" s="632"/>
      <c r="H9" s="188"/>
      <c r="I9" s="408" t="s">
        <v>1451</v>
      </c>
      <c r="J9" s="409">
        <v>61300</v>
      </c>
      <c r="K9" s="409">
        <v>1118.46</v>
      </c>
      <c r="L9" s="41">
        <f t="shared" si="3"/>
        <v>-3.2626427406199023E-3</v>
      </c>
      <c r="M9" s="41">
        <f t="shared" si="4"/>
        <v>6.1155517407863649E-3</v>
      </c>
      <c r="N9" s="180">
        <f t="shared" si="0"/>
        <v>-9.6930533117932146E-3</v>
      </c>
      <c r="O9" s="180">
        <f t="shared" si="0"/>
        <v>6.0626776526463578E-3</v>
      </c>
    </row>
    <row r="10" spans="1:20" ht="15.5" x14ac:dyDescent="0.35">
      <c r="A10" s="291" t="s">
        <v>448</v>
      </c>
      <c r="B10" s="292" t="s">
        <v>449</v>
      </c>
      <c r="C10" s="292" t="s">
        <v>450</v>
      </c>
      <c r="D10" s="292" t="s">
        <v>470</v>
      </c>
      <c r="E10" s="292" t="s">
        <v>471</v>
      </c>
      <c r="F10" s="292" t="s">
        <v>472</v>
      </c>
      <c r="G10" s="293" t="s">
        <v>473</v>
      </c>
      <c r="I10" s="408" t="s">
        <v>1452</v>
      </c>
      <c r="J10" s="409">
        <v>61900</v>
      </c>
      <c r="K10" s="409">
        <v>1111.72</v>
      </c>
      <c r="L10" s="41">
        <f t="shared" si="3"/>
        <v>-9.6930533117932146E-3</v>
      </c>
      <c r="M10" s="41">
        <f t="shared" si="4"/>
        <v>6.0626776526463578E-3</v>
      </c>
      <c r="N10" s="180">
        <f t="shared" si="0"/>
        <v>3.5117056856187288E-2</v>
      </c>
      <c r="O10" s="180">
        <f t="shared" si="0"/>
        <v>5.717387371087331E-3</v>
      </c>
    </row>
    <row r="11" spans="1:20" ht="15.5" x14ac:dyDescent="0.35">
      <c r="A11" s="294">
        <v>1</v>
      </c>
      <c r="B11" s="295" t="s">
        <v>102</v>
      </c>
      <c r="C11" s="306" t="s">
        <v>455</v>
      </c>
      <c r="D11" s="283">
        <f>E3*F3</f>
        <v>37349760129750</v>
      </c>
      <c r="E11" s="296">
        <f>D3/D11</f>
        <v>4.346501809811934E-2</v>
      </c>
      <c r="F11" s="297">
        <v>0.3</v>
      </c>
      <c r="G11" s="298">
        <f>(G3+F11*E11)/(1+E11)</f>
        <v>5.0830171121700581E-2</v>
      </c>
      <c r="I11" s="408" t="s">
        <v>1453</v>
      </c>
      <c r="J11" s="409">
        <v>59800</v>
      </c>
      <c r="K11" s="409">
        <v>1105.4000000000001</v>
      </c>
      <c r="L11" s="41">
        <f t="shared" si="3"/>
        <v>3.5117056856187288E-2</v>
      </c>
      <c r="M11" s="41">
        <f t="shared" si="4"/>
        <v>5.717387371087331E-3</v>
      </c>
      <c r="N11" s="180">
        <f t="shared" si="0"/>
        <v>-3.3333333333333335E-3</v>
      </c>
      <c r="O11" s="180">
        <f t="shared" si="0"/>
        <v>-8.8054374921539575E-3</v>
      </c>
    </row>
    <row r="12" spans="1:20" ht="15.5" x14ac:dyDescent="0.35">
      <c r="A12" s="294">
        <v>2</v>
      </c>
      <c r="B12" s="299" t="s">
        <v>104</v>
      </c>
      <c r="C12" s="299" t="s">
        <v>442</v>
      </c>
      <c r="D12" s="283">
        <f>E4*F4</f>
        <v>4566534391100</v>
      </c>
      <c r="E12" s="296">
        <f>D4/D12</f>
        <v>1.9953080760233059E-4</v>
      </c>
      <c r="F12" s="458">
        <f>E37</f>
        <v>1.0395327942497754</v>
      </c>
      <c r="G12" s="298">
        <f>(G4+F12*E12)/(1+E12)</f>
        <v>0.62498242739777909</v>
      </c>
      <c r="I12" s="408" t="s">
        <v>1454</v>
      </c>
      <c r="J12" s="409">
        <v>60000</v>
      </c>
      <c r="K12" s="409">
        <v>1115.22</v>
      </c>
      <c r="L12" s="41">
        <f t="shared" si="3"/>
        <v>-3.3333333333333335E-3</v>
      </c>
      <c r="M12" s="41">
        <f t="shared" si="4"/>
        <v>-8.8054374921539575E-3</v>
      </c>
      <c r="N12" s="180">
        <f t="shared" si="0"/>
        <v>6.1946902654867256E-2</v>
      </c>
      <c r="O12" s="180">
        <f t="shared" si="0"/>
        <v>-1.5667385874284896E-3</v>
      </c>
    </row>
    <row r="13" spans="1:20" ht="15.5" x14ac:dyDescent="0.35">
      <c r="A13" s="294">
        <v>3</v>
      </c>
      <c r="B13" s="295" t="s">
        <v>103</v>
      </c>
      <c r="C13" s="299" t="s">
        <v>458</v>
      </c>
      <c r="D13" s="283">
        <f>E5*F5</f>
        <v>1205191008000</v>
      </c>
      <c r="E13" s="296">
        <f>D5/D13</f>
        <v>1.38398430533262</v>
      </c>
      <c r="F13" s="297">
        <v>0.3</v>
      </c>
      <c r="G13" s="298">
        <f>(G5+F13*E13)/(1+E13)</f>
        <v>0.66493528839679794</v>
      </c>
      <c r="I13" s="408" t="s">
        <v>1455</v>
      </c>
      <c r="J13" s="409">
        <v>56500</v>
      </c>
      <c r="K13" s="409">
        <v>1116.97</v>
      </c>
      <c r="L13" s="41">
        <f t="shared" si="3"/>
        <v>6.1946902654867256E-2</v>
      </c>
      <c r="M13" s="41">
        <f t="shared" si="4"/>
        <v>-1.5667385874284896E-3</v>
      </c>
      <c r="N13" s="180">
        <f t="shared" si="0"/>
        <v>1.7730496453900709E-3</v>
      </c>
      <c r="O13" s="180">
        <f t="shared" si="0"/>
        <v>-4.027133933525849E-4</v>
      </c>
    </row>
    <row r="14" spans="1:20" ht="15.5" x14ac:dyDescent="0.35">
      <c r="A14" s="294">
        <v>4</v>
      </c>
      <c r="B14" s="295" t="s">
        <v>105</v>
      </c>
      <c r="C14" s="299" t="s">
        <v>460</v>
      </c>
      <c r="D14" s="283">
        <f>E6*F6</f>
        <v>15524752167000.002</v>
      </c>
      <c r="E14" s="296">
        <f>D6/D14</f>
        <v>4.1321625820450361E-2</v>
      </c>
      <c r="F14" s="297">
        <v>0.3</v>
      </c>
      <c r="G14" s="298">
        <f>(G6+F14*E14)/(1+E14)</f>
        <v>0.2423809142994352</v>
      </c>
      <c r="I14" s="408" t="s">
        <v>1456</v>
      </c>
      <c r="J14" s="409">
        <v>56400</v>
      </c>
      <c r="K14" s="409">
        <v>1117.42</v>
      </c>
      <c r="L14" s="41">
        <f t="shared" si="3"/>
        <v>1.7730496453900709E-3</v>
      </c>
      <c r="M14" s="41">
        <f t="shared" si="4"/>
        <v>-4.027133933525849E-4</v>
      </c>
      <c r="N14" s="180">
        <f t="shared" si="0"/>
        <v>0</v>
      </c>
      <c r="O14" s="180">
        <f t="shared" si="0"/>
        <v>-4.490137733193132E-3</v>
      </c>
    </row>
    <row r="15" spans="1:20" ht="15.5" x14ac:dyDescent="0.35">
      <c r="A15" s="294">
        <v>5</v>
      </c>
      <c r="B15" s="299" t="s">
        <v>106</v>
      </c>
      <c r="C15" s="299" t="s">
        <v>463</v>
      </c>
      <c r="D15" s="283">
        <f>E7*F7</f>
        <v>1752544215000.0002</v>
      </c>
      <c r="E15" s="296">
        <f>D7/D15</f>
        <v>0.92911635898441503</v>
      </c>
      <c r="F15" s="297">
        <v>0.3</v>
      </c>
      <c r="G15" s="298">
        <f>(G7+F15*E15)/(1+E15)</f>
        <v>0.35183720491212106</v>
      </c>
      <c r="I15" s="408" t="s">
        <v>1457</v>
      </c>
      <c r="J15" s="409">
        <v>56400</v>
      </c>
      <c r="K15" s="409">
        <v>1122.46</v>
      </c>
      <c r="L15" s="41">
        <f t="shared" si="3"/>
        <v>0</v>
      </c>
      <c r="M15" s="41">
        <f t="shared" si="4"/>
        <v>-4.490137733193132E-3</v>
      </c>
      <c r="N15" s="180">
        <f t="shared" si="0"/>
        <v>-1.0526315789473684E-2</v>
      </c>
      <c r="O15" s="180">
        <f t="shared" si="0"/>
        <v>5.7705059049121474E-3</v>
      </c>
    </row>
    <row r="16" spans="1:20" ht="15.5" x14ac:dyDescent="0.35">
      <c r="A16" s="300" t="s">
        <v>480</v>
      </c>
      <c r="B16" s="301"/>
      <c r="C16" s="301"/>
      <c r="D16" s="301"/>
      <c r="E16" s="301"/>
      <c r="F16" s="301"/>
      <c r="G16" s="302">
        <f>AVERAGE(G11:G15)</f>
        <v>0.38699320122556674</v>
      </c>
      <c r="I16" s="408">
        <v>45266</v>
      </c>
      <c r="J16" s="409">
        <v>57000</v>
      </c>
      <c r="K16" s="409">
        <v>1116.02</v>
      </c>
      <c r="L16" s="41">
        <f t="shared" si="3"/>
        <v>-1.0526315789473684E-2</v>
      </c>
      <c r="M16" s="41">
        <f t="shared" si="4"/>
        <v>5.7705059049121474E-3</v>
      </c>
      <c r="N16" s="180">
        <f t="shared" si="0"/>
        <v>2.5179856115107913E-2</v>
      </c>
      <c r="O16" s="180">
        <f t="shared" si="0"/>
        <v>7.6657065722824744E-3</v>
      </c>
    </row>
    <row r="17" spans="1:15" x14ac:dyDescent="0.35">
      <c r="A17" s="33"/>
      <c r="B17" s="33"/>
      <c r="C17" s="33"/>
      <c r="E17" s="33"/>
      <c r="F17" s="33"/>
      <c r="G17" s="33"/>
      <c r="H17" s="33"/>
      <c r="I17" s="408">
        <v>45175</v>
      </c>
      <c r="J17" s="409">
        <v>55600</v>
      </c>
      <c r="K17" s="409">
        <v>1107.53</v>
      </c>
      <c r="L17" s="41">
        <f t="shared" si="3"/>
        <v>2.5179856115107913E-2</v>
      </c>
      <c r="M17" s="41">
        <f t="shared" si="4"/>
        <v>7.6657065722824744E-3</v>
      </c>
      <c r="N17" s="180">
        <f t="shared" si="0"/>
        <v>3.6101083032490976E-3</v>
      </c>
      <c r="O17" s="180">
        <f t="shared" si="0"/>
        <v>5.6386881197109254E-3</v>
      </c>
    </row>
    <row r="18" spans="1:15" x14ac:dyDescent="0.35">
      <c r="A18" s="313" t="s">
        <v>451</v>
      </c>
      <c r="B18" s="314" t="s">
        <v>481</v>
      </c>
      <c r="C18" s="314" t="s">
        <v>482</v>
      </c>
      <c r="D18" s="314" t="s">
        <v>483</v>
      </c>
      <c r="E18" s="315" t="s">
        <v>484</v>
      </c>
      <c r="I18" s="408">
        <v>45144</v>
      </c>
      <c r="J18" s="409">
        <v>55400</v>
      </c>
      <c r="K18" s="409">
        <v>1101.32</v>
      </c>
      <c r="L18" s="41">
        <f t="shared" si="3"/>
        <v>3.6101083032490976E-3</v>
      </c>
      <c r="M18" s="41">
        <f t="shared" si="4"/>
        <v>5.6386881197109254E-3</v>
      </c>
      <c r="N18" s="180">
        <f t="shared" si="0"/>
        <v>-1.2477718360071301E-2</v>
      </c>
      <c r="O18" s="180">
        <f t="shared" si="0"/>
        <v>-7.4084755844764745E-3</v>
      </c>
    </row>
    <row r="19" spans="1:15" x14ac:dyDescent="0.35">
      <c r="A19" s="189">
        <v>9920000000</v>
      </c>
      <c r="B19" s="189">
        <v>1975.5</v>
      </c>
      <c r="C19" s="190">
        <v>163.65</v>
      </c>
      <c r="D19" s="193">
        <f>A19*C19</f>
        <v>1623408000000</v>
      </c>
      <c r="E19" s="312">
        <f>B19*C19</f>
        <v>323290.57500000001</v>
      </c>
      <c r="I19" s="408">
        <v>45113</v>
      </c>
      <c r="J19" s="409">
        <v>56100</v>
      </c>
      <c r="K19" s="409">
        <v>1109.54</v>
      </c>
      <c r="L19" s="41">
        <f t="shared" si="3"/>
        <v>-1.2477718360071301E-2</v>
      </c>
      <c r="M19" s="41">
        <f t="shared" si="4"/>
        <v>-7.4084755844764745E-3</v>
      </c>
      <c r="N19" s="180">
        <f t="shared" si="0"/>
        <v>1.7857142857142857E-3</v>
      </c>
      <c r="O19" s="180">
        <f t="shared" si="0"/>
        <v>1.109797800254458E-3</v>
      </c>
    </row>
    <row r="20" spans="1:15" x14ac:dyDescent="0.35">
      <c r="A20" s="191">
        <v>911164295</v>
      </c>
      <c r="B20" s="191">
        <v>58700</v>
      </c>
      <c r="C20" s="190">
        <v>1</v>
      </c>
      <c r="D20" s="193">
        <f>A20*C20</f>
        <v>911164295</v>
      </c>
      <c r="E20" s="312">
        <f>B20*C20</f>
        <v>58700</v>
      </c>
      <c r="I20" s="408">
        <v>45083</v>
      </c>
      <c r="J20" s="409">
        <v>56000</v>
      </c>
      <c r="K20" s="409">
        <v>1108.31</v>
      </c>
      <c r="L20" s="41">
        <f t="shared" si="3"/>
        <v>1.7857142857142857E-3</v>
      </c>
      <c r="M20" s="41">
        <f t="shared" si="4"/>
        <v>1.109797800254458E-3</v>
      </c>
      <c r="N20" s="180">
        <f t="shared" si="0"/>
        <v>-1.0600706713780919E-2</v>
      </c>
      <c r="O20" s="180">
        <f t="shared" si="0"/>
        <v>9.5553005046364707E-3</v>
      </c>
    </row>
    <row r="21" spans="1:15" x14ac:dyDescent="0.35">
      <c r="A21" s="187">
        <v>93120000000</v>
      </c>
      <c r="B21" s="187">
        <v>3560</v>
      </c>
      <c r="C21" s="192">
        <v>17.911999999999999</v>
      </c>
      <c r="D21" s="193">
        <f>A21*C21</f>
        <v>1667965440000</v>
      </c>
      <c r="E21" s="312">
        <f>B21*C21</f>
        <v>63766.719999999994</v>
      </c>
      <c r="I21" s="408">
        <v>45052</v>
      </c>
      <c r="J21" s="409">
        <v>56600</v>
      </c>
      <c r="K21" s="409">
        <v>1097.82</v>
      </c>
      <c r="L21" s="41">
        <f t="shared" si="3"/>
        <v>-1.0600706713780919E-2</v>
      </c>
      <c r="M21" s="41">
        <f t="shared" si="4"/>
        <v>9.5553005046364707E-3</v>
      </c>
      <c r="N21" s="180">
        <f t="shared" si="0"/>
        <v>-1.2216404886561954E-2</v>
      </c>
      <c r="O21" s="180">
        <f t="shared" si="0"/>
        <v>6.39873858677718E-3</v>
      </c>
    </row>
    <row r="22" spans="1:15" x14ac:dyDescent="0.35">
      <c r="A22" s="189">
        <v>3920000000</v>
      </c>
      <c r="B22" s="189">
        <v>1674</v>
      </c>
      <c r="C22" s="190">
        <v>163.65</v>
      </c>
      <c r="D22" s="193">
        <f>A22*C22</f>
        <v>641508000000</v>
      </c>
      <c r="E22" s="312">
        <f>B22*C22</f>
        <v>273950.10000000003</v>
      </c>
      <c r="I22" s="408">
        <v>44963</v>
      </c>
      <c r="J22" s="409">
        <v>57300</v>
      </c>
      <c r="K22" s="409">
        <v>1090.8399999999999</v>
      </c>
      <c r="L22" s="41">
        <f t="shared" si="3"/>
        <v>-1.2216404886561954E-2</v>
      </c>
      <c r="M22" s="41">
        <f t="shared" si="4"/>
        <v>6.39873858677718E-3</v>
      </c>
      <c r="N22" s="180">
        <f t="shared" si="0"/>
        <v>1.0582010582010581E-2</v>
      </c>
      <c r="O22" s="180">
        <f t="shared" si="0"/>
        <v>1.1544988362280639E-2</v>
      </c>
    </row>
    <row r="23" spans="1:15" x14ac:dyDescent="0.35">
      <c r="A23" s="316">
        <v>9950000000</v>
      </c>
      <c r="B23" s="316">
        <v>978</v>
      </c>
      <c r="C23" s="317">
        <v>163.65</v>
      </c>
      <c r="D23" s="318">
        <f>A23*C23</f>
        <v>1628317500000</v>
      </c>
      <c r="E23" s="319">
        <f>B23*C23</f>
        <v>160049.70000000001</v>
      </c>
      <c r="I23" s="408">
        <v>44932</v>
      </c>
      <c r="J23" s="409">
        <v>56700</v>
      </c>
      <c r="K23" s="409">
        <v>1078.3900000000001</v>
      </c>
      <c r="L23" s="41">
        <f t="shared" si="3"/>
        <v>1.0582010582010581E-2</v>
      </c>
      <c r="M23" s="41">
        <f t="shared" si="4"/>
        <v>1.1544988362280639E-2</v>
      </c>
      <c r="N23" s="180">
        <f t="shared" si="0"/>
        <v>-2.072538860103627E-2</v>
      </c>
      <c r="O23" s="180">
        <f t="shared" si="0"/>
        <v>2.9948752290335735E-3</v>
      </c>
    </row>
    <row r="24" spans="1:15" x14ac:dyDescent="0.35">
      <c r="A24" s="614" t="s">
        <v>486</v>
      </c>
      <c r="B24" s="614"/>
      <c r="C24" s="636" t="s">
        <v>487</v>
      </c>
      <c r="D24" s="636"/>
      <c r="E24" s="636"/>
      <c r="I24" s="408" t="s">
        <v>456</v>
      </c>
      <c r="J24" s="409">
        <v>57900</v>
      </c>
      <c r="K24" s="409">
        <v>1075.17</v>
      </c>
      <c r="L24" s="41">
        <f t="shared" si="3"/>
        <v>-2.072538860103627E-2</v>
      </c>
      <c r="M24" s="41">
        <f t="shared" si="4"/>
        <v>2.9948752290335735E-3</v>
      </c>
      <c r="N24" s="180">
        <f t="shared" si="0"/>
        <v>1.2237762237762238E-2</v>
      </c>
      <c r="O24" s="180">
        <f t="shared" si="0"/>
        <v>-2.6714901906218468E-3</v>
      </c>
    </row>
    <row r="25" spans="1:15" x14ac:dyDescent="0.35">
      <c r="I25" s="408" t="s">
        <v>457</v>
      </c>
      <c r="J25" s="409">
        <v>57200</v>
      </c>
      <c r="K25" s="409">
        <v>1078.05</v>
      </c>
      <c r="L25" s="41">
        <f t="shared" si="3"/>
        <v>1.2237762237762238E-2</v>
      </c>
      <c r="M25" s="41">
        <f t="shared" si="4"/>
        <v>-2.6714901906218468E-3</v>
      </c>
      <c r="N25" s="180">
        <f t="shared" si="0"/>
        <v>1.5985790408525755E-2</v>
      </c>
      <c r="O25" s="180">
        <f t="shared" si="0"/>
        <v>2.8558670858992133E-3</v>
      </c>
    </row>
    <row r="26" spans="1:15" x14ac:dyDescent="0.35">
      <c r="I26" s="408" t="s">
        <v>459</v>
      </c>
      <c r="J26" s="409">
        <v>56300</v>
      </c>
      <c r="K26" s="409">
        <v>1074.98</v>
      </c>
      <c r="L26" s="41">
        <f t="shared" si="3"/>
        <v>1.5985790408525755E-2</v>
      </c>
      <c r="M26" s="41">
        <f t="shared" si="4"/>
        <v>2.8558670858992133E-3</v>
      </c>
      <c r="N26" s="180">
        <f t="shared" si="0"/>
        <v>-1.7730496453900709E-3</v>
      </c>
      <c r="O26" s="180">
        <f t="shared" si="0"/>
        <v>1.054749191546968E-2</v>
      </c>
    </row>
    <row r="27" spans="1:15" x14ac:dyDescent="0.35">
      <c r="D27" s="633" t="s">
        <v>491</v>
      </c>
      <c r="E27" s="634"/>
      <c r="F27" s="634"/>
      <c r="G27" s="635"/>
      <c r="I27" s="408" t="s">
        <v>461</v>
      </c>
      <c r="J27" s="409">
        <v>56400</v>
      </c>
      <c r="K27" s="409">
        <v>1063.76</v>
      </c>
      <c r="L27" s="41">
        <f t="shared" si="3"/>
        <v>-1.7730496453900709E-3</v>
      </c>
      <c r="M27" s="41">
        <f t="shared" si="4"/>
        <v>1.054749191546968E-2</v>
      </c>
      <c r="N27" s="180">
        <f t="shared" si="0"/>
        <v>3.1078610603290677E-2</v>
      </c>
      <c r="O27" s="180">
        <f t="shared" si="0"/>
        <v>-8.1718531320751635E-4</v>
      </c>
    </row>
    <row r="28" spans="1:15" x14ac:dyDescent="0.35">
      <c r="A28" t="s">
        <v>493</v>
      </c>
      <c r="D28" s="35" t="s">
        <v>494</v>
      </c>
      <c r="E28" s="36" t="s">
        <v>471</v>
      </c>
      <c r="F28" s="36" t="s">
        <v>472</v>
      </c>
      <c r="G28" s="37" t="s">
        <v>495</v>
      </c>
      <c r="I28" s="408" t="s">
        <v>464</v>
      </c>
      <c r="J28" s="409">
        <v>54700</v>
      </c>
      <c r="K28" s="409">
        <v>1064.6300000000001</v>
      </c>
      <c r="L28" s="41">
        <f t="shared" si="3"/>
        <v>3.1078610603290677E-2</v>
      </c>
      <c r="M28" s="41">
        <f t="shared" si="4"/>
        <v>-8.1718531320751635E-4</v>
      </c>
      <c r="N28" s="180">
        <f t="shared" si="0"/>
        <v>-1.263537906137184E-2</v>
      </c>
      <c r="O28" s="180">
        <f t="shared" si="0"/>
        <v>2.6747285244729615E-3</v>
      </c>
    </row>
    <row r="29" spans="1:15" x14ac:dyDescent="0.35">
      <c r="A29" t="s">
        <v>497</v>
      </c>
      <c r="B29" t="s">
        <v>498</v>
      </c>
      <c r="D29" s="34">
        <f>G16</f>
        <v>0.38699320122556674</v>
      </c>
      <c r="E29" s="38">
        <f>E12</f>
        <v>1.9953080760233059E-4</v>
      </c>
      <c r="F29" s="459">
        <f>E37</f>
        <v>1.0395327942497754</v>
      </c>
      <c r="G29" s="184">
        <f>G16*(1+E29)-F29*E29</f>
        <v>0.38686299947357816</v>
      </c>
      <c r="I29" s="408" t="s">
        <v>466</v>
      </c>
      <c r="J29" s="409">
        <v>55400</v>
      </c>
      <c r="K29" s="409">
        <v>1061.79</v>
      </c>
      <c r="L29" s="41">
        <f t="shared" si="3"/>
        <v>-1.263537906137184E-2</v>
      </c>
      <c r="M29" s="41">
        <f t="shared" si="4"/>
        <v>2.6747285244729615E-3</v>
      </c>
      <c r="N29" s="180">
        <f t="shared" si="0"/>
        <v>0</v>
      </c>
      <c r="O29" s="180">
        <f t="shared" si="0"/>
        <v>-3.8091663930196048E-3</v>
      </c>
    </row>
    <row r="30" spans="1:15" x14ac:dyDescent="0.35">
      <c r="A30" t="s">
        <v>500</v>
      </c>
      <c r="B30" t="s">
        <v>501</v>
      </c>
      <c r="I30" s="408" t="s">
        <v>469</v>
      </c>
      <c r="J30" s="409">
        <v>55400</v>
      </c>
      <c r="K30" s="409">
        <v>1065.8499999999999</v>
      </c>
      <c r="L30" s="41">
        <f t="shared" si="3"/>
        <v>0</v>
      </c>
      <c r="M30" s="41">
        <f t="shared" si="4"/>
        <v>-3.8091663930196048E-3</v>
      </c>
      <c r="N30" s="180">
        <f t="shared" si="0"/>
        <v>1.8083182640144665E-3</v>
      </c>
      <c r="O30" s="180">
        <f t="shared" si="0"/>
        <v>-4.4739595008594767E-3</v>
      </c>
    </row>
    <row r="31" spans="1:15" x14ac:dyDescent="0.35">
      <c r="A31" t="s">
        <v>503</v>
      </c>
      <c r="B31" t="s">
        <v>504</v>
      </c>
      <c r="D31" t="s">
        <v>1416</v>
      </c>
      <c r="E31" s="406">
        <v>2.7434E-2</v>
      </c>
      <c r="I31" s="408" t="s">
        <v>474</v>
      </c>
      <c r="J31" s="409">
        <v>55300</v>
      </c>
      <c r="K31" s="409">
        <v>1070.6400000000001</v>
      </c>
      <c r="L31" s="41">
        <f t="shared" si="3"/>
        <v>1.8083182640144665E-3</v>
      </c>
      <c r="M31" s="41">
        <f t="shared" si="4"/>
        <v>-4.4739595008594767E-3</v>
      </c>
      <c r="N31" s="180">
        <f t="shared" si="0"/>
        <v>-1.4260249554367201E-2</v>
      </c>
      <c r="O31" s="180">
        <f t="shared" si="0"/>
        <v>3.3456099412411218E-3</v>
      </c>
    </row>
    <row r="32" spans="1:15" x14ac:dyDescent="0.35">
      <c r="A32" t="s">
        <v>506</v>
      </c>
      <c r="B32" t="s">
        <v>507</v>
      </c>
      <c r="D32" t="s">
        <v>1436</v>
      </c>
      <c r="E32" s="51">
        <f>F57</f>
        <v>42.043290127737578</v>
      </c>
      <c r="I32" s="408" t="s">
        <v>475</v>
      </c>
      <c r="J32" s="409">
        <v>56100</v>
      </c>
      <c r="K32" s="409">
        <v>1067.07</v>
      </c>
      <c r="L32" s="41">
        <f t="shared" si="3"/>
        <v>-1.4260249554367201E-2</v>
      </c>
      <c r="M32" s="41">
        <f t="shared" si="4"/>
        <v>3.3456099412411218E-3</v>
      </c>
      <c r="N32" s="180">
        <f t="shared" si="0"/>
        <v>6.8571428571428575E-2</v>
      </c>
      <c r="O32" s="180">
        <f t="shared" si="0"/>
        <v>-1.1607117784163859E-3</v>
      </c>
    </row>
    <row r="33" spans="4:15" x14ac:dyDescent="0.35">
      <c r="D33" t="s">
        <v>1417</v>
      </c>
      <c r="E33" s="405" t="s">
        <v>1492</v>
      </c>
      <c r="I33" s="408" t="s">
        <v>476</v>
      </c>
      <c r="J33" s="409">
        <v>52500</v>
      </c>
      <c r="K33" s="409">
        <v>1068.31</v>
      </c>
      <c r="L33" s="41">
        <f t="shared" si="3"/>
        <v>6.8571428571428575E-2</v>
      </c>
      <c r="M33" s="41">
        <f t="shared" si="4"/>
        <v>-1.1607117784163859E-3</v>
      </c>
      <c r="N33" s="180">
        <f t="shared" si="0"/>
        <v>-7.5614366729678641E-3</v>
      </c>
      <c r="O33" s="180">
        <f t="shared" si="0"/>
        <v>7.4214477009542177E-3</v>
      </c>
    </row>
    <row r="34" spans="4:15" x14ac:dyDescent="0.35">
      <c r="D34" t="s">
        <v>1418</v>
      </c>
      <c r="E34" s="9">
        <f>_xlfn.XLOOKUP(E33,F40:F54,G40:G54)</f>
        <v>0.1157</v>
      </c>
      <c r="I34" s="408" t="s">
        <v>477</v>
      </c>
      <c r="J34" s="409">
        <v>52900</v>
      </c>
      <c r="K34" s="409">
        <v>1060.44</v>
      </c>
      <c r="L34" s="41">
        <f t="shared" si="3"/>
        <v>-7.5614366729678641E-3</v>
      </c>
      <c r="M34" s="41">
        <f t="shared" si="4"/>
        <v>7.4214477009542177E-3</v>
      </c>
      <c r="N34" s="180">
        <f t="shared" ref="N34:N97" si="5">(J34-J35)/J35</f>
        <v>7.619047619047619E-3</v>
      </c>
      <c r="O34" s="180">
        <f t="shared" ref="O34:O65" si="6">(K34-K35)/K35</f>
        <v>-5.1317653460423744E-3</v>
      </c>
    </row>
    <row r="35" spans="4:15" x14ac:dyDescent="0.35">
      <c r="D35" t="s">
        <v>1443</v>
      </c>
      <c r="E35" s="173">
        <f>E31+E34</f>
        <v>0.14313399999999998</v>
      </c>
      <c r="I35" s="408" t="s">
        <v>478</v>
      </c>
      <c r="J35" s="409">
        <v>52500</v>
      </c>
      <c r="K35" s="409">
        <v>1065.9100000000001</v>
      </c>
      <c r="L35" s="41">
        <f t="shared" si="3"/>
        <v>7.619047619047619E-3</v>
      </c>
      <c r="M35" s="41">
        <f t="shared" si="4"/>
        <v>-5.1317653460423744E-3</v>
      </c>
      <c r="N35" s="180">
        <f t="shared" si="5"/>
        <v>1.9083969465648854E-3</v>
      </c>
      <c r="O35" s="180">
        <f t="shared" si="6"/>
        <v>1.8766831502007626E-4</v>
      </c>
    </row>
    <row r="36" spans="4:15" x14ac:dyDescent="0.35">
      <c r="D36" t="s">
        <v>1442</v>
      </c>
      <c r="E36" s="9">
        <v>0.1113</v>
      </c>
      <c r="I36" s="408" t="s">
        <v>479</v>
      </c>
      <c r="J36" s="409">
        <v>52400</v>
      </c>
      <c r="K36" s="409">
        <v>1065.71</v>
      </c>
      <c r="L36" s="41">
        <f t="shared" si="3"/>
        <v>1.9083969465648854E-3</v>
      </c>
      <c r="M36" s="41">
        <f t="shared" si="4"/>
        <v>1.8766831502007626E-4</v>
      </c>
      <c r="N36" s="180">
        <f t="shared" si="5"/>
        <v>-2.0560747663551402E-2</v>
      </c>
      <c r="O36" s="180">
        <f t="shared" si="6"/>
        <v>-1.1153810104040252E-3</v>
      </c>
    </row>
    <row r="37" spans="4:15" x14ac:dyDescent="0.35">
      <c r="D37" t="s">
        <v>472</v>
      </c>
      <c r="E37" s="182">
        <f>E34/E36</f>
        <v>1.0395327942497754</v>
      </c>
      <c r="I37" s="408">
        <v>45265</v>
      </c>
      <c r="J37" s="409">
        <v>53500</v>
      </c>
      <c r="K37" s="409">
        <v>1066.9000000000001</v>
      </c>
      <c r="L37" s="41">
        <f t="shared" si="3"/>
        <v>-2.0560747663551402E-2</v>
      </c>
      <c r="M37" s="41">
        <f t="shared" si="4"/>
        <v>-1.1153810104040252E-3</v>
      </c>
      <c r="N37" s="180">
        <f t="shared" si="5"/>
        <v>0</v>
      </c>
      <c r="O37" s="180">
        <f t="shared" si="6"/>
        <v>9.251551384894998E-3</v>
      </c>
    </row>
    <row r="38" spans="4:15" x14ac:dyDescent="0.35">
      <c r="I38" s="408">
        <v>45235</v>
      </c>
      <c r="J38" s="409">
        <v>53500</v>
      </c>
      <c r="K38" s="409">
        <v>1057.1199999999999</v>
      </c>
      <c r="L38" s="41">
        <f t="shared" si="3"/>
        <v>0</v>
      </c>
      <c r="M38" s="41">
        <f t="shared" si="4"/>
        <v>9.251551384894998E-3</v>
      </c>
      <c r="N38" s="180">
        <f t="shared" si="5"/>
        <v>2.0992366412213741E-2</v>
      </c>
      <c r="O38" s="180">
        <f t="shared" si="6"/>
        <v>-1.0772399977322209E-3</v>
      </c>
    </row>
    <row r="39" spans="4:15" x14ac:dyDescent="0.35">
      <c r="D39" s="396" t="s">
        <v>1431</v>
      </c>
      <c r="E39" s="397" t="s">
        <v>1432</v>
      </c>
      <c r="F39" s="397" t="s">
        <v>1433</v>
      </c>
      <c r="G39" s="397" t="s">
        <v>1434</v>
      </c>
      <c r="I39" s="408">
        <v>45204</v>
      </c>
      <c r="J39" s="409">
        <v>52400</v>
      </c>
      <c r="K39" s="409">
        <v>1058.26</v>
      </c>
      <c r="L39" s="41">
        <f t="shared" si="3"/>
        <v>2.0992366412213741E-2</v>
      </c>
      <c r="M39" s="41">
        <f t="shared" si="4"/>
        <v>-1.0772399977322209E-3</v>
      </c>
      <c r="N39" s="180">
        <f t="shared" si="5"/>
        <v>-3.8022813688212928E-3</v>
      </c>
      <c r="O39" s="180">
        <f t="shared" si="6"/>
        <v>4.2608918454691341E-3</v>
      </c>
    </row>
    <row r="40" spans="4:15" x14ac:dyDescent="0.35">
      <c r="D40" s="398">
        <v>-100000</v>
      </c>
      <c r="E40" s="399">
        <v>0.19999900000000001</v>
      </c>
      <c r="F40" s="400" t="s">
        <v>1495</v>
      </c>
      <c r="G40" s="401">
        <v>0.2</v>
      </c>
      <c r="I40" s="408">
        <v>45174</v>
      </c>
      <c r="J40" s="409">
        <v>52600</v>
      </c>
      <c r="K40" s="409">
        <v>1053.77</v>
      </c>
      <c r="L40" s="41">
        <f t="shared" si="3"/>
        <v>-3.8022813688212928E-3</v>
      </c>
      <c r="M40" s="41">
        <f t="shared" si="4"/>
        <v>4.2608918454691341E-3</v>
      </c>
      <c r="N40" s="180">
        <f t="shared" si="5"/>
        <v>5.7361376673040155E-3</v>
      </c>
      <c r="O40" s="180">
        <f t="shared" si="6"/>
        <v>3.1325941676785317E-4</v>
      </c>
    </row>
    <row r="41" spans="4:15" x14ac:dyDescent="0.35">
      <c r="D41" s="398">
        <v>0.2</v>
      </c>
      <c r="E41" s="399">
        <v>0.64999899999999999</v>
      </c>
      <c r="F41" s="400" t="s">
        <v>1494</v>
      </c>
      <c r="G41" s="401">
        <v>0.17499999999999999</v>
      </c>
      <c r="I41" s="408">
        <v>45143</v>
      </c>
      <c r="J41" s="409">
        <v>52300</v>
      </c>
      <c r="K41" s="409">
        <v>1053.44</v>
      </c>
      <c r="L41" s="41">
        <f t="shared" si="3"/>
        <v>5.7361376673040155E-3</v>
      </c>
      <c r="M41" s="41">
        <f t="shared" si="4"/>
        <v>3.1325941676785317E-4</v>
      </c>
      <c r="N41" s="180">
        <f t="shared" si="5"/>
        <v>-1.1342155009451797E-2</v>
      </c>
      <c r="O41" s="180">
        <f t="shared" si="6"/>
        <v>1.262123790024138E-2</v>
      </c>
    </row>
    <row r="42" spans="4:15" x14ac:dyDescent="0.35">
      <c r="D42" s="398">
        <v>0.65</v>
      </c>
      <c r="E42" s="399">
        <v>0.79999900000000002</v>
      </c>
      <c r="F42" s="400" t="s">
        <v>1493</v>
      </c>
      <c r="G42" s="401">
        <v>0.1578</v>
      </c>
      <c r="I42" s="408">
        <v>45051</v>
      </c>
      <c r="J42" s="409">
        <v>52900</v>
      </c>
      <c r="K42" s="409">
        <v>1040.31</v>
      </c>
      <c r="L42" s="41">
        <f t="shared" si="3"/>
        <v>-1.1342155009451797E-2</v>
      </c>
      <c r="M42" s="41">
        <f t="shared" si="4"/>
        <v>1.262123790024138E-2</v>
      </c>
      <c r="N42" s="180">
        <f t="shared" si="5"/>
        <v>-1.8867924528301887E-3</v>
      </c>
      <c r="O42" s="180">
        <f t="shared" si="6"/>
        <v>-2.8829244385500288E-4</v>
      </c>
    </row>
    <row r="43" spans="4:15" x14ac:dyDescent="0.35">
      <c r="D43" s="398">
        <v>0.8</v>
      </c>
      <c r="E43" s="399">
        <v>1.2499990000000001</v>
      </c>
      <c r="F43" s="400" t="s">
        <v>1492</v>
      </c>
      <c r="G43" s="401">
        <v>0.1157</v>
      </c>
      <c r="I43" s="408">
        <v>45021</v>
      </c>
      <c r="J43" s="409">
        <v>53000</v>
      </c>
      <c r="K43" s="409">
        <v>1040.6099999999999</v>
      </c>
      <c r="L43" s="41">
        <f t="shared" si="3"/>
        <v>-1.8867924528301887E-3</v>
      </c>
      <c r="M43" s="41">
        <f t="shared" si="4"/>
        <v>-2.8829244385500288E-4</v>
      </c>
      <c r="N43" s="180">
        <f t="shared" si="5"/>
        <v>-2.7522935779816515E-2</v>
      </c>
      <c r="O43" s="180">
        <f t="shared" si="6"/>
        <v>-8.1115601647094634E-3</v>
      </c>
    </row>
    <row r="44" spans="4:15" x14ac:dyDescent="0.35">
      <c r="D44" s="398">
        <v>1.25</v>
      </c>
      <c r="E44" s="399">
        <v>1.4999990000000001</v>
      </c>
      <c r="F44" s="400" t="s">
        <v>1420</v>
      </c>
      <c r="G44" s="401">
        <v>7.3700000000000002E-2</v>
      </c>
      <c r="I44" s="408" t="s">
        <v>485</v>
      </c>
      <c r="J44" s="409">
        <v>54500</v>
      </c>
      <c r="K44" s="409">
        <v>1049.1199999999999</v>
      </c>
      <c r="L44" s="41">
        <f t="shared" si="3"/>
        <v>-2.7522935779816515E-2</v>
      </c>
      <c r="M44" s="41">
        <f t="shared" si="4"/>
        <v>-8.1115601647094634E-3</v>
      </c>
      <c r="N44" s="180">
        <f t="shared" si="5"/>
        <v>3.8095238095238099E-2</v>
      </c>
      <c r="O44" s="180">
        <f t="shared" si="6"/>
        <v>9.1282475496087846E-3</v>
      </c>
    </row>
    <row r="45" spans="4:15" x14ac:dyDescent="0.35">
      <c r="D45" s="398">
        <v>1.5</v>
      </c>
      <c r="E45" s="399">
        <v>1.7499990000000001</v>
      </c>
      <c r="F45" s="400" t="s">
        <v>1421</v>
      </c>
      <c r="G45" s="401">
        <v>5.2600000000000001E-2</v>
      </c>
      <c r="I45" s="408" t="s">
        <v>488</v>
      </c>
      <c r="J45" s="409">
        <v>52500</v>
      </c>
      <c r="K45" s="409">
        <v>1039.6300000000001</v>
      </c>
      <c r="L45" s="41">
        <f t="shared" si="3"/>
        <v>3.8095238095238099E-2</v>
      </c>
      <c r="M45" s="41">
        <f t="shared" si="4"/>
        <v>9.1282475496087846E-3</v>
      </c>
      <c r="N45" s="180">
        <f t="shared" si="5"/>
        <v>3.8240917782026767E-3</v>
      </c>
      <c r="O45" s="180">
        <f t="shared" si="6"/>
        <v>-1.1241352805532719E-3</v>
      </c>
    </row>
    <row r="46" spans="4:15" x14ac:dyDescent="0.35">
      <c r="D46" s="398">
        <v>1.75</v>
      </c>
      <c r="E46" s="399">
        <v>1.9999990000000001</v>
      </c>
      <c r="F46" s="400" t="s">
        <v>1422</v>
      </c>
      <c r="G46" s="401">
        <v>4.5499999999999999E-2</v>
      </c>
      <c r="I46" s="408" t="s">
        <v>489</v>
      </c>
      <c r="J46" s="409">
        <v>52300</v>
      </c>
      <c r="K46" s="409">
        <v>1040.8</v>
      </c>
      <c r="L46" s="41">
        <f t="shared" si="3"/>
        <v>3.8240917782026767E-3</v>
      </c>
      <c r="M46" s="41">
        <f t="shared" si="4"/>
        <v>-1.1241352805532719E-3</v>
      </c>
      <c r="N46" s="180">
        <f t="shared" si="5"/>
        <v>5.7692307692307696E-3</v>
      </c>
      <c r="O46" s="180">
        <f t="shared" si="6"/>
        <v>5.7496255495966047E-3</v>
      </c>
    </row>
    <row r="47" spans="4:15" x14ac:dyDescent="0.35">
      <c r="D47" s="398">
        <v>2</v>
      </c>
      <c r="E47" s="399">
        <v>2.2499999000000002</v>
      </c>
      <c r="F47" s="400" t="s">
        <v>1423</v>
      </c>
      <c r="G47" s="401">
        <v>3.1300000000000001E-2</v>
      </c>
      <c r="I47" s="408" t="s">
        <v>490</v>
      </c>
      <c r="J47" s="409">
        <v>52000</v>
      </c>
      <c r="K47" s="409">
        <v>1034.8499999999999</v>
      </c>
      <c r="L47" s="41">
        <f t="shared" si="3"/>
        <v>5.7692307692307696E-3</v>
      </c>
      <c r="M47" s="41">
        <f t="shared" si="4"/>
        <v>5.7496255495966047E-3</v>
      </c>
      <c r="N47" s="180">
        <f t="shared" si="5"/>
        <v>2.3622047244094488E-2</v>
      </c>
      <c r="O47" s="180">
        <f t="shared" si="6"/>
        <v>-6.2514404240608355E-3</v>
      </c>
    </row>
    <row r="48" spans="4:15" x14ac:dyDescent="0.35">
      <c r="D48" s="398">
        <v>2.25</v>
      </c>
      <c r="E48" s="399">
        <v>2.4999899999999999</v>
      </c>
      <c r="F48" s="400" t="s">
        <v>1424</v>
      </c>
      <c r="G48" s="401">
        <v>2.4199999999999999E-2</v>
      </c>
      <c r="I48" s="408" t="s">
        <v>492</v>
      </c>
      <c r="J48" s="409">
        <v>50800</v>
      </c>
      <c r="K48" s="409">
        <v>1041.3599999999999</v>
      </c>
      <c r="L48" s="41">
        <f t="shared" si="3"/>
        <v>2.3622047244094488E-2</v>
      </c>
      <c r="M48" s="41">
        <f t="shared" si="4"/>
        <v>-6.2514404240608355E-3</v>
      </c>
      <c r="N48" s="180">
        <f t="shared" si="5"/>
        <v>1.9723865877712033E-3</v>
      </c>
      <c r="O48" s="180">
        <f t="shared" si="6"/>
        <v>-1.4862260405981167E-3</v>
      </c>
    </row>
    <row r="49" spans="1:15" x14ac:dyDescent="0.35">
      <c r="D49" s="398">
        <v>2.5</v>
      </c>
      <c r="E49" s="399">
        <v>2.9999989999999999</v>
      </c>
      <c r="F49" s="400" t="s">
        <v>1425</v>
      </c>
      <c r="G49" s="401">
        <v>0.02</v>
      </c>
      <c r="I49" s="408" t="s">
        <v>496</v>
      </c>
      <c r="J49" s="409">
        <v>50700</v>
      </c>
      <c r="K49" s="409">
        <v>1042.9100000000001</v>
      </c>
      <c r="L49" s="41">
        <f t="shared" si="3"/>
        <v>1.9723865877712033E-3</v>
      </c>
      <c r="M49" s="41">
        <f t="shared" si="4"/>
        <v>-1.4862260405981167E-3</v>
      </c>
      <c r="N49" s="180">
        <f t="shared" si="5"/>
        <v>-7.8277886497064575E-3</v>
      </c>
      <c r="O49" s="180">
        <f t="shared" si="6"/>
        <v>-6.0424112461281085E-3</v>
      </c>
    </row>
    <row r="50" spans="1:15" x14ac:dyDescent="0.35">
      <c r="D50" s="398">
        <v>3</v>
      </c>
      <c r="E50" s="399">
        <v>4.2499989999999999</v>
      </c>
      <c r="F50" s="400" t="s">
        <v>1426</v>
      </c>
      <c r="G50" s="401">
        <v>1.6199999999999999E-2</v>
      </c>
      <c r="I50" s="408" t="s">
        <v>499</v>
      </c>
      <c r="J50" s="409">
        <v>51100</v>
      </c>
      <c r="K50" s="409">
        <v>1049.25</v>
      </c>
      <c r="L50" s="41">
        <f t="shared" si="3"/>
        <v>-7.8277886497064575E-3</v>
      </c>
      <c r="M50" s="41">
        <f t="shared" si="4"/>
        <v>-6.0424112461281085E-3</v>
      </c>
      <c r="N50" s="180">
        <f t="shared" si="5"/>
        <v>-2.1072796934865901E-2</v>
      </c>
      <c r="O50" s="180">
        <f t="shared" si="6"/>
        <v>2.5739289595605425E-4</v>
      </c>
    </row>
    <row r="51" spans="1:15" x14ac:dyDescent="0.35">
      <c r="D51" s="398">
        <v>4.25</v>
      </c>
      <c r="E51" s="399">
        <v>5.4999989999999999</v>
      </c>
      <c r="F51" s="400" t="s">
        <v>1427</v>
      </c>
      <c r="G51" s="401">
        <v>1.4200000000000001E-2</v>
      </c>
      <c r="I51" s="408" t="s">
        <v>502</v>
      </c>
      <c r="J51" s="409">
        <v>52200</v>
      </c>
      <c r="K51" s="409">
        <v>1048.98</v>
      </c>
      <c r="L51" s="41">
        <f t="shared" si="3"/>
        <v>-2.1072796934865901E-2</v>
      </c>
      <c r="M51" s="41">
        <f t="shared" si="4"/>
        <v>2.5739289595605425E-4</v>
      </c>
      <c r="N51" s="180">
        <f t="shared" si="5"/>
        <v>3.8461538461538464E-3</v>
      </c>
      <c r="O51" s="180">
        <f t="shared" si="6"/>
        <v>-5.7250099524179289E-3</v>
      </c>
    </row>
    <row r="52" spans="1:15" x14ac:dyDescent="0.35">
      <c r="D52" s="398">
        <v>5.5</v>
      </c>
      <c r="E52" s="399">
        <v>6.4999989999999999</v>
      </c>
      <c r="F52" s="400" t="s">
        <v>1428</v>
      </c>
      <c r="G52" s="401">
        <v>1.23E-2</v>
      </c>
      <c r="I52" s="408" t="s">
        <v>505</v>
      </c>
      <c r="J52" s="409">
        <v>52000</v>
      </c>
      <c r="K52" s="409">
        <v>1055.02</v>
      </c>
      <c r="L52" s="41">
        <f t="shared" si="3"/>
        <v>3.8461538461538464E-3</v>
      </c>
      <c r="M52" s="41">
        <f t="shared" si="4"/>
        <v>-5.7250099524179289E-3</v>
      </c>
      <c r="N52" s="180">
        <f t="shared" si="5"/>
        <v>0</v>
      </c>
      <c r="O52" s="180">
        <f t="shared" si="6"/>
        <v>1.1482145737846826E-3</v>
      </c>
    </row>
    <row r="53" spans="1:15" x14ac:dyDescent="0.35">
      <c r="D53" s="398">
        <v>6.5</v>
      </c>
      <c r="E53" s="399">
        <v>8.4999990000000007</v>
      </c>
      <c r="F53" s="400" t="s">
        <v>1429</v>
      </c>
      <c r="G53" s="401">
        <v>8.5000000000000006E-3</v>
      </c>
      <c r="I53" s="408" t="s">
        <v>508</v>
      </c>
      <c r="J53" s="409">
        <v>52000</v>
      </c>
      <c r="K53" s="409">
        <v>1053.81</v>
      </c>
      <c r="L53" s="41">
        <f t="shared" si="3"/>
        <v>0</v>
      </c>
      <c r="M53" s="41">
        <f t="shared" si="4"/>
        <v>1.1482145737846826E-3</v>
      </c>
      <c r="N53" s="180">
        <f t="shared" si="5"/>
        <v>0</v>
      </c>
      <c r="O53" s="180">
        <f t="shared" si="6"/>
        <v>8.7378548566312275E-4</v>
      </c>
    </row>
    <row r="54" spans="1:15" x14ac:dyDescent="0.35">
      <c r="D54" s="398">
        <v>8.5</v>
      </c>
      <c r="E54" s="399">
        <v>100000</v>
      </c>
      <c r="F54" s="400" t="s">
        <v>1430</v>
      </c>
      <c r="G54" s="401">
        <v>6.8999999999999999E-3</v>
      </c>
      <c r="I54" s="408" t="s">
        <v>509</v>
      </c>
      <c r="J54" s="409">
        <v>52000</v>
      </c>
      <c r="K54" s="409">
        <v>1052.8900000000001</v>
      </c>
      <c r="L54" s="41">
        <f t="shared" si="3"/>
        <v>0</v>
      </c>
      <c r="M54" s="41">
        <f t="shared" si="4"/>
        <v>8.7378548566312275E-4</v>
      </c>
      <c r="N54" s="180">
        <f t="shared" si="5"/>
        <v>-2.2556390977443608E-2</v>
      </c>
      <c r="O54" s="180">
        <f t="shared" si="6"/>
        <v>-1.0720661467631171E-2</v>
      </c>
    </row>
    <row r="55" spans="1:15" x14ac:dyDescent="0.35">
      <c r="B55" t="s">
        <v>1436</v>
      </c>
      <c r="I55" s="408" t="s">
        <v>510</v>
      </c>
      <c r="J55" s="409">
        <v>53200</v>
      </c>
      <c r="K55" s="409">
        <v>1064.3</v>
      </c>
      <c r="L55" s="41">
        <f t="shared" si="3"/>
        <v>-2.2556390977443608E-2</v>
      </c>
      <c r="M55" s="41">
        <f t="shared" si="4"/>
        <v>-1.0720661467631171E-2</v>
      </c>
      <c r="N55" s="180">
        <f t="shared" si="5"/>
        <v>-2.3853211009174313E-2</v>
      </c>
      <c r="O55" s="180">
        <f t="shared" si="6"/>
        <v>-4.8155593996915148E-3</v>
      </c>
    </row>
    <row r="56" spans="1:15" x14ac:dyDescent="0.35">
      <c r="A56">
        <v>2018</v>
      </c>
      <c r="B56">
        <v>2019</v>
      </c>
      <c r="C56">
        <v>2020</v>
      </c>
      <c r="D56">
        <v>2021</v>
      </c>
      <c r="E56">
        <v>2022</v>
      </c>
      <c r="F56" s="402" t="s">
        <v>1</v>
      </c>
      <c r="I56" s="408">
        <v>45264</v>
      </c>
      <c r="J56" s="409">
        <v>54500</v>
      </c>
      <c r="K56" s="409">
        <v>1069.45</v>
      </c>
      <c r="L56" s="41">
        <f t="shared" si="3"/>
        <v>-2.3853211009174313E-2</v>
      </c>
      <c r="M56" s="41">
        <f t="shared" si="4"/>
        <v>-4.8155593996915148E-3</v>
      </c>
      <c r="N56" s="180">
        <f t="shared" si="5"/>
        <v>3.4155597722960153E-2</v>
      </c>
      <c r="O56" s="180">
        <f t="shared" si="6"/>
        <v>-9.3505133431740368E-6</v>
      </c>
    </row>
    <row r="57" spans="1:15" x14ac:dyDescent="0.35">
      <c r="A57" s="61">
        <f>FS!D17/FS!D18</f>
        <v>34.273051258980004</v>
      </c>
      <c r="B57" s="61">
        <f>FS!E17/FS!E18</f>
        <v>39.204442899862194</v>
      </c>
      <c r="C57" s="61">
        <f>FS!F17/FS!F18</f>
        <v>26.615154438024749</v>
      </c>
      <c r="D57" s="61">
        <f>FS!G17/FS!G18</f>
        <v>52.077776347865168</v>
      </c>
      <c r="E57" s="61">
        <f>FS!H17/FS!H18</f>
        <v>58.046025693955748</v>
      </c>
      <c r="F57" s="51">
        <f>AVERAGE(A57:E57)</f>
        <v>42.043290127737578</v>
      </c>
      <c r="I57" s="408">
        <v>45234</v>
      </c>
      <c r="J57" s="409">
        <v>52700</v>
      </c>
      <c r="K57" s="409">
        <v>1069.46</v>
      </c>
      <c r="L57" s="41">
        <f t="shared" si="3"/>
        <v>3.4155597722960153E-2</v>
      </c>
      <c r="M57" s="41">
        <f t="shared" si="4"/>
        <v>-9.3505133431740368E-6</v>
      </c>
      <c r="N57" s="180">
        <f t="shared" si="5"/>
        <v>1.3461538461538462E-2</v>
      </c>
      <c r="O57" s="180">
        <f t="shared" si="6"/>
        <v>3.8578870793637091E-3</v>
      </c>
    </row>
    <row r="58" spans="1:15" x14ac:dyDescent="0.35">
      <c r="I58" s="408">
        <v>45203</v>
      </c>
      <c r="J58" s="409">
        <v>52000</v>
      </c>
      <c r="K58" s="409">
        <v>1065.3499999999999</v>
      </c>
      <c r="L58" s="41">
        <f t="shared" si="3"/>
        <v>1.3461538461538462E-2</v>
      </c>
      <c r="M58" s="41">
        <f t="shared" si="4"/>
        <v>3.8578870793637091E-3</v>
      </c>
      <c r="N58" s="180">
        <f t="shared" si="5"/>
        <v>2.9702970297029702E-2</v>
      </c>
      <c r="O58" s="180">
        <f t="shared" si="6"/>
        <v>-4.0758710304663204E-3</v>
      </c>
    </row>
    <row r="59" spans="1:15" x14ac:dyDescent="0.35">
      <c r="I59" s="408">
        <v>45111</v>
      </c>
      <c r="J59" s="409">
        <v>50500</v>
      </c>
      <c r="K59" s="409">
        <v>1069.71</v>
      </c>
      <c r="L59" s="41">
        <f t="shared" si="3"/>
        <v>2.9702970297029702E-2</v>
      </c>
      <c r="M59" s="41">
        <f t="shared" si="4"/>
        <v>-4.0758710304663204E-3</v>
      </c>
      <c r="N59" s="180">
        <f t="shared" si="5"/>
        <v>0</v>
      </c>
      <c r="O59" s="180">
        <f t="shared" si="6"/>
        <v>-1.1205423424938093E-3</v>
      </c>
    </row>
    <row r="60" spans="1:15" x14ac:dyDescent="0.35">
      <c r="I60" s="408">
        <v>45081</v>
      </c>
      <c r="J60" s="409">
        <v>50500</v>
      </c>
      <c r="K60" s="409">
        <v>1070.9100000000001</v>
      </c>
      <c r="L60" s="41">
        <f t="shared" si="3"/>
        <v>0</v>
      </c>
      <c r="M60" s="41">
        <f t="shared" si="4"/>
        <v>-1.1205423424938093E-3</v>
      </c>
      <c r="N60" s="180">
        <f t="shared" si="5"/>
        <v>3.9761431411530811E-3</v>
      </c>
      <c r="O60" s="180">
        <f t="shared" si="6"/>
        <v>-9.2056325518566871E-3</v>
      </c>
    </row>
    <row r="61" spans="1:15" x14ac:dyDescent="0.35">
      <c r="I61" s="408">
        <v>45050</v>
      </c>
      <c r="J61" s="409">
        <v>50300</v>
      </c>
      <c r="K61" s="409">
        <v>1080.8599999999999</v>
      </c>
      <c r="L61" s="41">
        <f t="shared" si="3"/>
        <v>3.9761431411530811E-3</v>
      </c>
      <c r="M61" s="41">
        <f t="shared" si="4"/>
        <v>-9.2056325518566871E-3</v>
      </c>
      <c r="N61" s="180">
        <f t="shared" si="5"/>
        <v>1.4112903225806451E-2</v>
      </c>
      <c r="O61" s="180">
        <f t="shared" si="6"/>
        <v>2.2346886735591398E-3</v>
      </c>
    </row>
    <row r="62" spans="1:15" x14ac:dyDescent="0.35">
      <c r="I62" s="408">
        <v>45020</v>
      </c>
      <c r="J62" s="409">
        <v>49600</v>
      </c>
      <c r="K62" s="409">
        <v>1078.45</v>
      </c>
      <c r="L62" s="41">
        <f t="shared" si="3"/>
        <v>1.4112903225806451E-2</v>
      </c>
      <c r="M62" s="41">
        <f t="shared" si="4"/>
        <v>2.2346886735591398E-3</v>
      </c>
      <c r="N62" s="180">
        <f t="shared" si="5"/>
        <v>0</v>
      </c>
      <c r="O62" s="180">
        <f t="shared" si="6"/>
        <v>-7.6903120598911052E-4</v>
      </c>
    </row>
    <row r="63" spans="1:15" x14ac:dyDescent="0.35">
      <c r="I63" s="408">
        <v>44989</v>
      </c>
      <c r="J63" s="409">
        <v>49600</v>
      </c>
      <c r="K63" s="409">
        <v>1079.28</v>
      </c>
      <c r="L63" s="41">
        <f t="shared" si="3"/>
        <v>0</v>
      </c>
      <c r="M63" s="41">
        <f t="shared" si="4"/>
        <v>-7.6903120598911052E-4</v>
      </c>
      <c r="N63" s="180">
        <f t="shared" si="5"/>
        <v>4.048582995951417E-3</v>
      </c>
      <c r="O63" s="180">
        <f t="shared" si="6"/>
        <v>1.3751127141568861E-2</v>
      </c>
    </row>
    <row r="64" spans="1:15" x14ac:dyDescent="0.35">
      <c r="I64" s="408" t="s">
        <v>511</v>
      </c>
      <c r="J64" s="409">
        <v>49400</v>
      </c>
      <c r="K64" s="409">
        <v>1064.6400000000001</v>
      </c>
      <c r="L64" s="41">
        <f t="shared" si="3"/>
        <v>4.048582995951417E-3</v>
      </c>
      <c r="M64" s="41">
        <f t="shared" si="4"/>
        <v>1.3751127141568861E-2</v>
      </c>
      <c r="N64" s="180">
        <f t="shared" si="5"/>
        <v>-2.0202020202020202E-3</v>
      </c>
      <c r="O64" s="180">
        <f t="shared" si="6"/>
        <v>4.908253416899537E-3</v>
      </c>
    </row>
    <row r="65" spans="9:15" x14ac:dyDescent="0.35">
      <c r="I65" s="408" t="s">
        <v>512</v>
      </c>
      <c r="J65" s="409">
        <v>49500</v>
      </c>
      <c r="K65" s="409">
        <v>1059.44</v>
      </c>
      <c r="L65" s="41">
        <f t="shared" si="3"/>
        <v>-2.0202020202020202E-3</v>
      </c>
      <c r="M65" s="41">
        <f t="shared" si="4"/>
        <v>4.908253416899537E-3</v>
      </c>
      <c r="N65" s="180">
        <f t="shared" si="5"/>
        <v>2.0242914979757085E-3</v>
      </c>
      <c r="O65" s="180">
        <f t="shared" si="6"/>
        <v>2.9441557089168418E-3</v>
      </c>
    </row>
    <row r="66" spans="9:15" x14ac:dyDescent="0.35">
      <c r="I66" s="408" t="s">
        <v>513</v>
      </c>
      <c r="J66" s="409">
        <v>49400</v>
      </c>
      <c r="K66" s="409">
        <v>1056.33</v>
      </c>
      <c r="L66" s="41">
        <f t="shared" si="3"/>
        <v>2.0242914979757085E-3</v>
      </c>
      <c r="M66" s="41">
        <f t="shared" si="4"/>
        <v>2.9441557089168418E-3</v>
      </c>
      <c r="N66" s="180">
        <f t="shared" si="5"/>
        <v>-2.0202020202020202E-3</v>
      </c>
      <c r="O66" s="180">
        <f t="shared" ref="O66:O101" si="7">(K66-K67)/K67</f>
        <v>1.9349514839370227E-3</v>
      </c>
    </row>
    <row r="67" spans="9:15" x14ac:dyDescent="0.35">
      <c r="I67" s="408" t="s">
        <v>514</v>
      </c>
      <c r="J67" s="409">
        <v>49500</v>
      </c>
      <c r="K67" s="409">
        <v>1054.29</v>
      </c>
      <c r="L67" s="41">
        <f t="shared" si="3"/>
        <v>-2.0202020202020202E-3</v>
      </c>
      <c r="M67" s="41">
        <f t="shared" si="4"/>
        <v>1.9349514839370227E-3</v>
      </c>
      <c r="N67" s="180">
        <f t="shared" si="5"/>
        <v>6.0975609756097563E-3</v>
      </c>
      <c r="O67" s="180">
        <f t="shared" si="7"/>
        <v>1.9387027797576277E-3</v>
      </c>
    </row>
    <row r="68" spans="9:15" x14ac:dyDescent="0.35">
      <c r="I68" s="408" t="s">
        <v>515</v>
      </c>
      <c r="J68" s="409">
        <v>49200</v>
      </c>
      <c r="K68" s="409">
        <v>1052.25</v>
      </c>
      <c r="L68" s="41">
        <f t="shared" ref="L68:L131" si="8">(J67-J68)/J68</f>
        <v>6.0975609756097563E-3</v>
      </c>
      <c r="M68" s="41">
        <f t="shared" ref="M68:M131" si="9">(K67-K68)/K68</f>
        <v>1.9387027797576277E-3</v>
      </c>
      <c r="N68" s="180">
        <f t="shared" si="5"/>
        <v>-1.1055276381909548E-2</v>
      </c>
      <c r="O68" s="180">
        <f t="shared" si="7"/>
        <v>5.2159458917261691E-3</v>
      </c>
    </row>
    <row r="69" spans="9:15" x14ac:dyDescent="0.35">
      <c r="I69" s="408" t="s">
        <v>516</v>
      </c>
      <c r="J69" s="409">
        <v>49750</v>
      </c>
      <c r="K69" s="409">
        <v>1046.79</v>
      </c>
      <c r="L69" s="41">
        <f t="shared" si="8"/>
        <v>-1.1055276381909548E-2</v>
      </c>
      <c r="M69" s="41">
        <f t="shared" si="9"/>
        <v>5.2159458917261691E-3</v>
      </c>
      <c r="N69" s="180">
        <f t="shared" si="5"/>
        <v>1.015228426395939E-2</v>
      </c>
      <c r="O69" s="180">
        <f t="shared" si="7"/>
        <v>1.6170701368290639E-3</v>
      </c>
    </row>
    <row r="70" spans="9:15" x14ac:dyDescent="0.35">
      <c r="I70" s="408" t="s">
        <v>517</v>
      </c>
      <c r="J70" s="409">
        <v>49250</v>
      </c>
      <c r="K70" s="409">
        <v>1045.0999999999999</v>
      </c>
      <c r="L70" s="41">
        <f t="shared" si="8"/>
        <v>1.015228426395939E-2</v>
      </c>
      <c r="M70" s="41">
        <f t="shared" si="9"/>
        <v>1.6170701368290639E-3</v>
      </c>
      <c r="N70" s="180">
        <f t="shared" si="5"/>
        <v>5.1020408163265302E-3</v>
      </c>
      <c r="O70" s="180">
        <f t="shared" si="7"/>
        <v>4.3823399388778382E-3</v>
      </c>
    </row>
    <row r="71" spans="9:15" x14ac:dyDescent="0.35">
      <c r="I71" s="408" t="s">
        <v>518</v>
      </c>
      <c r="J71" s="409">
        <v>49000</v>
      </c>
      <c r="K71" s="409">
        <v>1040.54</v>
      </c>
      <c r="L71" s="41">
        <f t="shared" si="8"/>
        <v>5.1020408163265302E-3</v>
      </c>
      <c r="M71" s="41">
        <f t="shared" si="9"/>
        <v>4.3823399388778382E-3</v>
      </c>
      <c r="N71" s="180">
        <f t="shared" si="5"/>
        <v>0</v>
      </c>
      <c r="O71" s="180">
        <f t="shared" si="7"/>
        <v>7.8552541092373335E-3</v>
      </c>
    </row>
    <row r="72" spans="9:15" x14ac:dyDescent="0.35">
      <c r="I72" s="408" t="s">
        <v>519</v>
      </c>
      <c r="J72" s="409">
        <v>49000</v>
      </c>
      <c r="K72" s="409">
        <v>1032.43</v>
      </c>
      <c r="L72" s="41">
        <f t="shared" si="8"/>
        <v>0</v>
      </c>
      <c r="M72" s="41">
        <f t="shared" si="9"/>
        <v>7.8552541092373335E-3</v>
      </c>
      <c r="N72" s="180">
        <f t="shared" si="5"/>
        <v>0</v>
      </c>
      <c r="O72" s="180">
        <f t="shared" si="7"/>
        <v>9.1193431727104295E-3</v>
      </c>
    </row>
    <row r="73" spans="9:15" x14ac:dyDescent="0.35">
      <c r="I73" s="408" t="s">
        <v>520</v>
      </c>
      <c r="J73" s="409">
        <v>49000</v>
      </c>
      <c r="K73" s="409">
        <v>1023.1</v>
      </c>
      <c r="L73" s="41">
        <f t="shared" si="8"/>
        <v>0</v>
      </c>
      <c r="M73" s="41">
        <f t="shared" si="9"/>
        <v>9.1193431727104295E-3</v>
      </c>
      <c r="N73" s="180">
        <f t="shared" si="5"/>
        <v>-1.0101010101010102E-2</v>
      </c>
      <c r="O73" s="180">
        <f t="shared" si="7"/>
        <v>-2.1088083893067031E-2</v>
      </c>
    </row>
    <row r="74" spans="9:15" x14ac:dyDescent="0.35">
      <c r="I74" s="408" t="s">
        <v>521</v>
      </c>
      <c r="J74" s="409">
        <v>49500</v>
      </c>
      <c r="K74" s="409">
        <v>1045.1400000000001</v>
      </c>
      <c r="L74" s="41">
        <f t="shared" si="8"/>
        <v>-1.0101010101010102E-2</v>
      </c>
      <c r="M74" s="41">
        <f t="shared" si="9"/>
        <v>-2.1088083893067031E-2</v>
      </c>
      <c r="N74" s="180">
        <f t="shared" si="5"/>
        <v>-8.0160320641282558E-3</v>
      </c>
      <c r="O74" s="180">
        <f t="shared" si="7"/>
        <v>-2.1577238877219696E-3</v>
      </c>
    </row>
    <row r="75" spans="9:15" x14ac:dyDescent="0.35">
      <c r="I75" s="408" t="s">
        <v>522</v>
      </c>
      <c r="J75" s="409">
        <v>49900</v>
      </c>
      <c r="K75" s="409">
        <v>1047.4000000000001</v>
      </c>
      <c r="L75" s="41">
        <f t="shared" si="8"/>
        <v>-8.0160320641282558E-3</v>
      </c>
      <c r="M75" s="41">
        <f t="shared" si="9"/>
        <v>-2.1577238877219696E-3</v>
      </c>
      <c r="N75" s="180">
        <f t="shared" si="5"/>
        <v>-1.383399209486166E-2</v>
      </c>
      <c r="O75" s="180">
        <f t="shared" si="7"/>
        <v>-1.3924062550014557E-2</v>
      </c>
    </row>
    <row r="76" spans="9:15" x14ac:dyDescent="0.35">
      <c r="I76" s="408" t="s">
        <v>523</v>
      </c>
      <c r="J76" s="409">
        <v>50600</v>
      </c>
      <c r="K76" s="409">
        <v>1062.19</v>
      </c>
      <c r="L76" s="41">
        <f t="shared" si="8"/>
        <v>-1.383399209486166E-2</v>
      </c>
      <c r="M76" s="41">
        <f t="shared" si="9"/>
        <v>-1.3924062550014557E-2</v>
      </c>
      <c r="N76" s="180">
        <f t="shared" si="5"/>
        <v>1.6064257028112448E-2</v>
      </c>
      <c r="O76" s="180">
        <f t="shared" si="7"/>
        <v>2.1208887350619578E-2</v>
      </c>
    </row>
    <row r="77" spans="9:15" x14ac:dyDescent="0.35">
      <c r="I77" s="408" t="s">
        <v>524</v>
      </c>
      <c r="J77" s="409">
        <v>49800</v>
      </c>
      <c r="K77" s="409">
        <v>1040.1300000000001</v>
      </c>
      <c r="L77" s="41">
        <f t="shared" si="8"/>
        <v>1.6064257028112448E-2</v>
      </c>
      <c r="M77" s="41">
        <f t="shared" si="9"/>
        <v>2.1208887350619578E-2</v>
      </c>
      <c r="N77" s="180">
        <f t="shared" si="5"/>
        <v>-2.1611001964636542E-2</v>
      </c>
      <c r="O77" s="180">
        <f t="shared" si="7"/>
        <v>-1.2034574468084961E-2</v>
      </c>
    </row>
    <row r="78" spans="9:15" x14ac:dyDescent="0.35">
      <c r="I78" s="408" t="s">
        <v>525</v>
      </c>
      <c r="J78" s="409">
        <v>50900</v>
      </c>
      <c r="K78" s="409">
        <v>1052.8</v>
      </c>
      <c r="L78" s="41">
        <f t="shared" si="8"/>
        <v>-2.1611001964636542E-2</v>
      </c>
      <c r="M78" s="41">
        <f t="shared" si="9"/>
        <v>-1.2034574468084961E-2</v>
      </c>
      <c r="N78" s="180">
        <f t="shared" si="5"/>
        <v>-1.9607843137254902E-3</v>
      </c>
      <c r="O78" s="180">
        <f t="shared" si="7"/>
        <v>-1.8993352326689979E-4</v>
      </c>
    </row>
    <row r="79" spans="9:15" x14ac:dyDescent="0.35">
      <c r="I79" s="408">
        <v>45202</v>
      </c>
      <c r="J79" s="409">
        <v>51000</v>
      </c>
      <c r="K79" s="409">
        <v>1053</v>
      </c>
      <c r="L79" s="41">
        <f t="shared" si="8"/>
        <v>-1.9607843137254902E-3</v>
      </c>
      <c r="M79" s="41">
        <f t="shared" si="9"/>
        <v>-1.8993352326689979E-4</v>
      </c>
      <c r="N79" s="180">
        <f t="shared" si="5"/>
        <v>-5.8479532163742687E-3</v>
      </c>
      <c r="O79" s="180">
        <f t="shared" si="7"/>
        <v>-2.7936928831857996E-3</v>
      </c>
    </row>
    <row r="80" spans="9:15" x14ac:dyDescent="0.35">
      <c r="I80" s="408">
        <v>45172</v>
      </c>
      <c r="J80" s="409">
        <v>51300</v>
      </c>
      <c r="K80" s="409">
        <v>1055.95</v>
      </c>
      <c r="L80" s="41">
        <f t="shared" si="8"/>
        <v>-5.8479532163742687E-3</v>
      </c>
      <c r="M80" s="41">
        <f t="shared" si="9"/>
        <v>-2.7936928831857996E-3</v>
      </c>
      <c r="N80" s="180">
        <f t="shared" si="5"/>
        <v>3.9138943248532287E-3</v>
      </c>
      <c r="O80" s="180">
        <f t="shared" si="7"/>
        <v>6.4526582664556908E-3</v>
      </c>
    </row>
    <row r="81" spans="9:15" x14ac:dyDescent="0.35">
      <c r="I81" s="408">
        <v>45141</v>
      </c>
      <c r="J81" s="409">
        <v>51100</v>
      </c>
      <c r="K81" s="409">
        <v>1049.18</v>
      </c>
      <c r="L81" s="41">
        <f t="shared" si="8"/>
        <v>3.9138943248532287E-3</v>
      </c>
      <c r="M81" s="41">
        <f t="shared" si="9"/>
        <v>6.4526582664556908E-3</v>
      </c>
      <c r="N81" s="180">
        <f t="shared" si="5"/>
        <v>1.9607843137254902E-3</v>
      </c>
      <c r="O81" s="180">
        <f t="shared" si="7"/>
        <v>1.092653973637569E-2</v>
      </c>
    </row>
    <row r="82" spans="9:15" x14ac:dyDescent="0.35">
      <c r="I82" s="408">
        <v>45110</v>
      </c>
      <c r="J82" s="409">
        <v>51000</v>
      </c>
      <c r="K82" s="409">
        <v>1037.8399999999999</v>
      </c>
      <c r="L82" s="41">
        <f t="shared" si="8"/>
        <v>1.9607843137254902E-3</v>
      </c>
      <c r="M82" s="41">
        <f t="shared" si="9"/>
        <v>1.092653973637569E-2</v>
      </c>
      <c r="N82" s="180">
        <f t="shared" si="5"/>
        <v>1.9646365422396855E-3</v>
      </c>
      <c r="O82" s="180">
        <f t="shared" si="7"/>
        <v>1.0377927919157162E-2</v>
      </c>
    </row>
    <row r="83" spans="9:15" x14ac:dyDescent="0.35">
      <c r="I83" s="408">
        <v>45080</v>
      </c>
      <c r="J83" s="409">
        <v>50900</v>
      </c>
      <c r="K83" s="409">
        <v>1027.18</v>
      </c>
      <c r="L83" s="41">
        <f t="shared" si="8"/>
        <v>1.9646365422396855E-3</v>
      </c>
      <c r="M83" s="41">
        <f t="shared" si="9"/>
        <v>1.0377927919157162E-2</v>
      </c>
      <c r="N83" s="180">
        <f t="shared" si="5"/>
        <v>-1.9607843137254902E-3</v>
      </c>
      <c r="O83" s="180">
        <f t="shared" si="7"/>
        <v>2.3517472213277924E-3</v>
      </c>
    </row>
    <row r="84" spans="9:15" x14ac:dyDescent="0.35">
      <c r="I84" s="408">
        <v>44988</v>
      </c>
      <c r="J84" s="409">
        <v>51000</v>
      </c>
      <c r="K84" s="409">
        <v>1024.77</v>
      </c>
      <c r="L84" s="41">
        <f t="shared" si="8"/>
        <v>-1.9607843137254902E-3</v>
      </c>
      <c r="M84" s="41">
        <f t="shared" si="9"/>
        <v>2.3517472213277924E-3</v>
      </c>
      <c r="N84" s="180">
        <f t="shared" si="5"/>
        <v>-1.5444015444015444E-2</v>
      </c>
      <c r="O84" s="180">
        <f t="shared" si="7"/>
        <v>-1.2374591609564209E-2</v>
      </c>
    </row>
    <row r="85" spans="9:15" x14ac:dyDescent="0.35">
      <c r="I85" s="408">
        <v>44960</v>
      </c>
      <c r="J85" s="409">
        <v>51800</v>
      </c>
      <c r="K85" s="409">
        <v>1037.6099999999999</v>
      </c>
      <c r="L85" s="41">
        <f t="shared" si="8"/>
        <v>-1.5444015444015444E-2</v>
      </c>
      <c r="M85" s="41">
        <f t="shared" si="9"/>
        <v>-1.2374591609564209E-2</v>
      </c>
      <c r="N85" s="180">
        <f t="shared" si="5"/>
        <v>1.5686274509803921E-2</v>
      </c>
      <c r="O85" s="180">
        <f t="shared" si="7"/>
        <v>-2.8254288597376912E-3</v>
      </c>
    </row>
    <row r="86" spans="9:15" x14ac:dyDescent="0.35">
      <c r="I86" s="408">
        <v>44929</v>
      </c>
      <c r="J86" s="409">
        <v>51000</v>
      </c>
      <c r="K86" s="409">
        <v>1040.55</v>
      </c>
      <c r="L86" s="41">
        <f t="shared" si="8"/>
        <v>1.5686274509803921E-2</v>
      </c>
      <c r="M86" s="41">
        <f t="shared" si="9"/>
        <v>-2.8254288597376912E-3</v>
      </c>
      <c r="N86" s="180">
        <f t="shared" si="5"/>
        <v>-1.7341040462427744E-2</v>
      </c>
      <c r="O86" s="180">
        <f t="shared" si="7"/>
        <v>1.5487762033024837E-2</v>
      </c>
    </row>
    <row r="87" spans="9:15" x14ac:dyDescent="0.35">
      <c r="I87" s="408" t="s">
        <v>526</v>
      </c>
      <c r="J87" s="409">
        <v>51900</v>
      </c>
      <c r="K87" s="409">
        <v>1024.68</v>
      </c>
      <c r="L87" s="41">
        <f t="shared" si="8"/>
        <v>-1.7341040462427744E-2</v>
      </c>
      <c r="M87" s="41">
        <f t="shared" si="9"/>
        <v>1.5487762033024837E-2</v>
      </c>
      <c r="N87" s="180">
        <f t="shared" si="5"/>
        <v>3.8684719535783366E-3</v>
      </c>
      <c r="O87" s="180">
        <f t="shared" si="7"/>
        <v>3.3586291309670147E-3</v>
      </c>
    </row>
    <row r="88" spans="9:15" x14ac:dyDescent="0.35">
      <c r="I88" s="408" t="s">
        <v>527</v>
      </c>
      <c r="J88" s="409">
        <v>51700</v>
      </c>
      <c r="K88" s="409">
        <v>1021.25</v>
      </c>
      <c r="L88" s="41">
        <f t="shared" si="8"/>
        <v>3.8684719535783366E-3</v>
      </c>
      <c r="M88" s="41">
        <f t="shared" si="9"/>
        <v>3.3586291309670147E-3</v>
      </c>
      <c r="N88" s="180">
        <f t="shared" si="5"/>
        <v>0</v>
      </c>
      <c r="O88" s="180">
        <f t="shared" si="7"/>
        <v>-1.7613220978106071E-2</v>
      </c>
    </row>
    <row r="89" spans="9:15" x14ac:dyDescent="0.35">
      <c r="I89" s="408" t="s">
        <v>528</v>
      </c>
      <c r="J89" s="409">
        <v>51700</v>
      </c>
      <c r="K89" s="409">
        <v>1039.56</v>
      </c>
      <c r="L89" s="41">
        <f t="shared" si="8"/>
        <v>0</v>
      </c>
      <c r="M89" s="41">
        <f t="shared" si="9"/>
        <v>-1.7613220978106071E-2</v>
      </c>
      <c r="N89" s="180">
        <f t="shared" si="5"/>
        <v>1.3725490196078431E-2</v>
      </c>
      <c r="O89" s="180">
        <f t="shared" si="7"/>
        <v>-1.3381925858436436E-2</v>
      </c>
    </row>
    <row r="90" spans="9:15" x14ac:dyDescent="0.35">
      <c r="I90" s="408" t="s">
        <v>529</v>
      </c>
      <c r="J90" s="409">
        <v>51000</v>
      </c>
      <c r="K90" s="409">
        <v>1053.6600000000001</v>
      </c>
      <c r="L90" s="41">
        <f t="shared" si="8"/>
        <v>1.3725490196078431E-2</v>
      </c>
      <c r="M90" s="41">
        <f t="shared" si="9"/>
        <v>-1.3381925858436436E-2</v>
      </c>
      <c r="N90" s="180">
        <f t="shared" si="5"/>
        <v>-5.8479532163742687E-3</v>
      </c>
      <c r="O90" s="180">
        <f t="shared" si="7"/>
        <v>-5.8807906817912785E-4</v>
      </c>
    </row>
    <row r="91" spans="9:15" x14ac:dyDescent="0.35">
      <c r="I91" s="408" t="s">
        <v>530</v>
      </c>
      <c r="J91" s="409">
        <v>51300</v>
      </c>
      <c r="K91" s="409">
        <v>1054.28</v>
      </c>
      <c r="L91" s="41">
        <f t="shared" si="8"/>
        <v>-5.8479532163742687E-3</v>
      </c>
      <c r="M91" s="41">
        <f t="shared" si="9"/>
        <v>-5.8807906817912785E-4</v>
      </c>
      <c r="N91" s="180">
        <f t="shared" si="5"/>
        <v>-1.1560693641618497E-2</v>
      </c>
      <c r="O91" s="180">
        <f t="shared" si="7"/>
        <v>-2.5826303096384361E-2</v>
      </c>
    </row>
    <row r="92" spans="9:15" x14ac:dyDescent="0.35">
      <c r="I92" s="408" t="s">
        <v>531</v>
      </c>
      <c r="J92" s="409">
        <v>51900</v>
      </c>
      <c r="K92" s="409">
        <v>1082.23</v>
      </c>
      <c r="L92" s="41">
        <f t="shared" si="8"/>
        <v>-1.1560693641618497E-2</v>
      </c>
      <c r="M92" s="41">
        <f t="shared" si="9"/>
        <v>-2.5826303096384361E-2</v>
      </c>
      <c r="N92" s="180">
        <f t="shared" si="5"/>
        <v>0</v>
      </c>
      <c r="O92" s="180">
        <f t="shared" si="7"/>
        <v>-4.1042063513973956E-3</v>
      </c>
    </row>
    <row r="93" spans="9:15" x14ac:dyDescent="0.35">
      <c r="I93" s="408" t="s">
        <v>532</v>
      </c>
      <c r="J93" s="409">
        <v>51900</v>
      </c>
      <c r="K93" s="409">
        <v>1086.69</v>
      </c>
      <c r="L93" s="41">
        <f t="shared" si="8"/>
        <v>0</v>
      </c>
      <c r="M93" s="41">
        <f t="shared" si="9"/>
        <v>-4.1042063513973956E-3</v>
      </c>
      <c r="N93" s="180">
        <f t="shared" si="5"/>
        <v>2.7722772277227723E-2</v>
      </c>
      <c r="O93" s="180">
        <f t="shared" si="7"/>
        <v>2.5847013622074852E-2</v>
      </c>
    </row>
    <row r="94" spans="9:15" x14ac:dyDescent="0.35">
      <c r="I94" s="408" t="s">
        <v>533</v>
      </c>
      <c r="J94" s="409">
        <v>50500</v>
      </c>
      <c r="K94" s="409">
        <v>1059.31</v>
      </c>
      <c r="L94" s="41">
        <f t="shared" si="8"/>
        <v>2.7722772277227723E-2</v>
      </c>
      <c r="M94" s="41">
        <f t="shared" si="9"/>
        <v>2.5847013622074852E-2</v>
      </c>
      <c r="N94" s="180">
        <f t="shared" si="5"/>
        <v>2.0202020202020204E-2</v>
      </c>
      <c r="O94" s="180">
        <f t="shared" si="7"/>
        <v>9.6381899101378814E-4</v>
      </c>
    </row>
    <row r="95" spans="9:15" x14ac:dyDescent="0.35">
      <c r="I95" s="408" t="s">
        <v>534</v>
      </c>
      <c r="J95" s="409">
        <v>49500</v>
      </c>
      <c r="K95" s="409">
        <v>1058.29</v>
      </c>
      <c r="L95" s="41">
        <f t="shared" si="8"/>
        <v>2.0202020202020204E-2</v>
      </c>
      <c r="M95" s="41">
        <f t="shared" si="9"/>
        <v>9.6381899101378814E-4</v>
      </c>
      <c r="N95" s="180">
        <f t="shared" si="5"/>
        <v>2.1671826625386997E-2</v>
      </c>
      <c r="O95" s="180">
        <f t="shared" si="7"/>
        <v>9.6260255676396851E-3</v>
      </c>
    </row>
    <row r="96" spans="9:15" x14ac:dyDescent="0.35">
      <c r="I96" s="408" t="s">
        <v>535</v>
      </c>
      <c r="J96" s="409">
        <v>48450</v>
      </c>
      <c r="K96" s="409">
        <v>1048.2</v>
      </c>
      <c r="L96" s="41">
        <f t="shared" si="8"/>
        <v>2.1671826625386997E-2</v>
      </c>
      <c r="M96" s="41">
        <f t="shared" si="9"/>
        <v>9.6260255676396851E-3</v>
      </c>
      <c r="N96" s="180">
        <f t="shared" si="5"/>
        <v>4.1450777202072537E-3</v>
      </c>
      <c r="O96" s="180">
        <f t="shared" si="7"/>
        <v>9.2043441423399295E-3</v>
      </c>
    </row>
    <row r="97" spans="9:15" x14ac:dyDescent="0.35">
      <c r="I97" s="408" t="s">
        <v>536</v>
      </c>
      <c r="J97" s="409">
        <v>48250</v>
      </c>
      <c r="K97" s="409">
        <v>1038.6400000000001</v>
      </c>
      <c r="L97" s="41">
        <f t="shared" si="8"/>
        <v>4.1450777202072537E-3</v>
      </c>
      <c r="M97" s="41">
        <f t="shared" si="9"/>
        <v>9.2043441423399295E-3</v>
      </c>
      <c r="N97" s="180">
        <f t="shared" si="5"/>
        <v>-1.0256410256410256E-2</v>
      </c>
      <c r="O97" s="180">
        <f t="shared" si="7"/>
        <v>-4.8481364376736086E-3</v>
      </c>
    </row>
    <row r="98" spans="9:15" x14ac:dyDescent="0.35">
      <c r="I98" s="408" t="s">
        <v>537</v>
      </c>
      <c r="J98" s="409">
        <v>48750</v>
      </c>
      <c r="K98" s="409">
        <v>1043.7</v>
      </c>
      <c r="L98" s="41">
        <f t="shared" si="8"/>
        <v>-1.0256410256410256E-2</v>
      </c>
      <c r="M98" s="41">
        <f t="shared" si="9"/>
        <v>-4.8481364376736086E-3</v>
      </c>
      <c r="N98" s="180">
        <f t="shared" ref="N98:N161" si="10">(J98-J99)/J99</f>
        <v>-3.4653465346534656E-2</v>
      </c>
      <c r="O98" s="180">
        <f t="shared" si="7"/>
        <v>-1.0992134937932255E-2</v>
      </c>
    </row>
    <row r="99" spans="9:15" x14ac:dyDescent="0.35">
      <c r="I99" s="408">
        <v>45201</v>
      </c>
      <c r="J99" s="409">
        <v>50500</v>
      </c>
      <c r="K99" s="409">
        <v>1055.3</v>
      </c>
      <c r="L99" s="41">
        <f t="shared" si="8"/>
        <v>-3.4653465346534656E-2</v>
      </c>
      <c r="M99" s="41">
        <f t="shared" si="9"/>
        <v>-1.0992134937932255E-2</v>
      </c>
      <c r="N99" s="180">
        <f t="shared" si="10"/>
        <v>-1.5594541910331383E-2</v>
      </c>
      <c r="O99" s="180">
        <f t="shared" si="7"/>
        <v>-8.2046558837626932E-3</v>
      </c>
    </row>
    <row r="100" spans="9:15" x14ac:dyDescent="0.35">
      <c r="I100" s="408">
        <v>45171</v>
      </c>
      <c r="J100" s="409">
        <v>51300</v>
      </c>
      <c r="K100" s="409">
        <v>1064.03</v>
      </c>
      <c r="L100" s="41">
        <f t="shared" si="8"/>
        <v>-1.5594541910331383E-2</v>
      </c>
      <c r="M100" s="41">
        <f t="shared" si="9"/>
        <v>-8.2046558837626932E-3</v>
      </c>
      <c r="N100" s="180">
        <f t="shared" si="10"/>
        <v>1.953125E-3</v>
      </c>
      <c r="O100" s="180">
        <f t="shared" si="7"/>
        <v>-7.6383577997053351E-3</v>
      </c>
    </row>
    <row r="101" spans="9:15" x14ac:dyDescent="0.35">
      <c r="I101" s="408">
        <v>45140</v>
      </c>
      <c r="J101" s="409">
        <v>51200</v>
      </c>
      <c r="K101" s="409">
        <v>1072.22</v>
      </c>
      <c r="L101" s="41">
        <f t="shared" si="8"/>
        <v>1.953125E-3</v>
      </c>
      <c r="M101" s="41">
        <f t="shared" si="9"/>
        <v>-7.6383577997053351E-3</v>
      </c>
      <c r="N101" s="180">
        <f t="shared" si="10"/>
        <v>-9.6711798839458421E-3</v>
      </c>
      <c r="O101" s="180">
        <f t="shared" si="7"/>
        <v>5.9858890640247216E-3</v>
      </c>
    </row>
    <row r="102" spans="9:15" x14ac:dyDescent="0.35">
      <c r="I102" s="408">
        <v>45109</v>
      </c>
      <c r="J102" s="409">
        <v>51700</v>
      </c>
      <c r="K102" s="409">
        <v>1065.8399999999999</v>
      </c>
      <c r="L102" s="41">
        <f t="shared" si="8"/>
        <v>-9.6711798839458421E-3</v>
      </c>
      <c r="M102" s="41">
        <f t="shared" si="9"/>
        <v>5.9858890640247216E-3</v>
      </c>
      <c r="N102" s="180">
        <f t="shared" si="10"/>
        <v>-5.7692307692307696E-3</v>
      </c>
      <c r="O102" s="180">
        <f t="shared" ref="O102:O165" si="11">(K102-K103)/K103</f>
        <v>-2.1527784152980425E-2</v>
      </c>
    </row>
    <row r="103" spans="9:15" x14ac:dyDescent="0.35">
      <c r="I103" s="408">
        <v>45079</v>
      </c>
      <c r="J103" s="409">
        <v>52000</v>
      </c>
      <c r="K103" s="409">
        <v>1089.29</v>
      </c>
      <c r="L103" s="41">
        <f t="shared" si="8"/>
        <v>-5.7692307692307696E-3</v>
      </c>
      <c r="M103" s="41">
        <f t="shared" si="9"/>
        <v>-2.1527784152980425E-2</v>
      </c>
      <c r="N103" s="180">
        <f t="shared" si="10"/>
        <v>-1.3282732447817837E-2</v>
      </c>
      <c r="O103" s="180">
        <f t="shared" si="11"/>
        <v>1.1270482291231371E-2</v>
      </c>
    </row>
    <row r="104" spans="9:15" x14ac:dyDescent="0.35">
      <c r="I104" s="408">
        <v>44987</v>
      </c>
      <c r="J104" s="409">
        <v>52700</v>
      </c>
      <c r="K104" s="409">
        <v>1077.1500000000001</v>
      </c>
      <c r="L104" s="41">
        <f t="shared" si="8"/>
        <v>-1.3282732447817837E-2</v>
      </c>
      <c r="M104" s="41">
        <f t="shared" si="9"/>
        <v>1.1270482291231371E-2</v>
      </c>
      <c r="N104" s="180">
        <f t="shared" si="10"/>
        <v>1.3461538461538462E-2</v>
      </c>
      <c r="O104" s="180">
        <f t="shared" si="11"/>
        <v>-4.0831856271849888E-4</v>
      </c>
    </row>
    <row r="105" spans="9:15" x14ac:dyDescent="0.35">
      <c r="I105" s="408">
        <v>44959</v>
      </c>
      <c r="J105" s="409">
        <v>52000</v>
      </c>
      <c r="K105" s="409">
        <v>1077.5899999999999</v>
      </c>
      <c r="L105" s="41">
        <f t="shared" si="8"/>
        <v>1.3461538461538462E-2</v>
      </c>
      <c r="M105" s="41">
        <f t="shared" si="9"/>
        <v>-4.0831856271849888E-4</v>
      </c>
      <c r="N105" s="180">
        <f t="shared" si="10"/>
        <v>-9.5238095238095247E-3</v>
      </c>
      <c r="O105" s="180">
        <f t="shared" si="11"/>
        <v>1.5056181863805597E-3</v>
      </c>
    </row>
    <row r="106" spans="9:15" x14ac:dyDescent="0.35">
      <c r="I106" s="408">
        <v>44928</v>
      </c>
      <c r="J106" s="409">
        <v>52500</v>
      </c>
      <c r="K106" s="409">
        <v>1075.97</v>
      </c>
      <c r="L106" s="41">
        <f t="shared" si="8"/>
        <v>-9.5238095238095247E-3</v>
      </c>
      <c r="M106" s="41">
        <f t="shared" si="9"/>
        <v>1.5056181863805597E-3</v>
      </c>
      <c r="N106" s="180">
        <f t="shared" si="10"/>
        <v>-5.681818181818182E-3</v>
      </c>
      <c r="O106" s="180">
        <f t="shared" si="11"/>
        <v>-3.1687035403804992E-2</v>
      </c>
    </row>
    <row r="107" spans="9:15" x14ac:dyDescent="0.35">
      <c r="I107" s="408" t="s">
        <v>538</v>
      </c>
      <c r="J107" s="409">
        <v>52800</v>
      </c>
      <c r="K107" s="409">
        <v>1111.18</v>
      </c>
      <c r="L107" s="41">
        <f t="shared" si="8"/>
        <v>-5.681818181818182E-3</v>
      </c>
      <c r="M107" s="41">
        <f t="shared" si="9"/>
        <v>-3.1687035403804992E-2</v>
      </c>
      <c r="N107" s="180">
        <f t="shared" si="10"/>
        <v>-0.04</v>
      </c>
      <c r="O107" s="180">
        <f t="shared" si="11"/>
        <v>7.8090279982224514E-3</v>
      </c>
    </row>
    <row r="108" spans="9:15" x14ac:dyDescent="0.35">
      <c r="I108" s="408" t="s">
        <v>539</v>
      </c>
      <c r="J108" s="409">
        <v>55000</v>
      </c>
      <c r="K108" s="409">
        <v>1102.57</v>
      </c>
      <c r="L108" s="41">
        <f t="shared" si="8"/>
        <v>-0.04</v>
      </c>
      <c r="M108" s="41">
        <f t="shared" si="9"/>
        <v>7.8090279982224514E-3</v>
      </c>
      <c r="N108" s="180">
        <f t="shared" si="10"/>
        <v>-5.1724137931034482E-2</v>
      </c>
      <c r="O108" s="180">
        <f t="shared" si="11"/>
        <v>-1.3006892847551674E-2</v>
      </c>
    </row>
    <row r="109" spans="9:15" x14ac:dyDescent="0.35">
      <c r="I109" s="408" t="s">
        <v>540</v>
      </c>
      <c r="J109" s="409">
        <v>58000</v>
      </c>
      <c r="K109" s="409">
        <v>1117.0999999999999</v>
      </c>
      <c r="L109" s="41">
        <f t="shared" si="8"/>
        <v>-5.1724137931034482E-2</v>
      </c>
      <c r="M109" s="41">
        <f t="shared" si="9"/>
        <v>-1.3006892847551674E-2</v>
      </c>
      <c r="N109" s="180">
        <f t="shared" si="10"/>
        <v>2.292768959435626E-2</v>
      </c>
      <c r="O109" s="180">
        <f t="shared" si="11"/>
        <v>8.1402064832863889E-3</v>
      </c>
    </row>
    <row r="110" spans="9:15" x14ac:dyDescent="0.35">
      <c r="I110" s="408" t="s">
        <v>541</v>
      </c>
      <c r="J110" s="409">
        <v>56700</v>
      </c>
      <c r="K110" s="409">
        <v>1108.08</v>
      </c>
      <c r="L110" s="41">
        <f t="shared" si="8"/>
        <v>2.292768959435626E-2</v>
      </c>
      <c r="M110" s="41">
        <f t="shared" si="9"/>
        <v>8.1402064832863889E-3</v>
      </c>
      <c r="N110" s="180">
        <f t="shared" si="10"/>
        <v>0</v>
      </c>
      <c r="O110" s="180">
        <f t="shared" si="11"/>
        <v>8.9230433040754231E-3</v>
      </c>
    </row>
    <row r="111" spans="9:15" x14ac:dyDescent="0.35">
      <c r="I111" s="408" t="s">
        <v>542</v>
      </c>
      <c r="J111" s="409">
        <v>56700</v>
      </c>
      <c r="K111" s="409">
        <v>1098.28</v>
      </c>
      <c r="L111" s="41">
        <f t="shared" si="8"/>
        <v>0</v>
      </c>
      <c r="M111" s="41">
        <f t="shared" si="9"/>
        <v>8.9230433040754231E-3</v>
      </c>
      <c r="N111" s="180">
        <f t="shared" si="10"/>
        <v>-1.9031141868512111E-2</v>
      </c>
      <c r="O111" s="180">
        <f t="shared" si="11"/>
        <v>9.1795385421165401E-3</v>
      </c>
    </row>
    <row r="112" spans="9:15" x14ac:dyDescent="0.35">
      <c r="I112" s="408" t="s">
        <v>543</v>
      </c>
      <c r="J112" s="409">
        <v>57800</v>
      </c>
      <c r="K112" s="409">
        <v>1088.29</v>
      </c>
      <c r="L112" s="41">
        <f t="shared" si="8"/>
        <v>-1.9031141868512111E-2</v>
      </c>
      <c r="M112" s="41">
        <f t="shared" si="9"/>
        <v>9.1795385421165401E-3</v>
      </c>
      <c r="N112" s="180">
        <f t="shared" si="10"/>
        <v>2.3008849557522124E-2</v>
      </c>
      <c r="O112" s="180">
        <f t="shared" si="11"/>
        <v>2.0259121760977893E-2</v>
      </c>
    </row>
    <row r="113" spans="9:15" x14ac:dyDescent="0.35">
      <c r="I113" s="408" t="s">
        <v>544</v>
      </c>
      <c r="J113" s="409">
        <v>56500</v>
      </c>
      <c r="K113" s="409">
        <v>1066.68</v>
      </c>
      <c r="L113" s="41">
        <f t="shared" si="8"/>
        <v>2.3008849557522124E-2</v>
      </c>
      <c r="M113" s="41">
        <f t="shared" si="9"/>
        <v>2.0259121760977893E-2</v>
      </c>
      <c r="N113" s="180">
        <f t="shared" si="10"/>
        <v>1.7730496453900709E-3</v>
      </c>
      <c r="O113" s="180">
        <f t="shared" si="11"/>
        <v>6.140524632841894E-3</v>
      </c>
    </row>
    <row r="114" spans="9:15" x14ac:dyDescent="0.35">
      <c r="I114" s="408" t="s">
        <v>545</v>
      </c>
      <c r="J114" s="409">
        <v>56400</v>
      </c>
      <c r="K114" s="409">
        <v>1060.17</v>
      </c>
      <c r="L114" s="41">
        <f t="shared" si="8"/>
        <v>1.7730496453900709E-3</v>
      </c>
      <c r="M114" s="41">
        <f t="shared" si="9"/>
        <v>6.140524632841894E-3</v>
      </c>
      <c r="N114" s="180">
        <f t="shared" si="10"/>
        <v>3.4862385321100919E-2</v>
      </c>
      <c r="O114" s="180">
        <f t="shared" si="11"/>
        <v>3.5782239513815657E-3</v>
      </c>
    </row>
    <row r="115" spans="9:15" x14ac:dyDescent="0.35">
      <c r="I115" s="408">
        <v>45261</v>
      </c>
      <c r="J115" s="409">
        <v>54500</v>
      </c>
      <c r="K115" s="409">
        <v>1056.3900000000001</v>
      </c>
      <c r="L115" s="41">
        <f t="shared" si="8"/>
        <v>3.4862385321100919E-2</v>
      </c>
      <c r="M115" s="41">
        <f t="shared" si="9"/>
        <v>3.5782239513815657E-3</v>
      </c>
      <c r="N115" s="180">
        <f t="shared" si="10"/>
        <v>-5.4744525547445258E-3</v>
      </c>
      <c r="O115" s="180">
        <f t="shared" si="11"/>
        <v>5.9672652875663896E-4</v>
      </c>
    </row>
    <row r="116" spans="9:15" x14ac:dyDescent="0.35">
      <c r="I116" s="408">
        <v>45231</v>
      </c>
      <c r="J116" s="409">
        <v>54800</v>
      </c>
      <c r="K116" s="409">
        <v>1055.76</v>
      </c>
      <c r="L116" s="41">
        <f t="shared" si="8"/>
        <v>-5.4744525547445258E-3</v>
      </c>
      <c r="M116" s="41">
        <f t="shared" si="9"/>
        <v>5.9672652875663896E-4</v>
      </c>
      <c r="N116" s="180">
        <f t="shared" si="10"/>
        <v>2.0484171322160148E-2</v>
      </c>
      <c r="O116" s="180">
        <f t="shared" si="11"/>
        <v>2.2879384819861222E-3</v>
      </c>
    </row>
    <row r="117" spans="9:15" x14ac:dyDescent="0.35">
      <c r="I117" s="408">
        <v>45200</v>
      </c>
      <c r="J117" s="409">
        <v>53700</v>
      </c>
      <c r="K117" s="409">
        <v>1053.3499999999999</v>
      </c>
      <c r="L117" s="41">
        <f t="shared" si="8"/>
        <v>2.0484171322160148E-2</v>
      </c>
      <c r="M117" s="41">
        <f t="shared" si="9"/>
        <v>2.2879384819861222E-3</v>
      </c>
      <c r="N117" s="180">
        <f t="shared" si="10"/>
        <v>4.6783625730994149E-2</v>
      </c>
      <c r="O117" s="180">
        <f t="shared" si="11"/>
        <v>-8.157767427743308E-4</v>
      </c>
    </row>
    <row r="118" spans="9:15" x14ac:dyDescent="0.35">
      <c r="I118" s="408">
        <v>45170</v>
      </c>
      <c r="J118" s="409">
        <v>51300</v>
      </c>
      <c r="K118" s="409">
        <v>1054.21</v>
      </c>
      <c r="L118" s="41">
        <f t="shared" si="8"/>
        <v>4.6783625730994149E-2</v>
      </c>
      <c r="M118" s="41">
        <f t="shared" si="9"/>
        <v>-8.157767427743308E-4</v>
      </c>
      <c r="N118" s="180">
        <f t="shared" si="10"/>
        <v>5.8823529411764705E-3</v>
      </c>
      <c r="O118" s="180">
        <f t="shared" si="11"/>
        <v>2.6344822338887448E-3</v>
      </c>
    </row>
    <row r="119" spans="9:15" x14ac:dyDescent="0.35">
      <c r="I119" s="408">
        <v>45078</v>
      </c>
      <c r="J119" s="409">
        <v>51000</v>
      </c>
      <c r="K119" s="409">
        <v>1051.44</v>
      </c>
      <c r="L119" s="41">
        <f t="shared" si="8"/>
        <v>5.8823529411764705E-3</v>
      </c>
      <c r="M119" s="41">
        <f t="shared" si="9"/>
        <v>2.6344822338887448E-3</v>
      </c>
      <c r="N119" s="180">
        <f t="shared" si="10"/>
        <v>-3.0418250950570342E-2</v>
      </c>
      <c r="O119" s="180">
        <f t="shared" si="11"/>
        <v>-4.1484343922258355E-3</v>
      </c>
    </row>
    <row r="120" spans="9:15" x14ac:dyDescent="0.35">
      <c r="I120" s="408">
        <v>45047</v>
      </c>
      <c r="J120" s="409">
        <v>52600</v>
      </c>
      <c r="K120" s="409">
        <v>1055.82</v>
      </c>
      <c r="L120" s="41">
        <f t="shared" si="8"/>
        <v>-3.0418250950570342E-2</v>
      </c>
      <c r="M120" s="41">
        <f t="shared" si="9"/>
        <v>-4.1484343922258355E-3</v>
      </c>
      <c r="N120" s="180">
        <f t="shared" si="10"/>
        <v>2.5341130604288498E-2</v>
      </c>
      <c r="O120" s="180">
        <f t="shared" si="11"/>
        <v>9.0505089119319801E-3</v>
      </c>
    </row>
    <row r="121" spans="9:15" x14ac:dyDescent="0.35">
      <c r="I121" s="408">
        <v>45017</v>
      </c>
      <c r="J121" s="409">
        <v>51300</v>
      </c>
      <c r="K121" s="409">
        <v>1046.3499999999999</v>
      </c>
      <c r="L121" s="41">
        <f t="shared" si="8"/>
        <v>2.5341130604288498E-2</v>
      </c>
      <c r="M121" s="41">
        <f t="shared" si="9"/>
        <v>9.0505089119319801E-3</v>
      </c>
      <c r="N121" s="180">
        <f t="shared" si="10"/>
        <v>-7.7369439071566732E-3</v>
      </c>
      <c r="O121" s="180">
        <f t="shared" si="11"/>
        <v>2.3469681003925836E-3</v>
      </c>
    </row>
    <row r="122" spans="9:15" x14ac:dyDescent="0.35">
      <c r="I122" s="408">
        <v>44986</v>
      </c>
      <c r="J122" s="409">
        <v>51700</v>
      </c>
      <c r="K122" s="409">
        <v>1043.9000000000001</v>
      </c>
      <c r="L122" s="41">
        <f t="shared" si="8"/>
        <v>-7.7369439071566732E-3</v>
      </c>
      <c r="M122" s="41">
        <f t="shared" si="9"/>
        <v>2.3469681003925836E-3</v>
      </c>
      <c r="N122" s="180">
        <f t="shared" si="10"/>
        <v>1.3725490196078431E-2</v>
      </c>
      <c r="O122" s="180">
        <f t="shared" si="11"/>
        <v>3.6550854442006231E-2</v>
      </c>
    </row>
    <row r="123" spans="9:15" x14ac:dyDescent="0.35">
      <c r="I123" s="408" t="s">
        <v>546</v>
      </c>
      <c r="J123" s="409">
        <v>51000</v>
      </c>
      <c r="K123" s="409">
        <v>1007.09</v>
      </c>
      <c r="L123" s="41">
        <f t="shared" si="8"/>
        <v>1.3725490196078431E-2</v>
      </c>
      <c r="M123" s="41">
        <f t="shared" si="9"/>
        <v>3.6550854442006231E-2</v>
      </c>
      <c r="N123" s="180">
        <f t="shared" si="10"/>
        <v>2.6156941649899398E-2</v>
      </c>
      <c r="O123" s="180">
        <f t="shared" si="11"/>
        <v>-2.1797501213723825E-3</v>
      </c>
    </row>
    <row r="124" spans="9:15" x14ac:dyDescent="0.35">
      <c r="I124" s="408" t="s">
        <v>547</v>
      </c>
      <c r="J124" s="409">
        <v>49700</v>
      </c>
      <c r="K124" s="409">
        <v>1009.29</v>
      </c>
      <c r="L124" s="41">
        <f t="shared" si="8"/>
        <v>2.6156941649899398E-2</v>
      </c>
      <c r="M124" s="41">
        <f t="shared" si="9"/>
        <v>-2.1797501213723825E-3</v>
      </c>
      <c r="N124" s="180">
        <f t="shared" si="10"/>
        <v>2.8985507246376812E-2</v>
      </c>
      <c r="O124" s="180">
        <f t="shared" si="11"/>
        <v>-6.2717838646791299E-3</v>
      </c>
    </row>
    <row r="125" spans="9:15" x14ac:dyDescent="0.35">
      <c r="I125" s="408" t="s">
        <v>548</v>
      </c>
      <c r="J125" s="409">
        <v>48300</v>
      </c>
      <c r="K125" s="409">
        <v>1015.66</v>
      </c>
      <c r="L125" s="41">
        <f t="shared" si="8"/>
        <v>2.8985507246376812E-2</v>
      </c>
      <c r="M125" s="41">
        <f t="shared" si="9"/>
        <v>-6.2717838646791299E-3</v>
      </c>
      <c r="N125" s="180">
        <f t="shared" si="10"/>
        <v>0</v>
      </c>
      <c r="O125" s="180">
        <f t="shared" si="11"/>
        <v>1.1039549259882256E-2</v>
      </c>
    </row>
    <row r="126" spans="9:15" x14ac:dyDescent="0.35">
      <c r="I126" s="408" t="s">
        <v>549</v>
      </c>
      <c r="J126" s="409">
        <v>48300</v>
      </c>
      <c r="K126" s="409">
        <v>1004.57</v>
      </c>
      <c r="L126" s="41">
        <f t="shared" si="8"/>
        <v>0</v>
      </c>
      <c r="M126" s="41">
        <f t="shared" si="9"/>
        <v>1.1039549259882256E-2</v>
      </c>
      <c r="N126" s="180">
        <f t="shared" si="10"/>
        <v>6.06136349434481E-3</v>
      </c>
      <c r="O126" s="180">
        <f t="shared" si="11"/>
        <v>1.9650632859999403E-2</v>
      </c>
    </row>
    <row r="127" spans="9:15" x14ac:dyDescent="0.35">
      <c r="I127" s="408" t="s">
        <v>550</v>
      </c>
      <c r="J127" s="409">
        <v>48009</v>
      </c>
      <c r="K127" s="407">
        <v>985.21</v>
      </c>
      <c r="L127" s="41">
        <f t="shared" si="8"/>
        <v>6.06136349434481E-3</v>
      </c>
      <c r="M127" s="41">
        <f t="shared" si="9"/>
        <v>1.9650632859999403E-2</v>
      </c>
      <c r="N127" s="180">
        <f t="shared" si="10"/>
        <v>0</v>
      </c>
      <c r="O127" s="180">
        <f t="shared" si="11"/>
        <v>-3.442969990395358E-2</v>
      </c>
    </row>
    <row r="128" spans="9:15" x14ac:dyDescent="0.35">
      <c r="I128" s="408" t="s">
        <v>551</v>
      </c>
      <c r="J128" s="409">
        <v>48009</v>
      </c>
      <c r="K128" s="409">
        <v>1020.34</v>
      </c>
      <c r="L128" s="41">
        <f t="shared" si="8"/>
        <v>0</v>
      </c>
      <c r="M128" s="41">
        <f t="shared" si="9"/>
        <v>-3.442969990395358E-2</v>
      </c>
      <c r="N128" s="180">
        <f t="shared" si="10"/>
        <v>-1.9804405969905469E-2</v>
      </c>
      <c r="O128" s="180">
        <f t="shared" si="11"/>
        <v>-2.2198100937796243E-3</v>
      </c>
    </row>
    <row r="129" spans="9:15" x14ac:dyDescent="0.35">
      <c r="I129" s="408" t="s">
        <v>552</v>
      </c>
      <c r="J129" s="409">
        <v>48979</v>
      </c>
      <c r="K129" s="409">
        <v>1022.61</v>
      </c>
      <c r="L129" s="41">
        <f t="shared" si="8"/>
        <v>-1.9804405969905469E-2</v>
      </c>
      <c r="M129" s="41">
        <f t="shared" si="9"/>
        <v>-2.2198100937796243E-3</v>
      </c>
      <c r="N129" s="180">
        <f t="shared" si="10"/>
        <v>1.5066732985161237E-2</v>
      </c>
      <c r="O129" s="180">
        <f t="shared" si="11"/>
        <v>3.66088253768846E-3</v>
      </c>
    </row>
    <row r="130" spans="9:15" x14ac:dyDescent="0.35">
      <c r="I130" s="408" t="s">
        <v>553</v>
      </c>
      <c r="J130" s="409">
        <v>48252</v>
      </c>
      <c r="K130" s="409">
        <v>1018.88</v>
      </c>
      <c r="L130" s="41">
        <f t="shared" si="8"/>
        <v>1.5066732985161237E-2</v>
      </c>
      <c r="M130" s="41">
        <f t="shared" si="9"/>
        <v>3.66088253768846E-3</v>
      </c>
      <c r="N130" s="180">
        <f t="shared" si="10"/>
        <v>1.8425884885708857E-2</v>
      </c>
      <c r="O130" s="180">
        <f t="shared" si="11"/>
        <v>-4.1539198342341642E-3</v>
      </c>
    </row>
    <row r="131" spans="9:15" x14ac:dyDescent="0.35">
      <c r="I131" s="408" t="s">
        <v>554</v>
      </c>
      <c r="J131" s="409">
        <v>47379</v>
      </c>
      <c r="K131" s="409">
        <v>1023.13</v>
      </c>
      <c r="L131" s="41">
        <f t="shared" si="8"/>
        <v>1.8425884885708857E-2</v>
      </c>
      <c r="M131" s="41">
        <f t="shared" si="9"/>
        <v>-4.1539198342341642E-3</v>
      </c>
      <c r="N131" s="180">
        <f t="shared" si="10"/>
        <v>-2.6885474860335195E-2</v>
      </c>
      <c r="O131" s="180">
        <f t="shared" si="11"/>
        <v>-1.4705315870570199E-2</v>
      </c>
    </row>
    <row r="132" spans="9:15" x14ac:dyDescent="0.35">
      <c r="I132" s="408" t="s">
        <v>555</v>
      </c>
      <c r="J132" s="409">
        <v>48688</v>
      </c>
      <c r="K132" s="409">
        <v>1038.4000000000001</v>
      </c>
      <c r="L132" s="41">
        <f t="shared" ref="L132:L195" si="12">(J131-J132)/J132</f>
        <v>-2.6885474860335195E-2</v>
      </c>
      <c r="M132" s="41">
        <f t="shared" ref="M132:M195" si="13">(K131-K132)/K132</f>
        <v>-1.4705315870570199E-2</v>
      </c>
      <c r="N132" s="180">
        <f t="shared" si="10"/>
        <v>-5.8168101363768258E-2</v>
      </c>
      <c r="O132" s="180">
        <f t="shared" si="11"/>
        <v>-1.3377926421404613E-2</v>
      </c>
    </row>
    <row r="133" spans="9:15" x14ac:dyDescent="0.35">
      <c r="I133" s="408" t="s">
        <v>556</v>
      </c>
      <c r="J133" s="409">
        <v>51695</v>
      </c>
      <c r="K133" s="409">
        <v>1052.48</v>
      </c>
      <c r="L133" s="41">
        <f t="shared" si="12"/>
        <v>-5.8168101363768258E-2</v>
      </c>
      <c r="M133" s="41">
        <f t="shared" si="13"/>
        <v>-1.3377926421404613E-2</v>
      </c>
      <c r="N133" s="180">
        <f t="shared" si="10"/>
        <v>4.3058049676156653E-2</v>
      </c>
      <c r="O133" s="180">
        <f t="shared" si="11"/>
        <v>-2.6911268619943889E-3</v>
      </c>
    </row>
    <row r="134" spans="9:15" x14ac:dyDescent="0.35">
      <c r="I134" s="408" t="s">
        <v>557</v>
      </c>
      <c r="J134" s="409">
        <v>49561</v>
      </c>
      <c r="K134" s="409">
        <v>1055.32</v>
      </c>
      <c r="L134" s="41">
        <f t="shared" si="12"/>
        <v>4.3058049676156653E-2</v>
      </c>
      <c r="M134" s="41">
        <f t="shared" si="13"/>
        <v>-2.6911268619943889E-3</v>
      </c>
      <c r="N134" s="180">
        <f t="shared" si="10"/>
        <v>6.9046591889559972E-2</v>
      </c>
      <c r="O134" s="180">
        <f t="shared" si="11"/>
        <v>4.6552364269869216E-3</v>
      </c>
    </row>
    <row r="135" spans="9:15" x14ac:dyDescent="0.35">
      <c r="I135" s="408" t="s">
        <v>558</v>
      </c>
      <c r="J135" s="409">
        <v>46360</v>
      </c>
      <c r="K135" s="409">
        <v>1050.43</v>
      </c>
      <c r="L135" s="41">
        <f t="shared" si="12"/>
        <v>6.9046591889559972E-2</v>
      </c>
      <c r="M135" s="41">
        <f t="shared" si="13"/>
        <v>4.6552364269869216E-3</v>
      </c>
      <c r="N135" s="180">
        <f t="shared" si="10"/>
        <v>2.3557724151634912E-2</v>
      </c>
      <c r="O135" s="180">
        <f t="shared" si="11"/>
        <v>2.8450045348226817E-3</v>
      </c>
    </row>
    <row r="136" spans="9:15" x14ac:dyDescent="0.35">
      <c r="I136" s="408" t="s">
        <v>559</v>
      </c>
      <c r="J136" s="409">
        <v>45293</v>
      </c>
      <c r="K136" s="409">
        <v>1047.45</v>
      </c>
      <c r="L136" s="41">
        <f t="shared" si="12"/>
        <v>2.3557724151634912E-2</v>
      </c>
      <c r="M136" s="41">
        <f t="shared" si="13"/>
        <v>2.8450045348226817E-3</v>
      </c>
      <c r="N136" s="180">
        <f t="shared" si="10"/>
        <v>1.3016930956587864E-2</v>
      </c>
      <c r="O136" s="180">
        <f t="shared" si="11"/>
        <v>1.4902089974517339E-2</v>
      </c>
    </row>
    <row r="137" spans="9:15" x14ac:dyDescent="0.35">
      <c r="I137" s="408">
        <v>44907</v>
      </c>
      <c r="J137" s="409">
        <v>44711</v>
      </c>
      <c r="K137" s="409">
        <v>1032.07</v>
      </c>
      <c r="L137" s="41">
        <f t="shared" si="12"/>
        <v>1.3016930956587864E-2</v>
      </c>
      <c r="M137" s="41">
        <f t="shared" si="13"/>
        <v>1.4902089974517339E-2</v>
      </c>
      <c r="N137" s="180">
        <f t="shared" si="10"/>
        <v>-1.915145665145665E-2</v>
      </c>
      <c r="O137" s="180">
        <f t="shared" si="11"/>
        <v>-1.87676481493806E-2</v>
      </c>
    </row>
    <row r="138" spans="9:15" x14ac:dyDescent="0.35">
      <c r="I138" s="408">
        <v>44816</v>
      </c>
      <c r="J138" s="409">
        <v>45584</v>
      </c>
      <c r="K138" s="409">
        <v>1051.81</v>
      </c>
      <c r="L138" s="41">
        <f t="shared" si="12"/>
        <v>-1.915145665145665E-2</v>
      </c>
      <c r="M138" s="41">
        <f t="shared" si="13"/>
        <v>-1.87676481493806E-2</v>
      </c>
      <c r="N138" s="180">
        <f t="shared" si="10"/>
        <v>6.4248338595367938E-3</v>
      </c>
      <c r="O138" s="180">
        <f t="shared" si="11"/>
        <v>1.2184326006872462E-3</v>
      </c>
    </row>
    <row r="139" spans="9:15" x14ac:dyDescent="0.35">
      <c r="I139" s="408">
        <v>44785</v>
      </c>
      <c r="J139" s="409">
        <v>45293</v>
      </c>
      <c r="K139" s="409">
        <v>1050.53</v>
      </c>
      <c r="L139" s="41">
        <f t="shared" si="12"/>
        <v>6.4248338595367938E-3</v>
      </c>
      <c r="M139" s="41">
        <f t="shared" si="13"/>
        <v>1.2184326006872462E-3</v>
      </c>
      <c r="N139" s="180">
        <f t="shared" si="10"/>
        <v>1.9630355012268973E-2</v>
      </c>
      <c r="O139" s="180">
        <f t="shared" si="11"/>
        <v>9.1352711763462678E-3</v>
      </c>
    </row>
    <row r="140" spans="9:15" x14ac:dyDescent="0.35">
      <c r="I140" s="408">
        <v>44754</v>
      </c>
      <c r="J140" s="409">
        <v>44421</v>
      </c>
      <c r="K140" s="409">
        <v>1041.02</v>
      </c>
      <c r="L140" s="41">
        <f t="shared" si="12"/>
        <v>1.9630355012268973E-2</v>
      </c>
      <c r="M140" s="41">
        <f t="shared" si="13"/>
        <v>9.1352711763462678E-3</v>
      </c>
      <c r="N140" s="180">
        <f t="shared" si="10"/>
        <v>-2.1348314606741574E-2</v>
      </c>
      <c r="O140" s="180">
        <f t="shared" si="11"/>
        <v>-7.3138868493073002E-3</v>
      </c>
    </row>
    <row r="141" spans="9:15" x14ac:dyDescent="0.35">
      <c r="I141" s="408">
        <v>44724</v>
      </c>
      <c r="J141" s="409">
        <v>45390</v>
      </c>
      <c r="K141" s="409">
        <v>1048.69</v>
      </c>
      <c r="L141" s="41">
        <f t="shared" si="12"/>
        <v>-2.1348314606741574E-2</v>
      </c>
      <c r="M141" s="41">
        <f t="shared" si="13"/>
        <v>-7.3138868493073002E-3</v>
      </c>
      <c r="N141" s="180">
        <f t="shared" si="10"/>
        <v>2.1416112865122647E-3</v>
      </c>
      <c r="O141" s="180">
        <f t="shared" si="11"/>
        <v>-4.1127579617252018E-2</v>
      </c>
    </row>
    <row r="142" spans="9:15" x14ac:dyDescent="0.35">
      <c r="I142" s="408">
        <v>44693</v>
      </c>
      <c r="J142" s="409">
        <v>45293</v>
      </c>
      <c r="K142" s="409">
        <v>1093.67</v>
      </c>
      <c r="L142" s="41">
        <f t="shared" si="12"/>
        <v>2.1416112865122647E-3</v>
      </c>
      <c r="M142" s="41">
        <f t="shared" si="13"/>
        <v>-4.1127579617252018E-2</v>
      </c>
      <c r="N142" s="180">
        <f t="shared" si="10"/>
        <v>-1.8910020361304857E-2</v>
      </c>
      <c r="O142" s="180">
        <f t="shared" si="11"/>
        <v>1.2648031036749736E-2</v>
      </c>
    </row>
    <row r="143" spans="9:15" x14ac:dyDescent="0.35">
      <c r="I143" s="408">
        <v>44604</v>
      </c>
      <c r="J143" s="409">
        <v>46166</v>
      </c>
      <c r="K143" s="409">
        <v>1080.01</v>
      </c>
      <c r="L143" s="41">
        <f t="shared" si="12"/>
        <v>-1.8910020361304857E-2</v>
      </c>
      <c r="M143" s="41">
        <f t="shared" si="13"/>
        <v>1.2648031036749736E-2</v>
      </c>
      <c r="N143" s="180">
        <f t="shared" si="10"/>
        <v>-2.459328121698711E-2</v>
      </c>
      <c r="O143" s="180">
        <f t="shared" si="11"/>
        <v>4.2199019570000405E-2</v>
      </c>
    </row>
    <row r="144" spans="9:15" x14ac:dyDescent="0.35">
      <c r="I144" s="408">
        <v>44573</v>
      </c>
      <c r="J144" s="409">
        <v>47330</v>
      </c>
      <c r="K144" s="409">
        <v>1036.28</v>
      </c>
      <c r="L144" s="41">
        <f t="shared" si="12"/>
        <v>-2.459328121698711E-2</v>
      </c>
      <c r="M144" s="41">
        <f t="shared" si="13"/>
        <v>4.2199019570000405E-2</v>
      </c>
      <c r="N144" s="180">
        <f t="shared" si="10"/>
        <v>-2.0452484871486707E-3</v>
      </c>
      <c r="O144" s="180">
        <f t="shared" si="11"/>
        <v>-1.1579328894908624E-2</v>
      </c>
    </row>
    <row r="145" spans="9:15" x14ac:dyDescent="0.35">
      <c r="I145" s="408" t="s">
        <v>560</v>
      </c>
      <c r="J145" s="409">
        <v>47427</v>
      </c>
      <c r="K145" s="409">
        <v>1048.42</v>
      </c>
      <c r="L145" s="41">
        <f t="shared" si="12"/>
        <v>-2.0452484871486707E-3</v>
      </c>
      <c r="M145" s="41">
        <f t="shared" si="13"/>
        <v>-1.1579328894908624E-2</v>
      </c>
      <c r="N145" s="180">
        <f t="shared" si="10"/>
        <v>4.4877726371447456E-2</v>
      </c>
      <c r="O145" s="180">
        <f t="shared" si="11"/>
        <v>1.5753371570299168E-2</v>
      </c>
    </row>
    <row r="146" spans="9:15" x14ac:dyDescent="0.35">
      <c r="I146" s="408" t="s">
        <v>561</v>
      </c>
      <c r="J146" s="409">
        <v>45390</v>
      </c>
      <c r="K146" s="409">
        <v>1032.1600000000001</v>
      </c>
      <c r="L146" s="41">
        <f t="shared" si="12"/>
        <v>4.4877726371447456E-2</v>
      </c>
      <c r="M146" s="41">
        <f t="shared" si="13"/>
        <v>1.5753371570299168E-2</v>
      </c>
      <c r="N146" s="180">
        <f t="shared" si="10"/>
        <v>-2.7030503097468437E-2</v>
      </c>
      <c r="O146" s="180">
        <f t="shared" si="11"/>
        <v>2.6320237846652574E-2</v>
      </c>
    </row>
    <row r="147" spans="9:15" x14ac:dyDescent="0.35">
      <c r="I147" s="408" t="s">
        <v>562</v>
      </c>
      <c r="J147" s="409">
        <v>46651</v>
      </c>
      <c r="K147" s="409">
        <v>1005.69</v>
      </c>
      <c r="L147" s="41">
        <f t="shared" si="12"/>
        <v>-2.7030503097468437E-2</v>
      </c>
      <c r="M147" s="41">
        <f t="shared" si="13"/>
        <v>2.6320237846652574E-2</v>
      </c>
      <c r="N147" s="180">
        <f t="shared" si="10"/>
        <v>1.6915531335149864E-2</v>
      </c>
      <c r="O147" s="180">
        <f t="shared" si="11"/>
        <v>3.5235624729788174E-2</v>
      </c>
    </row>
    <row r="148" spans="9:15" x14ac:dyDescent="0.35">
      <c r="I148" s="408" t="s">
        <v>563</v>
      </c>
      <c r="J148" s="409">
        <v>45875</v>
      </c>
      <c r="K148" s="407">
        <v>971.46</v>
      </c>
      <c r="L148" s="41">
        <f t="shared" si="12"/>
        <v>1.6915531335149864E-2</v>
      </c>
      <c r="M148" s="41">
        <f t="shared" si="13"/>
        <v>3.5235624729788174E-2</v>
      </c>
      <c r="N148" s="180">
        <f t="shared" si="10"/>
        <v>8.5299096445138178E-3</v>
      </c>
      <c r="O148" s="180">
        <f t="shared" si="11"/>
        <v>2.5060408774836184E-2</v>
      </c>
    </row>
    <row r="149" spans="9:15" x14ac:dyDescent="0.35">
      <c r="I149" s="408" t="s">
        <v>564</v>
      </c>
      <c r="J149" s="409">
        <v>45487</v>
      </c>
      <c r="K149" s="407">
        <v>947.71</v>
      </c>
      <c r="L149" s="41">
        <f t="shared" si="12"/>
        <v>8.5299096445138178E-3</v>
      </c>
      <c r="M149" s="41">
        <f t="shared" si="13"/>
        <v>2.5060408774836184E-2</v>
      </c>
      <c r="N149" s="180">
        <f t="shared" si="10"/>
        <v>-3.199439002476278E-3</v>
      </c>
      <c r="O149" s="180">
        <f t="shared" si="11"/>
        <v>1.8076109936575437E-3</v>
      </c>
    </row>
    <row r="150" spans="9:15" x14ac:dyDescent="0.35">
      <c r="I150" s="408" t="s">
        <v>565</v>
      </c>
      <c r="J150" s="409">
        <v>45633</v>
      </c>
      <c r="K150" s="407">
        <v>946</v>
      </c>
      <c r="L150" s="41">
        <f t="shared" si="12"/>
        <v>-3.199439002476278E-3</v>
      </c>
      <c r="M150" s="41">
        <f t="shared" si="13"/>
        <v>1.8076109936575437E-3</v>
      </c>
      <c r="N150" s="180">
        <f t="shared" si="10"/>
        <v>6.9314586994727589E-2</v>
      </c>
      <c r="O150" s="180">
        <f t="shared" si="11"/>
        <v>-6.427761206570605E-3</v>
      </c>
    </row>
    <row r="151" spans="9:15" x14ac:dyDescent="0.35">
      <c r="I151" s="408" t="s">
        <v>566</v>
      </c>
      <c r="J151" s="409">
        <v>42675</v>
      </c>
      <c r="K151" s="407">
        <v>952.12</v>
      </c>
      <c r="L151" s="41">
        <f t="shared" si="12"/>
        <v>6.9314586994727589E-2</v>
      </c>
      <c r="M151" s="41">
        <f t="shared" si="13"/>
        <v>-6.427761206570605E-3</v>
      </c>
      <c r="N151" s="180">
        <f t="shared" si="10"/>
        <v>2.0884168221616192E-2</v>
      </c>
      <c r="O151" s="180">
        <f t="shared" si="11"/>
        <v>-8.8794045698224883E-3</v>
      </c>
    </row>
    <row r="152" spans="9:15" x14ac:dyDescent="0.35">
      <c r="I152" s="408" t="s">
        <v>567</v>
      </c>
      <c r="J152" s="409">
        <v>41802</v>
      </c>
      <c r="K152" s="407">
        <v>960.65</v>
      </c>
      <c r="L152" s="41">
        <f t="shared" si="12"/>
        <v>2.0884168221616192E-2</v>
      </c>
      <c r="M152" s="41">
        <f t="shared" si="13"/>
        <v>-8.8794045698224883E-3</v>
      </c>
      <c r="N152" s="180">
        <f t="shared" si="10"/>
        <v>0</v>
      </c>
      <c r="O152" s="180">
        <f t="shared" si="11"/>
        <v>-8.9546387711100066E-3</v>
      </c>
    </row>
    <row r="153" spans="9:15" x14ac:dyDescent="0.35">
      <c r="I153" s="408" t="s">
        <v>568</v>
      </c>
      <c r="J153" s="409">
        <v>41802</v>
      </c>
      <c r="K153" s="407">
        <v>969.33</v>
      </c>
      <c r="L153" s="41">
        <f t="shared" si="12"/>
        <v>0</v>
      </c>
      <c r="M153" s="41">
        <f t="shared" si="13"/>
        <v>-8.9546387711100066E-3</v>
      </c>
      <c r="N153" s="180">
        <f t="shared" si="10"/>
        <v>1.2939808083745275E-2</v>
      </c>
      <c r="O153" s="180">
        <f t="shared" si="11"/>
        <v>7.2220044157450032E-5</v>
      </c>
    </row>
    <row r="154" spans="9:15" x14ac:dyDescent="0.35">
      <c r="I154" s="408" t="s">
        <v>569</v>
      </c>
      <c r="J154" s="409">
        <v>41268</v>
      </c>
      <c r="K154" s="407">
        <v>969.26</v>
      </c>
      <c r="L154" s="41">
        <f t="shared" si="12"/>
        <v>1.2939808083745275E-2</v>
      </c>
      <c r="M154" s="41">
        <f t="shared" si="13"/>
        <v>7.2220044157450032E-5</v>
      </c>
      <c r="N154" s="180">
        <f t="shared" si="10"/>
        <v>6.9091474314136939E-2</v>
      </c>
      <c r="O154" s="180">
        <f t="shared" si="11"/>
        <v>2.795630501643866E-2</v>
      </c>
    </row>
    <row r="155" spans="9:15" x14ac:dyDescent="0.35">
      <c r="I155" s="408" t="s">
        <v>570</v>
      </c>
      <c r="J155" s="409">
        <v>38601</v>
      </c>
      <c r="K155" s="407">
        <v>942.9</v>
      </c>
      <c r="L155" s="41">
        <f t="shared" si="12"/>
        <v>6.9091474314136939E-2</v>
      </c>
      <c r="M155" s="41">
        <f t="shared" si="13"/>
        <v>2.795630501643866E-2</v>
      </c>
      <c r="N155" s="180">
        <f t="shared" si="10"/>
        <v>6.9872505543237248E-2</v>
      </c>
      <c r="O155" s="180">
        <f t="shared" si="11"/>
        <v>3.3994955587235441E-2</v>
      </c>
    </row>
    <row r="156" spans="9:15" x14ac:dyDescent="0.35">
      <c r="I156" s="408" t="s">
        <v>571</v>
      </c>
      <c r="J156" s="409">
        <v>36080</v>
      </c>
      <c r="K156" s="407">
        <v>911.9</v>
      </c>
      <c r="L156" s="41">
        <f t="shared" si="12"/>
        <v>6.9872505543237248E-2</v>
      </c>
      <c r="M156" s="41">
        <f t="shared" si="13"/>
        <v>3.3994955587235441E-2</v>
      </c>
      <c r="N156" s="180">
        <f t="shared" si="10"/>
        <v>-6.9983245263564892E-2</v>
      </c>
      <c r="O156" s="180">
        <f t="shared" si="11"/>
        <v>-3.0965740032304671E-2</v>
      </c>
    </row>
    <row r="157" spans="9:15" x14ac:dyDescent="0.35">
      <c r="I157" s="408" t="s">
        <v>572</v>
      </c>
      <c r="J157" s="409">
        <v>38795</v>
      </c>
      <c r="K157" s="407">
        <v>941.04</v>
      </c>
      <c r="L157" s="41">
        <f t="shared" si="12"/>
        <v>-6.9983245263564892E-2</v>
      </c>
      <c r="M157" s="41">
        <f t="shared" si="13"/>
        <v>-3.0965740032304671E-2</v>
      </c>
      <c r="N157" s="180">
        <f t="shared" si="10"/>
        <v>-6.9775806258242423E-2</v>
      </c>
      <c r="O157" s="180">
        <f t="shared" si="11"/>
        <v>-1.4132609766062889E-2</v>
      </c>
    </row>
    <row r="158" spans="9:15" x14ac:dyDescent="0.35">
      <c r="I158" s="408">
        <v>44876</v>
      </c>
      <c r="J158" s="409">
        <v>41705</v>
      </c>
      <c r="K158" s="407">
        <v>954.53</v>
      </c>
      <c r="L158" s="41">
        <f t="shared" si="12"/>
        <v>-6.9775806258242423E-2</v>
      </c>
      <c r="M158" s="41">
        <f t="shared" si="13"/>
        <v>-1.4132609766062889E-2</v>
      </c>
      <c r="N158" s="180">
        <f t="shared" si="10"/>
        <v>-1.7133295625942686E-2</v>
      </c>
      <c r="O158" s="180">
        <f t="shared" si="11"/>
        <v>7.6960432414171316E-3</v>
      </c>
    </row>
    <row r="159" spans="9:15" x14ac:dyDescent="0.35">
      <c r="I159" s="408">
        <v>44845</v>
      </c>
      <c r="J159" s="409">
        <v>42432</v>
      </c>
      <c r="K159" s="407">
        <v>947.24</v>
      </c>
      <c r="L159" s="41">
        <f t="shared" si="12"/>
        <v>-1.7133295625942686E-2</v>
      </c>
      <c r="M159" s="41">
        <f t="shared" si="13"/>
        <v>7.6960432414171316E-3</v>
      </c>
      <c r="N159" s="180">
        <f t="shared" si="10"/>
        <v>-6.9147069147069154E-2</v>
      </c>
      <c r="O159" s="180">
        <f t="shared" si="11"/>
        <v>-3.891070323359614E-2</v>
      </c>
    </row>
    <row r="160" spans="9:15" x14ac:dyDescent="0.35">
      <c r="I160" s="408">
        <v>44815</v>
      </c>
      <c r="J160" s="409">
        <v>45584</v>
      </c>
      <c r="K160" s="407">
        <v>985.59</v>
      </c>
      <c r="L160" s="41">
        <f t="shared" si="12"/>
        <v>-6.9147069147069154E-2</v>
      </c>
      <c r="M160" s="41">
        <f t="shared" si="13"/>
        <v>-3.891070323359614E-2</v>
      </c>
      <c r="N160" s="180">
        <f t="shared" si="10"/>
        <v>2.1742054063746807E-2</v>
      </c>
      <c r="O160" s="180">
        <f t="shared" si="11"/>
        <v>4.0136504864259712E-3</v>
      </c>
    </row>
    <row r="161" spans="9:15" x14ac:dyDescent="0.35">
      <c r="I161" s="408">
        <v>44784</v>
      </c>
      <c r="J161" s="409">
        <v>44614</v>
      </c>
      <c r="K161" s="407">
        <v>981.65</v>
      </c>
      <c r="L161" s="41">
        <f t="shared" si="12"/>
        <v>2.1742054063746807E-2</v>
      </c>
      <c r="M161" s="41">
        <f t="shared" si="13"/>
        <v>4.0136504864259712E-3</v>
      </c>
      <c r="N161" s="180">
        <f t="shared" si="10"/>
        <v>-3.6664363447918465E-2</v>
      </c>
      <c r="O161" s="180">
        <f t="shared" si="11"/>
        <v>6.6243501266419081E-3</v>
      </c>
    </row>
    <row r="162" spans="9:15" x14ac:dyDescent="0.35">
      <c r="I162" s="408">
        <v>44753</v>
      </c>
      <c r="J162" s="409">
        <v>46312</v>
      </c>
      <c r="K162" s="407">
        <v>975.19</v>
      </c>
      <c r="L162" s="41">
        <f t="shared" si="12"/>
        <v>-3.6664363447918465E-2</v>
      </c>
      <c r="M162" s="41">
        <f t="shared" si="13"/>
        <v>6.6243501266419081E-3</v>
      </c>
      <c r="N162" s="180">
        <f t="shared" ref="N162:N225" si="14">(J162-J163)/J163</f>
        <v>-6.9199075469802029E-2</v>
      </c>
      <c r="O162" s="180">
        <f t="shared" si="11"/>
        <v>-2.2022764879907661E-2</v>
      </c>
    </row>
    <row r="163" spans="9:15" x14ac:dyDescent="0.35">
      <c r="I163" s="408">
        <v>44662</v>
      </c>
      <c r="J163" s="409">
        <v>49755</v>
      </c>
      <c r="K163" s="407">
        <v>997.15</v>
      </c>
      <c r="L163" s="41">
        <f t="shared" si="12"/>
        <v>-6.9199075469802029E-2</v>
      </c>
      <c r="M163" s="41">
        <f t="shared" si="13"/>
        <v>-2.2022764879907661E-2</v>
      </c>
      <c r="N163" s="180">
        <f t="shared" si="14"/>
        <v>-3.5718438699174383E-2</v>
      </c>
      <c r="O163" s="180">
        <f t="shared" si="11"/>
        <v>-2.22198252615683E-2</v>
      </c>
    </row>
    <row r="164" spans="9:15" x14ac:dyDescent="0.35">
      <c r="I164" s="408">
        <v>44631</v>
      </c>
      <c r="J164" s="409">
        <v>51598</v>
      </c>
      <c r="K164" s="409">
        <v>1019.81</v>
      </c>
      <c r="L164" s="41">
        <f t="shared" si="12"/>
        <v>-3.5718438699174383E-2</v>
      </c>
      <c r="M164" s="41">
        <f t="shared" si="13"/>
        <v>-2.22198252615683E-2</v>
      </c>
      <c r="N164" s="180">
        <f t="shared" si="14"/>
        <v>-2.2042796762760372E-2</v>
      </c>
      <c r="O164" s="180">
        <f t="shared" si="11"/>
        <v>-3.3033942864962606E-3</v>
      </c>
    </row>
    <row r="165" spans="9:15" x14ac:dyDescent="0.35">
      <c r="I165" s="408">
        <v>44603</v>
      </c>
      <c r="J165" s="409">
        <v>52761</v>
      </c>
      <c r="K165" s="409">
        <v>1023.19</v>
      </c>
      <c r="L165" s="41">
        <f t="shared" si="12"/>
        <v>-2.2042796762760372E-2</v>
      </c>
      <c r="M165" s="41">
        <f t="shared" si="13"/>
        <v>-3.3033942864962606E-3</v>
      </c>
      <c r="N165" s="180">
        <f t="shared" si="14"/>
        <v>1.680510320106381E-2</v>
      </c>
      <c r="O165" s="180">
        <f t="shared" si="11"/>
        <v>-1.0215235792019293E-2</v>
      </c>
    </row>
    <row r="166" spans="9:15" x14ac:dyDescent="0.35">
      <c r="I166" s="408">
        <v>44572</v>
      </c>
      <c r="J166" s="409">
        <v>51889</v>
      </c>
      <c r="K166" s="409">
        <v>1033.75</v>
      </c>
      <c r="L166" s="41">
        <f t="shared" si="12"/>
        <v>1.680510320106381E-2</v>
      </c>
      <c r="M166" s="41">
        <f t="shared" si="13"/>
        <v>-1.0215235792019293E-2</v>
      </c>
      <c r="N166" s="180">
        <f t="shared" si="14"/>
        <v>3.752780733146339E-3</v>
      </c>
      <c r="O166" s="180">
        <f t="shared" ref="O166:O229" si="15">(K166-K167)/K167</f>
        <v>5.6520808607505744E-3</v>
      </c>
    </row>
    <row r="167" spans="9:15" x14ac:dyDescent="0.35">
      <c r="I167" s="408" t="s">
        <v>573</v>
      </c>
      <c r="J167" s="409">
        <v>51695</v>
      </c>
      <c r="K167" s="409">
        <v>1027.94</v>
      </c>
      <c r="L167" s="41">
        <f t="shared" si="12"/>
        <v>3.752780733146339E-3</v>
      </c>
      <c r="M167" s="41">
        <f t="shared" si="13"/>
        <v>5.6520808607505744E-3</v>
      </c>
      <c r="N167" s="180">
        <f t="shared" si="14"/>
        <v>-3.0894400389929324E-2</v>
      </c>
      <c r="O167" s="180">
        <f t="shared" si="15"/>
        <v>5.6455380781824738E-4</v>
      </c>
    </row>
    <row r="168" spans="9:15" x14ac:dyDescent="0.35">
      <c r="I168" s="408" t="s">
        <v>574</v>
      </c>
      <c r="J168" s="409">
        <v>53343</v>
      </c>
      <c r="K168" s="409">
        <v>1027.3599999999999</v>
      </c>
      <c r="L168" s="41">
        <f t="shared" si="12"/>
        <v>-3.0894400389929324E-2</v>
      </c>
      <c r="M168" s="41">
        <f t="shared" si="13"/>
        <v>5.6455380781824738E-4</v>
      </c>
      <c r="N168" s="180">
        <f t="shared" si="14"/>
        <v>2.6103181625822338E-2</v>
      </c>
      <c r="O168" s="180">
        <f t="shared" si="15"/>
        <v>-6.322895691677036E-4</v>
      </c>
    </row>
    <row r="169" spans="9:15" x14ac:dyDescent="0.35">
      <c r="I169" s="408" t="s">
        <v>575</v>
      </c>
      <c r="J169" s="409">
        <v>51986</v>
      </c>
      <c r="K169" s="409">
        <v>1028.01</v>
      </c>
      <c r="L169" s="41">
        <f t="shared" si="12"/>
        <v>2.6103181625822338E-2</v>
      </c>
      <c r="M169" s="41">
        <f t="shared" si="13"/>
        <v>-6.322895691677036E-4</v>
      </c>
      <c r="N169" s="180">
        <f t="shared" si="14"/>
        <v>3.0772891303485744E-2</v>
      </c>
      <c r="O169" s="180">
        <f t="shared" si="15"/>
        <v>3.4881613916404902E-2</v>
      </c>
    </row>
    <row r="170" spans="9:15" x14ac:dyDescent="0.35">
      <c r="I170" s="408" t="s">
        <v>576</v>
      </c>
      <c r="J170" s="409">
        <v>50434</v>
      </c>
      <c r="K170" s="407">
        <v>993.36</v>
      </c>
      <c r="L170" s="41">
        <f t="shared" si="12"/>
        <v>3.0772891303485744E-2</v>
      </c>
      <c r="M170" s="41">
        <f t="shared" si="13"/>
        <v>3.4881613916404902E-2</v>
      </c>
      <c r="N170" s="180">
        <f t="shared" si="14"/>
        <v>-1.140818566724165E-2</v>
      </c>
      <c r="O170" s="180">
        <f t="shared" si="15"/>
        <v>-4.3500050115265424E-3</v>
      </c>
    </row>
    <row r="171" spans="9:15" x14ac:dyDescent="0.35">
      <c r="I171" s="408" t="s">
        <v>577</v>
      </c>
      <c r="J171" s="409">
        <v>51016</v>
      </c>
      <c r="K171" s="407">
        <v>997.7</v>
      </c>
      <c r="L171" s="41">
        <f t="shared" si="12"/>
        <v>-1.140818566724165E-2</v>
      </c>
      <c r="M171" s="41">
        <f t="shared" si="13"/>
        <v>-4.3500050115265424E-3</v>
      </c>
      <c r="N171" s="180">
        <f t="shared" si="14"/>
        <v>-5.6717406981503498E-3</v>
      </c>
      <c r="O171" s="180">
        <f t="shared" si="15"/>
        <v>1.1712214166201966E-2</v>
      </c>
    </row>
    <row r="172" spans="9:15" x14ac:dyDescent="0.35">
      <c r="I172" s="408" t="s">
        <v>578</v>
      </c>
      <c r="J172" s="409">
        <v>51307</v>
      </c>
      <c r="K172" s="407">
        <v>986.15</v>
      </c>
      <c r="L172" s="41">
        <f t="shared" si="12"/>
        <v>-5.6717406981503498E-3</v>
      </c>
      <c r="M172" s="41">
        <f t="shared" si="13"/>
        <v>1.1712214166201966E-2</v>
      </c>
      <c r="N172" s="180">
        <f t="shared" si="14"/>
        <v>0</v>
      </c>
      <c r="O172" s="180">
        <f t="shared" si="15"/>
        <v>-3.3015630209252682E-2</v>
      </c>
    </row>
    <row r="173" spans="9:15" x14ac:dyDescent="0.35">
      <c r="I173" s="408" t="s">
        <v>579</v>
      </c>
      <c r="J173" s="409">
        <v>51307</v>
      </c>
      <c r="K173" s="409">
        <v>1019.82</v>
      </c>
      <c r="L173" s="41">
        <f t="shared" si="12"/>
        <v>0</v>
      </c>
      <c r="M173" s="41">
        <f t="shared" si="13"/>
        <v>-3.3015630209252682E-2</v>
      </c>
      <c r="N173" s="180">
        <f t="shared" si="14"/>
        <v>-6.8652544065058357E-2</v>
      </c>
      <c r="O173" s="180">
        <f t="shared" si="15"/>
        <v>-3.6496764136236946E-2</v>
      </c>
    </row>
    <row r="174" spans="9:15" x14ac:dyDescent="0.35">
      <c r="I174" s="408" t="s">
        <v>580</v>
      </c>
      <c r="J174" s="409">
        <v>55089</v>
      </c>
      <c r="K174" s="409">
        <v>1058.45</v>
      </c>
      <c r="L174" s="41">
        <f t="shared" si="12"/>
        <v>-6.8652544065058357E-2</v>
      </c>
      <c r="M174" s="41">
        <f t="shared" si="13"/>
        <v>-3.6496764136236946E-2</v>
      </c>
      <c r="N174" s="180">
        <f t="shared" si="14"/>
        <v>-8.7271026019361576E-3</v>
      </c>
      <c r="O174" s="180">
        <f t="shared" si="15"/>
        <v>-1.52820096786051E-3</v>
      </c>
    </row>
    <row r="175" spans="9:15" x14ac:dyDescent="0.35">
      <c r="I175" s="408" t="s">
        <v>581</v>
      </c>
      <c r="J175" s="409">
        <v>55574</v>
      </c>
      <c r="K175" s="409">
        <v>1060.07</v>
      </c>
      <c r="L175" s="41">
        <f t="shared" si="12"/>
        <v>-8.7271026019361576E-3</v>
      </c>
      <c r="M175" s="41">
        <f t="shared" si="13"/>
        <v>-1.52820096786051E-3</v>
      </c>
      <c r="N175" s="180">
        <f t="shared" si="14"/>
        <v>3.503069700252799E-3</v>
      </c>
      <c r="O175" s="180">
        <f t="shared" si="15"/>
        <v>-3.375138672132209E-3</v>
      </c>
    </row>
    <row r="176" spans="9:15" x14ac:dyDescent="0.35">
      <c r="I176" s="408" t="s">
        <v>582</v>
      </c>
      <c r="J176" s="409">
        <v>55380</v>
      </c>
      <c r="K176" s="409">
        <v>1063.6600000000001</v>
      </c>
      <c r="L176" s="41">
        <f t="shared" si="12"/>
        <v>3.503069700252799E-3</v>
      </c>
      <c r="M176" s="41">
        <f t="shared" si="13"/>
        <v>-3.375138672132209E-3</v>
      </c>
      <c r="N176" s="180">
        <f t="shared" si="14"/>
        <v>-1.3818648051855545E-2</v>
      </c>
      <c r="O176" s="180">
        <f t="shared" si="15"/>
        <v>1.1487475988512671E-2</v>
      </c>
    </row>
    <row r="177" spans="9:15" x14ac:dyDescent="0.35">
      <c r="I177" s="408" t="s">
        <v>583</v>
      </c>
      <c r="J177" s="409">
        <v>56156</v>
      </c>
      <c r="K177" s="409">
        <v>1051.58</v>
      </c>
      <c r="L177" s="41">
        <f t="shared" si="12"/>
        <v>-1.3818648051855545E-2</v>
      </c>
      <c r="M177" s="41">
        <f t="shared" si="13"/>
        <v>1.1487475988512671E-2</v>
      </c>
      <c r="N177" s="180">
        <f t="shared" si="14"/>
        <v>5.27341919277131E-2</v>
      </c>
      <c r="O177" s="180">
        <f t="shared" si="15"/>
        <v>-9.6717992183453245E-3</v>
      </c>
    </row>
    <row r="178" spans="9:15" x14ac:dyDescent="0.35">
      <c r="I178" s="408" t="s">
        <v>584</v>
      </c>
      <c r="J178" s="409">
        <v>53343</v>
      </c>
      <c r="K178" s="409">
        <v>1061.8499999999999</v>
      </c>
      <c r="L178" s="41">
        <f t="shared" si="12"/>
        <v>5.27341919277131E-2</v>
      </c>
      <c r="M178" s="41">
        <f t="shared" si="13"/>
        <v>-9.6717992183453245E-3</v>
      </c>
      <c r="N178" s="180">
        <f t="shared" si="14"/>
        <v>1.4762113112789393E-2</v>
      </c>
      <c r="O178" s="180">
        <f t="shared" si="15"/>
        <v>1.0333114492050257E-2</v>
      </c>
    </row>
    <row r="179" spans="9:15" x14ac:dyDescent="0.35">
      <c r="I179" s="408" t="s">
        <v>585</v>
      </c>
      <c r="J179" s="409">
        <v>52567</v>
      </c>
      <c r="K179" s="409">
        <v>1050.99</v>
      </c>
      <c r="L179" s="41">
        <f t="shared" si="12"/>
        <v>1.4762113112789393E-2</v>
      </c>
      <c r="M179" s="41">
        <f t="shared" si="13"/>
        <v>1.0333114492050257E-2</v>
      </c>
      <c r="N179" s="180">
        <f t="shared" si="14"/>
        <v>3.6850345591323938E-3</v>
      </c>
      <c r="O179" s="180">
        <f t="shared" si="15"/>
        <v>1.5635720567060682E-2</v>
      </c>
    </row>
    <row r="180" spans="9:15" x14ac:dyDescent="0.35">
      <c r="I180" s="408">
        <v>44905</v>
      </c>
      <c r="J180" s="409">
        <v>52374</v>
      </c>
      <c r="K180" s="409">
        <v>1034.81</v>
      </c>
      <c r="L180" s="41">
        <f t="shared" si="12"/>
        <v>3.6850345591323938E-3</v>
      </c>
      <c r="M180" s="41">
        <f t="shared" si="13"/>
        <v>1.5635720567060682E-2</v>
      </c>
      <c r="N180" s="180">
        <f t="shared" si="14"/>
        <v>3.846611412935718E-2</v>
      </c>
      <c r="O180" s="180">
        <f t="shared" si="15"/>
        <v>2.8433710991850426E-2</v>
      </c>
    </row>
    <row r="181" spans="9:15" x14ac:dyDescent="0.35">
      <c r="I181" s="408">
        <v>44875</v>
      </c>
      <c r="J181" s="409">
        <v>50434</v>
      </c>
      <c r="K181" s="409">
        <v>1006.2</v>
      </c>
      <c r="L181" s="41">
        <f t="shared" si="12"/>
        <v>3.846611412935718E-2</v>
      </c>
      <c r="M181" s="41">
        <f t="shared" si="13"/>
        <v>2.8433710991850426E-2</v>
      </c>
      <c r="N181" s="180">
        <f t="shared" si="14"/>
        <v>-6.975800501696916E-2</v>
      </c>
      <c r="O181" s="180">
        <f t="shared" si="15"/>
        <v>-3.4801626889724477E-2</v>
      </c>
    </row>
    <row r="182" spans="9:15" x14ac:dyDescent="0.35">
      <c r="I182" s="408">
        <v>44844</v>
      </c>
      <c r="J182" s="409">
        <v>54216</v>
      </c>
      <c r="K182" s="409">
        <v>1042.48</v>
      </c>
      <c r="L182" s="41">
        <f t="shared" si="12"/>
        <v>-6.975800501696916E-2</v>
      </c>
      <c r="M182" s="41">
        <f t="shared" si="13"/>
        <v>-3.4801626889724477E-2</v>
      </c>
      <c r="N182" s="180">
        <f t="shared" si="14"/>
        <v>3.7090881267096427E-2</v>
      </c>
      <c r="O182" s="180">
        <f t="shared" si="15"/>
        <v>6.3422498093463099E-3</v>
      </c>
    </row>
    <row r="183" spans="9:15" x14ac:dyDescent="0.35">
      <c r="I183" s="408">
        <v>44752</v>
      </c>
      <c r="J183" s="409">
        <v>52277</v>
      </c>
      <c r="K183" s="409">
        <v>1035.9100000000001</v>
      </c>
      <c r="L183" s="41">
        <f t="shared" si="12"/>
        <v>3.7090881267096427E-2</v>
      </c>
      <c r="M183" s="41">
        <f t="shared" si="13"/>
        <v>6.3422498093463099E-3</v>
      </c>
      <c r="N183" s="180">
        <f t="shared" si="14"/>
        <v>3.4553046644633989E-2</v>
      </c>
      <c r="O183" s="180">
        <f t="shared" si="15"/>
        <v>-3.5932323269925084E-2</v>
      </c>
    </row>
    <row r="184" spans="9:15" x14ac:dyDescent="0.35">
      <c r="I184" s="408">
        <v>44722</v>
      </c>
      <c r="J184" s="409">
        <v>50531</v>
      </c>
      <c r="K184" s="409">
        <v>1074.52</v>
      </c>
      <c r="L184" s="41">
        <f t="shared" si="12"/>
        <v>3.4553046644633989E-2</v>
      </c>
      <c r="M184" s="41">
        <f t="shared" si="13"/>
        <v>-3.5932323269925084E-2</v>
      </c>
      <c r="N184" s="180">
        <f t="shared" si="14"/>
        <v>-2.0679096088995697E-2</v>
      </c>
      <c r="O184" s="180">
        <f t="shared" si="15"/>
        <v>-2.6932063101081274E-2</v>
      </c>
    </row>
    <row r="185" spans="9:15" x14ac:dyDescent="0.35">
      <c r="I185" s="408">
        <v>44691</v>
      </c>
      <c r="J185" s="409">
        <v>51598</v>
      </c>
      <c r="K185" s="409">
        <v>1104.26</v>
      </c>
      <c r="L185" s="41">
        <f t="shared" si="12"/>
        <v>-2.0679096088995697E-2</v>
      </c>
      <c r="M185" s="41">
        <f t="shared" si="13"/>
        <v>-2.6932063101081274E-2</v>
      </c>
      <c r="N185" s="180">
        <f t="shared" si="14"/>
        <v>6.8281573498964798E-2</v>
      </c>
      <c r="O185" s="180">
        <f t="shared" si="15"/>
        <v>2.4226909306768962E-2</v>
      </c>
    </row>
    <row r="186" spans="9:15" x14ac:dyDescent="0.35">
      <c r="I186" s="408">
        <v>44661</v>
      </c>
      <c r="J186" s="409">
        <v>48300</v>
      </c>
      <c r="K186" s="409">
        <v>1078.1400000000001</v>
      </c>
      <c r="L186" s="41">
        <f t="shared" si="12"/>
        <v>6.8281573498964798E-2</v>
      </c>
      <c r="M186" s="41">
        <f t="shared" si="13"/>
        <v>2.4226909306768962E-2</v>
      </c>
      <c r="N186" s="180">
        <f t="shared" si="14"/>
        <v>-1.9687436573980109E-2</v>
      </c>
      <c r="O186" s="180">
        <f t="shared" si="15"/>
        <v>-7.6396303523433911E-3</v>
      </c>
    </row>
    <row r="187" spans="9:15" x14ac:dyDescent="0.35">
      <c r="I187" s="408">
        <v>44630</v>
      </c>
      <c r="J187" s="409">
        <v>49270</v>
      </c>
      <c r="K187" s="409">
        <v>1086.44</v>
      </c>
      <c r="L187" s="41">
        <f t="shared" si="12"/>
        <v>-1.9687436573980109E-2</v>
      </c>
      <c r="M187" s="41">
        <f t="shared" si="13"/>
        <v>-7.6396303523433911E-3</v>
      </c>
      <c r="N187" s="180">
        <f t="shared" si="14"/>
        <v>-6.9587385516004158E-2</v>
      </c>
      <c r="O187" s="180">
        <f t="shared" si="15"/>
        <v>-4.0340602944943377E-2</v>
      </c>
    </row>
    <row r="188" spans="9:15" x14ac:dyDescent="0.35">
      <c r="I188" s="408" t="s">
        <v>586</v>
      </c>
      <c r="J188" s="409">
        <v>52955</v>
      </c>
      <c r="K188" s="409">
        <v>1132.1099999999999</v>
      </c>
      <c r="L188" s="41">
        <f t="shared" si="12"/>
        <v>-6.9587385516004158E-2</v>
      </c>
      <c r="M188" s="41">
        <f t="shared" si="13"/>
        <v>-4.0340602944943377E-2</v>
      </c>
      <c r="N188" s="180">
        <f t="shared" si="14"/>
        <v>3.8007683863885838E-2</v>
      </c>
      <c r="O188" s="180">
        <f t="shared" si="15"/>
        <v>5.363787331160553E-3</v>
      </c>
    </row>
    <row r="189" spans="9:15" x14ac:dyDescent="0.35">
      <c r="I189" s="408" t="s">
        <v>587</v>
      </c>
      <c r="J189" s="409">
        <v>51016</v>
      </c>
      <c r="K189" s="409">
        <v>1126.07</v>
      </c>
      <c r="L189" s="41">
        <f t="shared" si="12"/>
        <v>3.8007683863885838E-2</v>
      </c>
      <c r="M189" s="41">
        <f t="shared" si="13"/>
        <v>5.363787331160553E-3</v>
      </c>
      <c r="N189" s="180">
        <f t="shared" si="14"/>
        <v>-6.9017117413044268E-2</v>
      </c>
      <c r="O189" s="180">
        <f t="shared" si="15"/>
        <v>-1.5346006540634088E-2</v>
      </c>
    </row>
    <row r="190" spans="9:15" x14ac:dyDescent="0.35">
      <c r="I190" s="408" t="s">
        <v>588</v>
      </c>
      <c r="J190" s="409">
        <v>54798</v>
      </c>
      <c r="K190" s="409">
        <v>1143.6199999999999</v>
      </c>
      <c r="L190" s="41">
        <f t="shared" si="12"/>
        <v>-6.9017117413044268E-2</v>
      </c>
      <c r="M190" s="41">
        <f t="shared" si="13"/>
        <v>-1.5346006540634088E-2</v>
      </c>
      <c r="N190" s="180">
        <f t="shared" si="14"/>
        <v>5.3387638284990921E-3</v>
      </c>
      <c r="O190" s="180">
        <f t="shared" si="15"/>
        <v>-1.964784748058367E-2</v>
      </c>
    </row>
    <row r="191" spans="9:15" x14ac:dyDescent="0.35">
      <c r="I191" s="408" t="s">
        <v>589</v>
      </c>
      <c r="J191" s="409">
        <v>54507</v>
      </c>
      <c r="K191" s="409">
        <v>1166.54</v>
      </c>
      <c r="L191" s="41">
        <f t="shared" si="12"/>
        <v>5.3387638284990921E-3</v>
      </c>
      <c r="M191" s="41">
        <f t="shared" si="13"/>
        <v>-1.964784748058367E-2</v>
      </c>
      <c r="N191" s="180">
        <f t="shared" si="14"/>
        <v>-6.9544732933886411E-2</v>
      </c>
      <c r="O191" s="180">
        <f t="shared" si="15"/>
        <v>-6.6504875037254191E-3</v>
      </c>
    </row>
    <row r="192" spans="9:15" x14ac:dyDescent="0.35">
      <c r="I192" s="408" t="s">
        <v>590</v>
      </c>
      <c r="J192" s="409">
        <v>58581</v>
      </c>
      <c r="K192" s="409">
        <v>1174.3499999999999</v>
      </c>
      <c r="L192" s="41">
        <f t="shared" si="12"/>
        <v>-6.9544732933886411E-2</v>
      </c>
      <c r="M192" s="41">
        <f t="shared" si="13"/>
        <v>-6.6504875037254191E-3</v>
      </c>
      <c r="N192" s="180">
        <f t="shared" si="14"/>
        <v>-6.9330367781396451E-2</v>
      </c>
      <c r="O192" s="180">
        <f t="shared" si="15"/>
        <v>-2.4042616847284145E-2</v>
      </c>
    </row>
    <row r="193" spans="9:15" x14ac:dyDescent="0.35">
      <c r="I193" s="408" t="s">
        <v>591</v>
      </c>
      <c r="J193" s="409">
        <v>62945</v>
      </c>
      <c r="K193" s="409">
        <v>1203.28</v>
      </c>
      <c r="L193" s="41">
        <f t="shared" si="12"/>
        <v>-6.9330367781396451E-2</v>
      </c>
      <c r="M193" s="41">
        <f t="shared" si="13"/>
        <v>-2.4042616847284145E-2</v>
      </c>
      <c r="N193" s="180">
        <f t="shared" si="14"/>
        <v>-3.8523225441825654E-2</v>
      </c>
      <c r="O193" s="180">
        <f t="shared" si="15"/>
        <v>-9.4014983123405556E-3</v>
      </c>
    </row>
    <row r="194" spans="9:15" x14ac:dyDescent="0.35">
      <c r="I194" s="408" t="s">
        <v>592</v>
      </c>
      <c r="J194" s="409">
        <v>65467</v>
      </c>
      <c r="K194" s="409">
        <v>1214.7</v>
      </c>
      <c r="L194" s="41">
        <f t="shared" si="12"/>
        <v>-3.8523225441825654E-2</v>
      </c>
      <c r="M194" s="41">
        <f t="shared" si="13"/>
        <v>-9.4014983123405556E-3</v>
      </c>
      <c r="N194" s="180">
        <f t="shared" si="14"/>
        <v>3.0538196357454309E-2</v>
      </c>
      <c r="O194" s="180">
        <f t="shared" si="15"/>
        <v>3.4281937962084104E-3</v>
      </c>
    </row>
    <row r="195" spans="9:15" x14ac:dyDescent="0.35">
      <c r="I195" s="408" t="s">
        <v>593</v>
      </c>
      <c r="J195" s="409">
        <v>63527</v>
      </c>
      <c r="K195" s="409">
        <v>1210.55</v>
      </c>
      <c r="L195" s="41">
        <f t="shared" si="12"/>
        <v>3.0538196357454309E-2</v>
      </c>
      <c r="M195" s="41">
        <f t="shared" si="13"/>
        <v>3.4281937962084104E-3</v>
      </c>
      <c r="N195" s="180">
        <f t="shared" si="14"/>
        <v>2.18436841512651E-2</v>
      </c>
      <c r="O195" s="180">
        <f t="shared" si="15"/>
        <v>-6.8748820686996863E-3</v>
      </c>
    </row>
    <row r="196" spans="9:15" x14ac:dyDescent="0.35">
      <c r="I196" s="408" t="s">
        <v>594</v>
      </c>
      <c r="J196" s="409">
        <v>62169</v>
      </c>
      <c r="K196" s="409">
        <v>1218.93</v>
      </c>
      <c r="L196" s="41">
        <f t="shared" ref="L196:L259" si="16">(J195-J196)/J196</f>
        <v>2.18436841512651E-2</v>
      </c>
      <c r="M196" s="41">
        <f t="shared" ref="M196:M259" si="17">(K195-K196)/K196</f>
        <v>-6.8748820686996863E-3</v>
      </c>
      <c r="N196" s="180">
        <f t="shared" si="14"/>
        <v>1.5849932188434453E-2</v>
      </c>
      <c r="O196" s="180">
        <f t="shared" si="15"/>
        <v>1.1199323063139295E-2</v>
      </c>
    </row>
    <row r="197" spans="9:15" x14ac:dyDescent="0.35">
      <c r="I197" s="408" t="s">
        <v>595</v>
      </c>
      <c r="J197" s="409">
        <v>61199</v>
      </c>
      <c r="K197" s="409">
        <v>1205.43</v>
      </c>
      <c r="L197" s="41">
        <f t="shared" si="16"/>
        <v>1.5849932188434453E-2</v>
      </c>
      <c r="M197" s="41">
        <f t="shared" si="17"/>
        <v>1.1199323063139295E-2</v>
      </c>
      <c r="N197" s="180">
        <f t="shared" si="14"/>
        <v>-3.5172631247043985E-2</v>
      </c>
      <c r="O197" s="180">
        <f t="shared" si="15"/>
        <v>-2.3176097825822639E-2</v>
      </c>
    </row>
    <row r="198" spans="9:15" x14ac:dyDescent="0.35">
      <c r="I198" s="408" t="s">
        <v>596</v>
      </c>
      <c r="J198" s="409">
        <v>63430</v>
      </c>
      <c r="K198" s="409">
        <v>1234.03</v>
      </c>
      <c r="L198" s="41">
        <f t="shared" si="16"/>
        <v>-3.5172631247043985E-2</v>
      </c>
      <c r="M198" s="41">
        <f t="shared" si="17"/>
        <v>-2.3176097825822639E-2</v>
      </c>
      <c r="N198" s="180">
        <f t="shared" si="14"/>
        <v>-5.4919840276536146E-2</v>
      </c>
      <c r="O198" s="180">
        <f t="shared" si="15"/>
        <v>-9.3364160364787403E-3</v>
      </c>
    </row>
    <row r="199" spans="9:15" x14ac:dyDescent="0.35">
      <c r="I199" s="408" t="s">
        <v>597</v>
      </c>
      <c r="J199" s="409">
        <v>67116</v>
      </c>
      <c r="K199" s="409">
        <v>1245.6600000000001</v>
      </c>
      <c r="L199" s="41">
        <f t="shared" si="16"/>
        <v>-5.4919840276536146E-2</v>
      </c>
      <c r="M199" s="41">
        <f t="shared" si="17"/>
        <v>-9.3364160364787403E-3</v>
      </c>
      <c r="N199" s="180">
        <f t="shared" si="14"/>
        <v>-5.7478075373311212E-3</v>
      </c>
      <c r="O199" s="180">
        <f t="shared" si="15"/>
        <v>3.9411010904519773E-3</v>
      </c>
    </row>
    <row r="200" spans="9:15" x14ac:dyDescent="0.35">
      <c r="I200" s="408" t="s">
        <v>598</v>
      </c>
      <c r="J200" s="409">
        <v>67504</v>
      </c>
      <c r="K200" s="409">
        <v>1240.77</v>
      </c>
      <c r="L200" s="41">
        <f t="shared" si="16"/>
        <v>-5.7478075373311212E-3</v>
      </c>
      <c r="M200" s="41">
        <f t="shared" si="17"/>
        <v>3.9411010904519773E-3</v>
      </c>
      <c r="N200" s="180">
        <f t="shared" si="14"/>
        <v>1.4579012234346348E-2</v>
      </c>
      <c r="O200" s="180">
        <f t="shared" si="15"/>
        <v>-6.1118231336111089E-3</v>
      </c>
    </row>
    <row r="201" spans="9:15" x14ac:dyDescent="0.35">
      <c r="I201" s="408" t="s">
        <v>599</v>
      </c>
      <c r="J201" s="409">
        <v>66534</v>
      </c>
      <c r="K201" s="409">
        <v>1248.4000000000001</v>
      </c>
      <c r="L201" s="41">
        <f t="shared" si="16"/>
        <v>1.4579012234346348E-2</v>
      </c>
      <c r="M201" s="41">
        <f t="shared" si="17"/>
        <v>-6.1118231336111089E-3</v>
      </c>
      <c r="N201" s="180">
        <f t="shared" si="14"/>
        <v>7.3430332026222954E-3</v>
      </c>
      <c r="O201" s="180">
        <f t="shared" si="15"/>
        <v>-9.7629679422528448E-4</v>
      </c>
    </row>
    <row r="202" spans="9:15" x14ac:dyDescent="0.35">
      <c r="I202" s="408">
        <v>44904</v>
      </c>
      <c r="J202" s="409">
        <v>66049</v>
      </c>
      <c r="K202" s="409">
        <v>1249.6199999999999</v>
      </c>
      <c r="L202" s="41">
        <f t="shared" si="16"/>
        <v>7.3430332026222954E-3</v>
      </c>
      <c r="M202" s="41">
        <f t="shared" si="17"/>
        <v>-9.7629679422528448E-4</v>
      </c>
      <c r="N202" s="180">
        <f t="shared" si="14"/>
        <v>-5.8401192106807952E-3</v>
      </c>
      <c r="O202" s="180">
        <f t="shared" si="15"/>
        <v>6.7265651275638476E-4</v>
      </c>
    </row>
    <row r="203" spans="9:15" x14ac:dyDescent="0.35">
      <c r="I203" s="408">
        <v>44813</v>
      </c>
      <c r="J203" s="409">
        <v>66437</v>
      </c>
      <c r="K203" s="409">
        <v>1248.78</v>
      </c>
      <c r="L203" s="41">
        <f t="shared" si="16"/>
        <v>-5.8401192106807952E-3</v>
      </c>
      <c r="M203" s="41">
        <f t="shared" si="17"/>
        <v>6.7265651275638476E-4</v>
      </c>
      <c r="N203" s="180">
        <f t="shared" si="14"/>
        <v>3.9458656027536572E-2</v>
      </c>
      <c r="O203" s="180">
        <f t="shared" si="15"/>
        <v>1.1485501376964252E-2</v>
      </c>
    </row>
    <row r="204" spans="9:15" x14ac:dyDescent="0.35">
      <c r="I204" s="408">
        <v>44782</v>
      </c>
      <c r="J204" s="409">
        <v>63915</v>
      </c>
      <c r="K204" s="409">
        <v>1234.5999999999999</v>
      </c>
      <c r="L204" s="41">
        <f t="shared" si="16"/>
        <v>3.9458656027536572E-2</v>
      </c>
      <c r="M204" s="41">
        <f t="shared" si="17"/>
        <v>1.1485501376964252E-2</v>
      </c>
      <c r="N204" s="180">
        <f t="shared" si="14"/>
        <v>-1.5153408735862025E-3</v>
      </c>
      <c r="O204" s="180">
        <f t="shared" si="15"/>
        <v>-6.8936669964688359E-3</v>
      </c>
    </row>
    <row r="205" spans="9:15" x14ac:dyDescent="0.35">
      <c r="I205" s="408">
        <v>44751</v>
      </c>
      <c r="J205" s="409">
        <v>64012</v>
      </c>
      <c r="K205" s="409">
        <v>1243.17</v>
      </c>
      <c r="L205" s="41">
        <f t="shared" si="16"/>
        <v>-1.5153408735862025E-3</v>
      </c>
      <c r="M205" s="41">
        <f t="shared" si="17"/>
        <v>-6.8936669964688359E-3</v>
      </c>
      <c r="N205" s="180">
        <f t="shared" si="14"/>
        <v>1.6951306696322187E-2</v>
      </c>
      <c r="O205" s="180">
        <f t="shared" si="15"/>
        <v>-2.6796618130577748E-2</v>
      </c>
    </row>
    <row r="206" spans="9:15" x14ac:dyDescent="0.35">
      <c r="I206" s="408">
        <v>44721</v>
      </c>
      <c r="J206" s="409">
        <v>62945</v>
      </c>
      <c r="K206" s="409">
        <v>1277.4000000000001</v>
      </c>
      <c r="L206" s="41">
        <f t="shared" si="16"/>
        <v>1.6951306696322187E-2</v>
      </c>
      <c r="M206" s="41">
        <f t="shared" si="17"/>
        <v>-2.6796618130577748E-2</v>
      </c>
      <c r="N206" s="180">
        <f t="shared" si="14"/>
        <v>2.6902244844688072E-2</v>
      </c>
      <c r="O206" s="180">
        <f t="shared" si="15"/>
        <v>3.914353935897123E-5</v>
      </c>
    </row>
    <row r="207" spans="9:15" x14ac:dyDescent="0.35">
      <c r="I207" s="408">
        <v>44690</v>
      </c>
      <c r="J207" s="409">
        <v>61296</v>
      </c>
      <c r="K207" s="409">
        <v>1277.3499999999999</v>
      </c>
      <c r="L207" s="41">
        <f t="shared" si="16"/>
        <v>2.6902244844688072E-2</v>
      </c>
      <c r="M207" s="41">
        <f t="shared" si="17"/>
        <v>3.914353935897123E-5</v>
      </c>
      <c r="N207" s="180">
        <f t="shared" si="14"/>
        <v>6.9364968597348226E-2</v>
      </c>
      <c r="O207" s="180">
        <f t="shared" si="15"/>
        <v>-2.4677667491859352E-3</v>
      </c>
    </row>
    <row r="208" spans="9:15" x14ac:dyDescent="0.35">
      <c r="I208" s="408" t="s">
        <v>600</v>
      </c>
      <c r="J208" s="409">
        <v>57320</v>
      </c>
      <c r="K208" s="409">
        <v>1280.51</v>
      </c>
      <c r="L208" s="41">
        <f t="shared" si="16"/>
        <v>6.9364968597348226E-2</v>
      </c>
      <c r="M208" s="41">
        <f t="shared" si="17"/>
        <v>-2.4677667491859352E-3</v>
      </c>
      <c r="N208" s="180">
        <f t="shared" si="14"/>
        <v>1.6951225905667301E-3</v>
      </c>
      <c r="O208" s="180">
        <f t="shared" si="15"/>
        <v>8.7541719100500302E-4</v>
      </c>
    </row>
    <row r="209" spans="9:15" x14ac:dyDescent="0.35">
      <c r="I209" s="408" t="s">
        <v>601</v>
      </c>
      <c r="J209" s="409">
        <v>57223</v>
      </c>
      <c r="K209" s="409">
        <v>1279.3900000000001</v>
      </c>
      <c r="L209" s="41">
        <f t="shared" si="16"/>
        <v>1.6951225905667301E-3</v>
      </c>
      <c r="M209" s="41">
        <f t="shared" si="17"/>
        <v>8.7541719100500302E-4</v>
      </c>
      <c r="N209" s="180">
        <f t="shared" si="14"/>
        <v>-3.2790764498081569E-2</v>
      </c>
      <c r="O209" s="180">
        <f t="shared" si="15"/>
        <v>6.7595215612213924E-3</v>
      </c>
    </row>
    <row r="210" spans="9:15" x14ac:dyDescent="0.35">
      <c r="I210" s="408" t="s">
        <v>602</v>
      </c>
      <c r="J210" s="409">
        <v>59163</v>
      </c>
      <c r="K210" s="409">
        <v>1270.8</v>
      </c>
      <c r="L210" s="41">
        <f t="shared" si="16"/>
        <v>-3.2790764498081569E-2</v>
      </c>
      <c r="M210" s="41">
        <f t="shared" si="17"/>
        <v>6.7595215612213924E-3</v>
      </c>
      <c r="N210" s="180">
        <f t="shared" si="14"/>
        <v>3.2898641659176854E-3</v>
      </c>
      <c r="O210" s="180">
        <f t="shared" si="15"/>
        <v>-9.1768870315070382E-3</v>
      </c>
    </row>
    <row r="211" spans="9:15" x14ac:dyDescent="0.35">
      <c r="I211" s="408" t="s">
        <v>603</v>
      </c>
      <c r="J211" s="409">
        <v>58969</v>
      </c>
      <c r="K211" s="409">
        <v>1282.57</v>
      </c>
      <c r="L211" s="41">
        <f t="shared" si="16"/>
        <v>3.2898641659176854E-3</v>
      </c>
      <c r="M211" s="41">
        <f t="shared" si="17"/>
        <v>-9.1768870315070382E-3</v>
      </c>
      <c r="N211" s="180">
        <f t="shared" si="14"/>
        <v>3.9321089922098068E-2</v>
      </c>
      <c r="O211" s="180">
        <f t="shared" si="15"/>
        <v>-4.895723418782332E-3</v>
      </c>
    </row>
    <row r="212" spans="9:15" x14ac:dyDescent="0.35">
      <c r="I212" s="408" t="s">
        <v>604</v>
      </c>
      <c r="J212" s="409">
        <v>56738</v>
      </c>
      <c r="K212" s="409">
        <v>1288.8800000000001</v>
      </c>
      <c r="L212" s="41">
        <f t="shared" si="16"/>
        <v>3.9321089922098068E-2</v>
      </c>
      <c r="M212" s="41">
        <f t="shared" si="17"/>
        <v>-4.895723418782332E-3</v>
      </c>
      <c r="N212" s="180">
        <f t="shared" si="14"/>
        <v>1.5626957844804439E-2</v>
      </c>
      <c r="O212" s="180">
        <f t="shared" si="15"/>
        <v>9.1766106047793741E-3</v>
      </c>
    </row>
    <row r="213" spans="9:15" x14ac:dyDescent="0.35">
      <c r="I213" s="408" t="s">
        <v>605</v>
      </c>
      <c r="J213" s="409">
        <v>55865</v>
      </c>
      <c r="K213" s="409">
        <v>1277.1600000000001</v>
      </c>
      <c r="L213" s="41">
        <f t="shared" si="16"/>
        <v>1.5626957844804439E-2</v>
      </c>
      <c r="M213" s="41">
        <f t="shared" si="17"/>
        <v>9.1766106047793741E-3</v>
      </c>
      <c r="N213" s="180">
        <f t="shared" si="14"/>
        <v>3.7842758415694434E-2</v>
      </c>
      <c r="O213" s="180">
        <f t="shared" si="15"/>
        <v>4.9968130562398289E-3</v>
      </c>
    </row>
    <row r="214" spans="9:15" x14ac:dyDescent="0.35">
      <c r="I214" s="408" t="s">
        <v>606</v>
      </c>
      <c r="J214" s="409">
        <v>53828</v>
      </c>
      <c r="K214" s="409">
        <v>1270.81</v>
      </c>
      <c r="L214" s="41">
        <f t="shared" si="16"/>
        <v>3.7842758415694434E-2</v>
      </c>
      <c r="M214" s="41">
        <f t="shared" si="17"/>
        <v>4.9968130562398289E-3</v>
      </c>
      <c r="N214" s="180">
        <f t="shared" si="14"/>
        <v>-1.7987946221604079E-3</v>
      </c>
      <c r="O214" s="180">
        <f t="shared" si="15"/>
        <v>8.2352847837641775E-3</v>
      </c>
    </row>
    <row r="215" spans="9:15" x14ac:dyDescent="0.35">
      <c r="I215" s="408" t="s">
        <v>607</v>
      </c>
      <c r="J215" s="409">
        <v>53925</v>
      </c>
      <c r="K215" s="409">
        <v>1260.43</v>
      </c>
      <c r="L215" s="41">
        <f t="shared" si="16"/>
        <v>-1.7987946221604079E-3</v>
      </c>
      <c r="M215" s="41">
        <f t="shared" si="17"/>
        <v>8.2352847837641775E-3</v>
      </c>
      <c r="N215" s="180">
        <f t="shared" si="14"/>
        <v>1.091052246780271E-2</v>
      </c>
      <c r="O215" s="180">
        <f t="shared" si="15"/>
        <v>-6.8942151625458956E-3</v>
      </c>
    </row>
    <row r="216" spans="9:15" x14ac:dyDescent="0.35">
      <c r="I216" s="408" t="s">
        <v>608</v>
      </c>
      <c r="J216" s="409">
        <v>53343</v>
      </c>
      <c r="K216" s="409">
        <v>1269.18</v>
      </c>
      <c r="L216" s="41">
        <f t="shared" si="16"/>
        <v>1.091052246780271E-2</v>
      </c>
      <c r="M216" s="41">
        <f t="shared" si="17"/>
        <v>-6.8942151625458956E-3</v>
      </c>
      <c r="N216" s="180">
        <f t="shared" si="14"/>
        <v>1.8501546568908237E-2</v>
      </c>
      <c r="O216" s="180">
        <f t="shared" si="15"/>
        <v>-3.5174222319928534E-3</v>
      </c>
    </row>
    <row r="217" spans="9:15" x14ac:dyDescent="0.35">
      <c r="I217" s="408" t="s">
        <v>609</v>
      </c>
      <c r="J217" s="409">
        <v>52374</v>
      </c>
      <c r="K217" s="409">
        <v>1273.6600000000001</v>
      </c>
      <c r="L217" s="41">
        <f t="shared" si="16"/>
        <v>1.8501546568908237E-2</v>
      </c>
      <c r="M217" s="41">
        <f t="shared" si="17"/>
        <v>-3.5174222319928534E-3</v>
      </c>
      <c r="N217" s="180">
        <f t="shared" si="14"/>
        <v>0</v>
      </c>
      <c r="O217" s="180">
        <f t="shared" si="15"/>
        <v>-1.2703092654161368E-3</v>
      </c>
    </row>
    <row r="218" spans="9:15" x14ac:dyDescent="0.35">
      <c r="I218" s="408" t="s">
        <v>610</v>
      </c>
      <c r="J218" s="409">
        <v>52374</v>
      </c>
      <c r="K218" s="409">
        <v>1275.28</v>
      </c>
      <c r="L218" s="41">
        <f t="shared" si="16"/>
        <v>0</v>
      </c>
      <c r="M218" s="41">
        <f t="shared" si="17"/>
        <v>-1.2703092654161368E-3</v>
      </c>
      <c r="N218" s="180">
        <f t="shared" si="14"/>
        <v>-4.5924036797522542E-2</v>
      </c>
      <c r="O218" s="180">
        <f t="shared" si="15"/>
        <v>4.6285763597417263E-4</v>
      </c>
    </row>
    <row r="219" spans="9:15" x14ac:dyDescent="0.35">
      <c r="I219" s="408" t="s">
        <v>611</v>
      </c>
      <c r="J219" s="409">
        <v>54895</v>
      </c>
      <c r="K219" s="409">
        <v>1274.69</v>
      </c>
      <c r="L219" s="41">
        <f t="shared" si="16"/>
        <v>-4.5924036797522542E-2</v>
      </c>
      <c r="M219" s="41">
        <f t="shared" si="17"/>
        <v>4.6285763597417263E-4</v>
      </c>
      <c r="N219" s="180">
        <f t="shared" si="14"/>
        <v>2.909472658080723E-2</v>
      </c>
      <c r="O219" s="180">
        <f t="shared" si="15"/>
        <v>3.8455501491132404E-4</v>
      </c>
    </row>
    <row r="220" spans="9:15" x14ac:dyDescent="0.35">
      <c r="I220" s="408" t="s">
        <v>612</v>
      </c>
      <c r="J220" s="409">
        <v>53343</v>
      </c>
      <c r="K220" s="409">
        <v>1274.2</v>
      </c>
      <c r="L220" s="41">
        <f t="shared" si="16"/>
        <v>2.909472658080723E-2</v>
      </c>
      <c r="M220" s="41">
        <f t="shared" si="17"/>
        <v>3.8455501491132404E-4</v>
      </c>
      <c r="N220" s="180">
        <f t="shared" si="14"/>
        <v>3.3819140276754915E-2</v>
      </c>
      <c r="O220" s="180">
        <f t="shared" si="15"/>
        <v>9.4032463777301654E-3</v>
      </c>
    </row>
    <row r="221" spans="9:15" x14ac:dyDescent="0.35">
      <c r="I221" s="408">
        <v>44903</v>
      </c>
      <c r="J221" s="409">
        <v>51598</v>
      </c>
      <c r="K221" s="409">
        <v>1262.33</v>
      </c>
      <c r="L221" s="41">
        <f t="shared" si="16"/>
        <v>3.3819140276754915E-2</v>
      </c>
      <c r="M221" s="41">
        <f t="shared" si="17"/>
        <v>9.4032463777301654E-3</v>
      </c>
      <c r="N221" s="180">
        <f t="shared" si="14"/>
        <v>-1.2988503548405609E-2</v>
      </c>
      <c r="O221" s="180">
        <f t="shared" si="15"/>
        <v>8.194430023880447E-3</v>
      </c>
    </row>
    <row r="222" spans="9:15" x14ac:dyDescent="0.35">
      <c r="I222" s="408">
        <v>44873</v>
      </c>
      <c r="J222" s="409">
        <v>52277</v>
      </c>
      <c r="K222" s="409">
        <v>1252.07</v>
      </c>
      <c r="L222" s="41">
        <f t="shared" si="16"/>
        <v>-1.2988503548405609E-2</v>
      </c>
      <c r="M222" s="41">
        <f t="shared" si="17"/>
        <v>8.194430023880447E-3</v>
      </c>
      <c r="N222" s="180">
        <f t="shared" si="14"/>
        <v>-9.1734425048804989E-3</v>
      </c>
      <c r="O222" s="180">
        <f t="shared" si="15"/>
        <v>-3.5256665340231306E-3</v>
      </c>
    </row>
    <row r="223" spans="9:15" x14ac:dyDescent="0.35">
      <c r="I223" s="408">
        <v>44842</v>
      </c>
      <c r="J223" s="409">
        <v>52761</v>
      </c>
      <c r="K223" s="409">
        <v>1256.5</v>
      </c>
      <c r="L223" s="41">
        <f t="shared" si="16"/>
        <v>-9.1734425048804989E-3</v>
      </c>
      <c r="M223" s="41">
        <f t="shared" si="17"/>
        <v>-3.5256665340231306E-3</v>
      </c>
      <c r="N223" s="180">
        <f t="shared" si="14"/>
        <v>-5.4851843474327073E-3</v>
      </c>
      <c r="O223" s="180">
        <f t="shared" si="15"/>
        <v>-1.8667831751200772E-3</v>
      </c>
    </row>
    <row r="224" spans="9:15" x14ac:dyDescent="0.35">
      <c r="I224" s="408">
        <v>44812</v>
      </c>
      <c r="J224" s="409">
        <v>53052</v>
      </c>
      <c r="K224" s="409">
        <v>1258.8499999999999</v>
      </c>
      <c r="L224" s="41">
        <f t="shared" si="16"/>
        <v>-5.4851843474327073E-3</v>
      </c>
      <c r="M224" s="41">
        <f t="shared" si="17"/>
        <v>-1.8667831751200772E-3</v>
      </c>
      <c r="N224" s="180">
        <f t="shared" si="14"/>
        <v>1.8317439335284675E-3</v>
      </c>
      <c r="O224" s="180">
        <f t="shared" si="15"/>
        <v>1.6709767256812484E-3</v>
      </c>
    </row>
    <row r="225" spans="9:15" x14ac:dyDescent="0.35">
      <c r="I225" s="408">
        <v>44781</v>
      </c>
      <c r="J225" s="409">
        <v>52955</v>
      </c>
      <c r="K225" s="409">
        <v>1256.75</v>
      </c>
      <c r="L225" s="41">
        <f t="shared" si="16"/>
        <v>1.8317439335284675E-3</v>
      </c>
      <c r="M225" s="41">
        <f t="shared" si="17"/>
        <v>1.6709767256812484E-3</v>
      </c>
      <c r="N225" s="180">
        <f t="shared" si="14"/>
        <v>1.1093290564020315E-2</v>
      </c>
      <c r="O225" s="180">
        <f t="shared" si="15"/>
        <v>3.2009834442901087E-3</v>
      </c>
    </row>
    <row r="226" spans="9:15" x14ac:dyDescent="0.35">
      <c r="I226" s="408">
        <v>44689</v>
      </c>
      <c r="J226" s="409">
        <v>52374</v>
      </c>
      <c r="K226" s="409">
        <v>1252.74</v>
      </c>
      <c r="L226" s="41">
        <f t="shared" si="16"/>
        <v>1.1093290564020315E-2</v>
      </c>
      <c r="M226" s="41">
        <f t="shared" si="17"/>
        <v>3.2009834442901087E-3</v>
      </c>
      <c r="N226" s="180">
        <f t="shared" ref="N226:N289" si="18">(J226-J227)/J227</f>
        <v>-5.5066079295154188E-3</v>
      </c>
      <c r="O226" s="180">
        <f t="shared" si="15"/>
        <v>-1.124267432125409E-3</v>
      </c>
    </row>
    <row r="227" spans="9:15" x14ac:dyDescent="0.35">
      <c r="I227" s="408">
        <v>44659</v>
      </c>
      <c r="J227" s="409">
        <v>52664</v>
      </c>
      <c r="K227" s="409">
        <v>1254.1500000000001</v>
      </c>
      <c r="L227" s="41">
        <f t="shared" si="16"/>
        <v>-5.5066079295154188E-3</v>
      </c>
      <c r="M227" s="41">
        <f t="shared" si="17"/>
        <v>-1.124267432125409E-3</v>
      </c>
      <c r="N227" s="180">
        <f t="shared" si="18"/>
        <v>-1.0930398527588927E-2</v>
      </c>
      <c r="O227" s="180">
        <f t="shared" si="15"/>
        <v>3.5126744334913105E-3</v>
      </c>
    </row>
    <row r="228" spans="9:15" x14ac:dyDescent="0.35">
      <c r="I228" s="408">
        <v>44628</v>
      </c>
      <c r="J228" s="409">
        <v>53246</v>
      </c>
      <c r="K228" s="409">
        <v>1249.76</v>
      </c>
      <c r="L228" s="41">
        <f t="shared" si="16"/>
        <v>-1.0930398527588927E-2</v>
      </c>
      <c r="M228" s="41">
        <f t="shared" si="17"/>
        <v>3.5126744334913105E-3</v>
      </c>
      <c r="N228" s="180">
        <f t="shared" si="18"/>
        <v>1.825057856215545E-3</v>
      </c>
      <c r="O228" s="180">
        <f t="shared" si="15"/>
        <v>6.555951096148661E-3</v>
      </c>
    </row>
    <row r="229" spans="9:15" x14ac:dyDescent="0.35">
      <c r="I229" s="408">
        <v>44600</v>
      </c>
      <c r="J229" s="409">
        <v>53149</v>
      </c>
      <c r="K229" s="409">
        <v>1241.6199999999999</v>
      </c>
      <c r="L229" s="41">
        <f t="shared" si="16"/>
        <v>1.825057856215545E-3</v>
      </c>
      <c r="M229" s="41">
        <f t="shared" si="17"/>
        <v>6.555951096148661E-3</v>
      </c>
      <c r="N229" s="180">
        <f t="shared" si="18"/>
        <v>1.4797418566464276E-2</v>
      </c>
      <c r="O229" s="180">
        <f t="shared" si="15"/>
        <v>8.3404393551792608E-3</v>
      </c>
    </row>
    <row r="230" spans="9:15" x14ac:dyDescent="0.35">
      <c r="I230" s="408">
        <v>44569</v>
      </c>
      <c r="J230" s="409">
        <v>52374</v>
      </c>
      <c r="K230" s="409">
        <v>1231.3499999999999</v>
      </c>
      <c r="L230" s="41">
        <f t="shared" si="16"/>
        <v>1.4797418566464276E-2</v>
      </c>
      <c r="M230" s="41">
        <f t="shared" si="17"/>
        <v>8.3404393551792608E-3</v>
      </c>
      <c r="N230" s="180">
        <f t="shared" si="18"/>
        <v>6.9315420894669147E-2</v>
      </c>
      <c r="O230" s="180">
        <f t="shared" ref="O230:O293" si="19">(K230-K231)/K231</f>
        <v>2.0740593369973376E-2</v>
      </c>
    </row>
    <row r="231" spans="9:15" x14ac:dyDescent="0.35">
      <c r="I231" s="408" t="s">
        <v>613</v>
      </c>
      <c r="J231" s="409">
        <v>48979</v>
      </c>
      <c r="K231" s="409">
        <v>1206.33</v>
      </c>
      <c r="L231" s="41">
        <f t="shared" si="16"/>
        <v>6.9315420894669147E-2</v>
      </c>
      <c r="M231" s="41">
        <f t="shared" si="17"/>
        <v>2.0740593369973376E-2</v>
      </c>
      <c r="N231" s="180">
        <f t="shared" si="18"/>
        <v>-7.8595012862843604E-3</v>
      </c>
      <c r="O231" s="180">
        <f t="shared" si="19"/>
        <v>-1.4816408965996457E-3</v>
      </c>
    </row>
    <row r="232" spans="9:15" x14ac:dyDescent="0.35">
      <c r="I232" s="408" t="s">
        <v>614</v>
      </c>
      <c r="J232" s="409">
        <v>49367</v>
      </c>
      <c r="K232" s="409">
        <v>1208.1199999999999</v>
      </c>
      <c r="L232" s="41">
        <f t="shared" si="16"/>
        <v>-7.8595012862843604E-3</v>
      </c>
      <c r="M232" s="41">
        <f t="shared" si="17"/>
        <v>-1.4816408965996457E-3</v>
      </c>
      <c r="N232" s="180">
        <f t="shared" si="18"/>
        <v>1.8002227079638718E-2</v>
      </c>
      <c r="O232" s="180">
        <f t="shared" si="19"/>
        <v>1.4340408382589945E-2</v>
      </c>
    </row>
    <row r="233" spans="9:15" x14ac:dyDescent="0.35">
      <c r="I233" s="408" t="s">
        <v>615</v>
      </c>
      <c r="J233" s="409">
        <v>48494</v>
      </c>
      <c r="K233" s="409">
        <v>1191.04</v>
      </c>
      <c r="L233" s="41">
        <f t="shared" si="16"/>
        <v>1.8002227079638718E-2</v>
      </c>
      <c r="M233" s="41">
        <f t="shared" si="17"/>
        <v>1.4340408382589945E-2</v>
      </c>
      <c r="N233" s="180">
        <f t="shared" si="18"/>
        <v>8.0655219723111456E-3</v>
      </c>
      <c r="O233" s="180">
        <f t="shared" si="19"/>
        <v>5.0376770992431059E-3</v>
      </c>
    </row>
    <row r="234" spans="9:15" x14ac:dyDescent="0.35">
      <c r="I234" s="408" t="s">
        <v>616</v>
      </c>
      <c r="J234" s="409">
        <v>48106</v>
      </c>
      <c r="K234" s="409">
        <v>1185.07</v>
      </c>
      <c r="L234" s="41">
        <f t="shared" si="16"/>
        <v>8.0655219723111456E-3</v>
      </c>
      <c r="M234" s="41">
        <f t="shared" si="17"/>
        <v>5.0376770992431059E-3</v>
      </c>
      <c r="N234" s="180">
        <f t="shared" si="18"/>
        <v>0</v>
      </c>
      <c r="O234" s="180">
        <f t="shared" si="19"/>
        <v>-2.8859907446361494E-3</v>
      </c>
    </row>
    <row r="235" spans="9:15" x14ac:dyDescent="0.35">
      <c r="I235" s="408" t="s">
        <v>617</v>
      </c>
      <c r="J235" s="409">
        <v>48106</v>
      </c>
      <c r="K235" s="409">
        <v>1188.5</v>
      </c>
      <c r="L235" s="41">
        <f t="shared" si="16"/>
        <v>0</v>
      </c>
      <c r="M235" s="41">
        <f t="shared" si="17"/>
        <v>-2.8859907446361494E-3</v>
      </c>
      <c r="N235" s="180">
        <f t="shared" si="18"/>
        <v>8.1311035667882142E-3</v>
      </c>
      <c r="O235" s="180">
        <f t="shared" si="19"/>
        <v>-5.2395460176102235E-3</v>
      </c>
    </row>
    <row r="236" spans="9:15" x14ac:dyDescent="0.35">
      <c r="I236" s="408" t="s">
        <v>618</v>
      </c>
      <c r="J236" s="409">
        <v>47718</v>
      </c>
      <c r="K236" s="409">
        <v>1194.76</v>
      </c>
      <c r="L236" s="41">
        <f t="shared" si="16"/>
        <v>8.1311035667882142E-3</v>
      </c>
      <c r="M236" s="41">
        <f t="shared" si="17"/>
        <v>-5.2395460176102235E-3</v>
      </c>
      <c r="N236" s="180">
        <f t="shared" si="18"/>
        <v>-2.5745727760877111E-2</v>
      </c>
      <c r="O236" s="180">
        <f t="shared" si="19"/>
        <v>-3.0956135739735133E-3</v>
      </c>
    </row>
    <row r="237" spans="9:15" x14ac:dyDescent="0.35">
      <c r="I237" s="408" t="s">
        <v>619</v>
      </c>
      <c r="J237" s="409">
        <v>48979</v>
      </c>
      <c r="K237" s="409">
        <v>1198.47</v>
      </c>
      <c r="L237" s="41">
        <f t="shared" si="16"/>
        <v>-2.5745727760877111E-2</v>
      </c>
      <c r="M237" s="41">
        <f t="shared" si="17"/>
        <v>-3.0956135739735133E-3</v>
      </c>
      <c r="N237" s="180">
        <f t="shared" si="18"/>
        <v>-9.8051107876435395E-3</v>
      </c>
      <c r="O237" s="180">
        <f t="shared" si="19"/>
        <v>3.6260404977640202E-3</v>
      </c>
    </row>
    <row r="238" spans="9:15" x14ac:dyDescent="0.35">
      <c r="I238" s="408" t="s">
        <v>620</v>
      </c>
      <c r="J238" s="409">
        <v>49464</v>
      </c>
      <c r="K238" s="409">
        <v>1194.1400000000001</v>
      </c>
      <c r="L238" s="41">
        <f t="shared" si="16"/>
        <v>-9.8051107876435395E-3</v>
      </c>
      <c r="M238" s="41">
        <f t="shared" si="17"/>
        <v>3.6260404977640202E-3</v>
      </c>
      <c r="N238" s="180">
        <f t="shared" si="18"/>
        <v>0</v>
      </c>
      <c r="O238" s="180">
        <f t="shared" si="19"/>
        <v>1.3417293966885485E-2</v>
      </c>
    </row>
    <row r="239" spans="9:15" x14ac:dyDescent="0.35">
      <c r="I239" s="408" t="s">
        <v>621</v>
      </c>
      <c r="J239" s="409">
        <v>49464</v>
      </c>
      <c r="K239" s="409">
        <v>1178.33</v>
      </c>
      <c r="L239" s="41">
        <f t="shared" si="16"/>
        <v>0</v>
      </c>
      <c r="M239" s="41">
        <f t="shared" si="17"/>
        <v>1.3417293966885485E-2</v>
      </c>
      <c r="N239" s="180">
        <f t="shared" si="18"/>
        <v>1.9648753215710901E-3</v>
      </c>
      <c r="O239" s="180">
        <f t="shared" si="19"/>
        <v>1.5639741944257224E-3</v>
      </c>
    </row>
    <row r="240" spans="9:15" x14ac:dyDescent="0.35">
      <c r="I240" s="408" t="s">
        <v>622</v>
      </c>
      <c r="J240" s="409">
        <v>49367</v>
      </c>
      <c r="K240" s="409">
        <v>1176.49</v>
      </c>
      <c r="L240" s="41">
        <f t="shared" si="16"/>
        <v>1.9648753215710901E-3</v>
      </c>
      <c r="M240" s="41">
        <f t="shared" si="17"/>
        <v>1.5639741944257224E-3</v>
      </c>
      <c r="N240" s="180">
        <f t="shared" si="18"/>
        <v>-1.9610221575287077E-3</v>
      </c>
      <c r="O240" s="180">
        <f t="shared" si="19"/>
        <v>-2.3404706381174398E-3</v>
      </c>
    </row>
    <row r="241" spans="9:15" x14ac:dyDescent="0.35">
      <c r="I241" s="408" t="s">
        <v>623</v>
      </c>
      <c r="J241" s="409">
        <v>49464</v>
      </c>
      <c r="K241" s="409">
        <v>1179.25</v>
      </c>
      <c r="L241" s="41">
        <f t="shared" si="16"/>
        <v>-1.9610221575287077E-3</v>
      </c>
      <c r="M241" s="41">
        <f t="shared" si="17"/>
        <v>-2.3404706381174398E-3</v>
      </c>
      <c r="N241" s="180">
        <f t="shared" si="18"/>
        <v>4.0821479673428161E-2</v>
      </c>
      <c r="O241" s="180">
        <f t="shared" si="19"/>
        <v>-2.4700339206713694E-3</v>
      </c>
    </row>
    <row r="242" spans="9:15" x14ac:dyDescent="0.35">
      <c r="I242" s="408" t="s">
        <v>624</v>
      </c>
      <c r="J242" s="409">
        <v>47524</v>
      </c>
      <c r="K242" s="409">
        <v>1182.17</v>
      </c>
      <c r="L242" s="41">
        <f t="shared" si="16"/>
        <v>4.0821479673428161E-2</v>
      </c>
      <c r="M242" s="41">
        <f t="shared" si="17"/>
        <v>-2.4700339206713694E-3</v>
      </c>
      <c r="N242" s="180">
        <f t="shared" si="18"/>
        <v>-1.0102272490574684E-2</v>
      </c>
      <c r="O242" s="180">
        <f t="shared" si="19"/>
        <v>7.0277361319340328E-3</v>
      </c>
    </row>
    <row r="243" spans="9:15" x14ac:dyDescent="0.35">
      <c r="I243" s="408" t="s">
        <v>625</v>
      </c>
      <c r="J243" s="409">
        <v>48009</v>
      </c>
      <c r="K243" s="409">
        <v>1173.92</v>
      </c>
      <c r="L243" s="41">
        <f t="shared" si="16"/>
        <v>-1.0102272490574684E-2</v>
      </c>
      <c r="M243" s="41">
        <f t="shared" si="17"/>
        <v>7.0277361319340328E-3</v>
      </c>
      <c r="N243" s="180">
        <f t="shared" si="18"/>
        <v>5.5444412689339813E-2</v>
      </c>
      <c r="O243" s="180">
        <f t="shared" si="19"/>
        <v>-7.660748029484207E-4</v>
      </c>
    </row>
    <row r="244" spans="9:15" x14ac:dyDescent="0.35">
      <c r="I244" s="408">
        <v>44902</v>
      </c>
      <c r="J244" s="409">
        <v>45487</v>
      </c>
      <c r="K244" s="409">
        <v>1174.82</v>
      </c>
      <c r="L244" s="41">
        <f t="shared" si="16"/>
        <v>5.5444412689339813E-2</v>
      </c>
      <c r="M244" s="41">
        <f t="shared" si="17"/>
        <v>-7.660748029484207E-4</v>
      </c>
      <c r="N244" s="180">
        <f t="shared" si="18"/>
        <v>0</v>
      </c>
      <c r="O244" s="180">
        <f t="shared" si="19"/>
        <v>1.6904846402202023E-2</v>
      </c>
    </row>
    <row r="245" spans="9:15" x14ac:dyDescent="0.35">
      <c r="I245" s="408">
        <v>44872</v>
      </c>
      <c r="J245" s="409">
        <v>45487</v>
      </c>
      <c r="K245" s="409">
        <v>1155.29</v>
      </c>
      <c r="L245" s="41">
        <f t="shared" si="16"/>
        <v>0</v>
      </c>
      <c r="M245" s="41">
        <f t="shared" si="17"/>
        <v>1.6904846402202023E-2</v>
      </c>
      <c r="N245" s="180">
        <f t="shared" si="18"/>
        <v>-2.1279396279396279E-3</v>
      </c>
      <c r="O245" s="180">
        <f t="shared" si="19"/>
        <v>-1.3676994134772164E-2</v>
      </c>
    </row>
    <row r="246" spans="9:15" x14ac:dyDescent="0.35">
      <c r="I246" s="408">
        <v>44780</v>
      </c>
      <c r="J246" s="409">
        <v>45584</v>
      </c>
      <c r="K246" s="409">
        <v>1171.31</v>
      </c>
      <c r="L246" s="41">
        <f t="shared" si="16"/>
        <v>-2.1279396279396279E-3</v>
      </c>
      <c r="M246" s="41">
        <f t="shared" si="17"/>
        <v>-1.3676994134772164E-2</v>
      </c>
      <c r="N246" s="180">
        <f t="shared" si="18"/>
        <v>1.2932758544064709E-2</v>
      </c>
      <c r="O246" s="180">
        <f t="shared" si="19"/>
        <v>4.1406625060008981E-3</v>
      </c>
    </row>
    <row r="247" spans="9:15" x14ac:dyDescent="0.35">
      <c r="I247" s="408">
        <v>44749</v>
      </c>
      <c r="J247" s="409">
        <v>45002</v>
      </c>
      <c r="K247" s="409">
        <v>1166.48</v>
      </c>
      <c r="L247" s="41">
        <f t="shared" si="16"/>
        <v>1.2932758544064709E-2</v>
      </c>
      <c r="M247" s="41">
        <f t="shared" si="17"/>
        <v>4.1406625060008981E-3</v>
      </c>
      <c r="N247" s="180">
        <f t="shared" si="18"/>
        <v>6.508465478293932E-3</v>
      </c>
      <c r="O247" s="180">
        <f t="shared" si="19"/>
        <v>1.4674541801132663E-2</v>
      </c>
    </row>
    <row r="248" spans="9:15" x14ac:dyDescent="0.35">
      <c r="I248" s="408">
        <v>44719</v>
      </c>
      <c r="J248" s="409">
        <v>44711</v>
      </c>
      <c r="K248" s="409">
        <v>1149.6099999999999</v>
      </c>
      <c r="L248" s="41">
        <f t="shared" si="16"/>
        <v>6.508465478293932E-3</v>
      </c>
      <c r="M248" s="41">
        <f t="shared" si="17"/>
        <v>1.4674541801132663E-2</v>
      </c>
      <c r="N248" s="180">
        <f t="shared" si="18"/>
        <v>-3.5569456427955136E-2</v>
      </c>
      <c r="O248" s="180">
        <f t="shared" si="19"/>
        <v>-2.6818139491572825E-2</v>
      </c>
    </row>
    <row r="249" spans="9:15" x14ac:dyDescent="0.35">
      <c r="I249" s="408">
        <v>44688</v>
      </c>
      <c r="J249" s="409">
        <v>46360</v>
      </c>
      <c r="K249" s="409">
        <v>1181.29</v>
      </c>
      <c r="L249" s="41">
        <f t="shared" si="16"/>
        <v>-3.5569456427955136E-2</v>
      </c>
      <c r="M249" s="41">
        <f t="shared" si="17"/>
        <v>-2.6818139491572825E-2</v>
      </c>
      <c r="N249" s="180">
        <f t="shared" si="18"/>
        <v>-1.0353292774042053E-2</v>
      </c>
      <c r="O249" s="180">
        <f t="shared" si="19"/>
        <v>-1.1911035273058819E-2</v>
      </c>
    </row>
    <row r="250" spans="9:15" x14ac:dyDescent="0.35">
      <c r="I250" s="408">
        <v>44658</v>
      </c>
      <c r="J250" s="409">
        <v>46845</v>
      </c>
      <c r="K250" s="409">
        <v>1195.53</v>
      </c>
      <c r="L250" s="41">
        <f t="shared" si="16"/>
        <v>-1.0353292774042053E-2</v>
      </c>
      <c r="M250" s="41">
        <f t="shared" si="17"/>
        <v>-1.1911035273058819E-2</v>
      </c>
      <c r="N250" s="180">
        <f t="shared" si="18"/>
        <v>-2.424545397737924E-2</v>
      </c>
      <c r="O250" s="180">
        <f t="shared" si="19"/>
        <v>-2.8109100008341962E-3</v>
      </c>
    </row>
    <row r="251" spans="9:15" x14ac:dyDescent="0.35">
      <c r="I251" s="408">
        <v>44568</v>
      </c>
      <c r="J251" s="409">
        <v>48009</v>
      </c>
      <c r="K251" s="409">
        <v>1198.9000000000001</v>
      </c>
      <c r="L251" s="41">
        <f t="shared" si="16"/>
        <v>-2.424545397737924E-2</v>
      </c>
      <c r="M251" s="41">
        <f t="shared" si="17"/>
        <v>-2.8109100008341962E-3</v>
      </c>
      <c r="N251" s="180">
        <f t="shared" si="18"/>
        <v>-2.0163804930777864E-3</v>
      </c>
      <c r="O251" s="180">
        <f t="shared" si="19"/>
        <v>1.0855043420175199E-3</v>
      </c>
    </row>
    <row r="252" spans="9:15" x14ac:dyDescent="0.35">
      <c r="I252" s="408" t="s">
        <v>626</v>
      </c>
      <c r="J252" s="409">
        <v>48106</v>
      </c>
      <c r="K252" s="409">
        <v>1197.5999999999999</v>
      </c>
      <c r="L252" s="41">
        <f t="shared" si="16"/>
        <v>-2.0163804930777864E-3</v>
      </c>
      <c r="M252" s="41">
        <f t="shared" si="17"/>
        <v>1.0855043420175199E-3</v>
      </c>
      <c r="N252" s="180">
        <f t="shared" si="18"/>
        <v>4.0490899983302723E-3</v>
      </c>
      <c r="O252" s="180">
        <f t="shared" si="19"/>
        <v>-1.6821417136664785E-2</v>
      </c>
    </row>
    <row r="253" spans="9:15" x14ac:dyDescent="0.35">
      <c r="I253" s="408" t="s">
        <v>627</v>
      </c>
      <c r="J253" s="409">
        <v>47912</v>
      </c>
      <c r="K253" s="409">
        <v>1218.0899999999999</v>
      </c>
      <c r="L253" s="41">
        <f t="shared" si="16"/>
        <v>4.0490899983302723E-3</v>
      </c>
      <c r="M253" s="41">
        <f t="shared" si="17"/>
        <v>-1.6821417136664785E-2</v>
      </c>
      <c r="N253" s="180">
        <f t="shared" si="18"/>
        <v>0</v>
      </c>
      <c r="O253" s="180">
        <f t="shared" si="19"/>
        <v>-8.2095066086453546E-6</v>
      </c>
    </row>
    <row r="254" spans="9:15" x14ac:dyDescent="0.35">
      <c r="I254" s="408" t="s">
        <v>628</v>
      </c>
      <c r="J254" s="409">
        <v>47912</v>
      </c>
      <c r="K254" s="409">
        <v>1218.0999999999999</v>
      </c>
      <c r="L254" s="41">
        <f t="shared" si="16"/>
        <v>0</v>
      </c>
      <c r="M254" s="41">
        <f t="shared" si="17"/>
        <v>-8.2095066086453546E-6</v>
      </c>
      <c r="N254" s="180">
        <f t="shared" si="18"/>
        <v>3.238595961990131E-2</v>
      </c>
      <c r="O254" s="180">
        <f t="shared" si="19"/>
        <v>1.2703480154969134E-2</v>
      </c>
    </row>
    <row r="255" spans="9:15" x14ac:dyDescent="0.35">
      <c r="I255" s="408" t="s">
        <v>629</v>
      </c>
      <c r="J255" s="409">
        <v>46409</v>
      </c>
      <c r="K255" s="409">
        <v>1202.82</v>
      </c>
      <c r="L255" s="41">
        <f t="shared" si="16"/>
        <v>3.238595961990131E-2</v>
      </c>
      <c r="M255" s="41">
        <f t="shared" si="17"/>
        <v>1.2703480154969134E-2</v>
      </c>
      <c r="N255" s="180">
        <f t="shared" si="18"/>
        <v>6.9282521542786052E-2</v>
      </c>
      <c r="O255" s="180">
        <f t="shared" si="19"/>
        <v>1.4626986537098827E-2</v>
      </c>
    </row>
    <row r="256" spans="9:15" x14ac:dyDescent="0.35">
      <c r="I256" s="408" t="s">
        <v>630</v>
      </c>
      <c r="J256" s="409">
        <v>43402</v>
      </c>
      <c r="K256" s="409">
        <v>1185.48</v>
      </c>
      <c r="L256" s="41">
        <f t="shared" si="16"/>
        <v>6.9282521542786052E-2</v>
      </c>
      <c r="M256" s="41">
        <f t="shared" si="17"/>
        <v>1.4626986537098827E-2</v>
      </c>
      <c r="N256" s="180">
        <f t="shared" si="18"/>
        <v>1.1071642754993773E-3</v>
      </c>
      <c r="O256" s="180">
        <f t="shared" si="19"/>
        <v>-2.859834466052159E-3</v>
      </c>
    </row>
    <row r="257" spans="9:15" x14ac:dyDescent="0.35">
      <c r="I257" s="408" t="s">
        <v>631</v>
      </c>
      <c r="J257" s="409">
        <v>43354</v>
      </c>
      <c r="K257" s="409">
        <v>1188.8800000000001</v>
      </c>
      <c r="L257" s="41">
        <f t="shared" si="16"/>
        <v>1.1071642754993773E-3</v>
      </c>
      <c r="M257" s="41">
        <f t="shared" si="17"/>
        <v>-2.859834466052159E-3</v>
      </c>
      <c r="N257" s="180">
        <f t="shared" si="18"/>
        <v>1.7078778210481864E-2</v>
      </c>
      <c r="O257" s="180">
        <f t="shared" si="19"/>
        <v>1.6771147810172266E-2</v>
      </c>
    </row>
    <row r="258" spans="9:15" x14ac:dyDescent="0.35">
      <c r="I258" s="408" t="s">
        <v>632</v>
      </c>
      <c r="J258" s="409">
        <v>42626</v>
      </c>
      <c r="K258" s="409">
        <v>1169.27</v>
      </c>
      <c r="L258" s="41">
        <f t="shared" si="16"/>
        <v>1.7078778210481864E-2</v>
      </c>
      <c r="M258" s="41">
        <f t="shared" si="17"/>
        <v>1.6771147810172266E-2</v>
      </c>
      <c r="N258" s="180">
        <f t="shared" si="18"/>
        <v>5.7097017742544359E-3</v>
      </c>
      <c r="O258" s="180">
        <f t="shared" si="19"/>
        <v>-2.7292809197677088E-3</v>
      </c>
    </row>
    <row r="259" spans="9:15" x14ac:dyDescent="0.35">
      <c r="I259" s="408" t="s">
        <v>633</v>
      </c>
      <c r="J259" s="409">
        <v>42384</v>
      </c>
      <c r="K259" s="409">
        <v>1172.47</v>
      </c>
      <c r="L259" s="41">
        <f t="shared" si="16"/>
        <v>5.7097017742544359E-3</v>
      </c>
      <c r="M259" s="41">
        <f t="shared" si="17"/>
        <v>-2.7292809197677088E-3</v>
      </c>
      <c r="N259" s="180">
        <f t="shared" si="18"/>
        <v>1.1575455261462088E-2</v>
      </c>
      <c r="O259" s="180">
        <f t="shared" si="19"/>
        <v>-6.7180616740088643E-3</v>
      </c>
    </row>
    <row r="260" spans="9:15" x14ac:dyDescent="0.35">
      <c r="I260" s="408" t="s">
        <v>634</v>
      </c>
      <c r="J260" s="409">
        <v>41899</v>
      </c>
      <c r="K260" s="409">
        <v>1180.4000000000001</v>
      </c>
      <c r="L260" s="41">
        <f t="shared" ref="L260:L323" si="20">(J259-J260)/J260</f>
        <v>1.1575455261462088E-2</v>
      </c>
      <c r="M260" s="41">
        <f t="shared" ref="M260:M323" si="21">(K259-K260)/K260</f>
        <v>-6.7180616740088643E-3</v>
      </c>
      <c r="N260" s="180">
        <f t="shared" si="18"/>
        <v>-4.0004582426394777E-2</v>
      </c>
      <c r="O260" s="180">
        <f t="shared" si="19"/>
        <v>-3.031298775979616E-2</v>
      </c>
    </row>
    <row r="261" spans="9:15" x14ac:dyDescent="0.35">
      <c r="I261" s="408" t="s">
        <v>635</v>
      </c>
      <c r="J261" s="409">
        <v>43645</v>
      </c>
      <c r="K261" s="409">
        <v>1217.3</v>
      </c>
      <c r="L261" s="41">
        <f t="shared" si="20"/>
        <v>-4.0004582426394777E-2</v>
      </c>
      <c r="M261" s="41">
        <f t="shared" si="21"/>
        <v>-3.031298775979616E-2</v>
      </c>
      <c r="N261" s="180">
        <f t="shared" si="18"/>
        <v>-1.9588022553181931E-2</v>
      </c>
      <c r="O261" s="180">
        <f t="shared" si="19"/>
        <v>-1.563119122130318E-2</v>
      </c>
    </row>
    <row r="262" spans="9:15" x14ac:dyDescent="0.35">
      <c r="I262" s="408" t="s">
        <v>636</v>
      </c>
      <c r="J262" s="409">
        <v>44517</v>
      </c>
      <c r="K262" s="409">
        <v>1236.6300000000001</v>
      </c>
      <c r="L262" s="41">
        <f t="shared" si="20"/>
        <v>-1.9588022553181931E-2</v>
      </c>
      <c r="M262" s="41">
        <f t="shared" si="21"/>
        <v>-1.563119122130318E-2</v>
      </c>
      <c r="N262" s="180">
        <f t="shared" si="18"/>
        <v>1.7717525490375384E-2</v>
      </c>
      <c r="O262" s="180">
        <f t="shared" si="19"/>
        <v>1.8699595528572525E-2</v>
      </c>
    </row>
    <row r="263" spans="9:15" x14ac:dyDescent="0.35">
      <c r="I263" s="408" t="s">
        <v>637</v>
      </c>
      <c r="J263" s="409">
        <v>43742</v>
      </c>
      <c r="K263" s="409">
        <v>1213.93</v>
      </c>
      <c r="L263" s="41">
        <f t="shared" si="20"/>
        <v>1.7717525490375384E-2</v>
      </c>
      <c r="M263" s="41">
        <f t="shared" si="21"/>
        <v>1.8699595528572525E-2</v>
      </c>
      <c r="N263" s="180">
        <f t="shared" si="18"/>
        <v>-8.7922048493088607E-3</v>
      </c>
      <c r="O263" s="180">
        <f t="shared" si="19"/>
        <v>-1.3313717680909594E-2</v>
      </c>
    </row>
    <row r="264" spans="9:15" x14ac:dyDescent="0.35">
      <c r="I264" s="408" t="s">
        <v>638</v>
      </c>
      <c r="J264" s="409">
        <v>44130</v>
      </c>
      <c r="K264" s="409">
        <v>1230.31</v>
      </c>
      <c r="L264" s="41">
        <f t="shared" si="20"/>
        <v>-8.7922048493088607E-3</v>
      </c>
      <c r="M264" s="41">
        <f t="shared" si="21"/>
        <v>-1.3313717680909594E-2</v>
      </c>
      <c r="N264" s="180">
        <f t="shared" si="18"/>
        <v>-8.6933081744052839E-3</v>
      </c>
      <c r="O264" s="180">
        <f t="shared" si="19"/>
        <v>2.6649497978875848E-3</v>
      </c>
    </row>
    <row r="265" spans="9:15" x14ac:dyDescent="0.35">
      <c r="I265" s="408" t="s">
        <v>639</v>
      </c>
      <c r="J265" s="409">
        <v>44517</v>
      </c>
      <c r="K265" s="409">
        <v>1227.04</v>
      </c>
      <c r="L265" s="41">
        <f t="shared" si="20"/>
        <v>-8.6933081744052839E-3</v>
      </c>
      <c r="M265" s="41">
        <f t="shared" si="21"/>
        <v>2.6649497978875848E-3</v>
      </c>
      <c r="N265" s="180">
        <f t="shared" si="18"/>
        <v>-3.7740743142468065E-2</v>
      </c>
      <c r="O265" s="180">
        <f t="shared" si="19"/>
        <v>-4.4420908354619627E-2</v>
      </c>
    </row>
    <row r="266" spans="9:15" x14ac:dyDescent="0.35">
      <c r="I266" s="408">
        <v>44840</v>
      </c>
      <c r="J266" s="409">
        <v>46263</v>
      </c>
      <c r="K266" s="409">
        <v>1284.08</v>
      </c>
      <c r="L266" s="41">
        <f t="shared" si="20"/>
        <v>-3.7740743142468065E-2</v>
      </c>
      <c r="M266" s="41">
        <f t="shared" si="21"/>
        <v>-4.4420908354619627E-2</v>
      </c>
      <c r="N266" s="180">
        <f t="shared" si="18"/>
        <v>-6.2508055161747652E-3</v>
      </c>
      <c r="O266" s="180">
        <f t="shared" si="19"/>
        <v>-1.8137329866952157E-2</v>
      </c>
    </row>
    <row r="267" spans="9:15" x14ac:dyDescent="0.35">
      <c r="I267" s="408">
        <v>44810</v>
      </c>
      <c r="J267" s="409">
        <v>46554</v>
      </c>
      <c r="K267" s="409">
        <v>1307.8</v>
      </c>
      <c r="L267" s="41">
        <f t="shared" si="20"/>
        <v>-6.2508055161747652E-3</v>
      </c>
      <c r="M267" s="41">
        <f t="shared" si="21"/>
        <v>-1.8137329866952157E-2</v>
      </c>
      <c r="N267" s="180">
        <f t="shared" si="18"/>
        <v>1.6951374022456202E-2</v>
      </c>
      <c r="O267" s="180">
        <f t="shared" si="19"/>
        <v>-8.4103646275452687E-5</v>
      </c>
    </row>
    <row r="268" spans="9:15" x14ac:dyDescent="0.35">
      <c r="I268" s="408">
        <v>44779</v>
      </c>
      <c r="J268" s="409">
        <v>45778</v>
      </c>
      <c r="K268" s="409">
        <v>1307.9100000000001</v>
      </c>
      <c r="L268" s="41">
        <f t="shared" si="20"/>
        <v>1.6951374022456202E-2</v>
      </c>
      <c r="M268" s="41">
        <f t="shared" si="21"/>
        <v>-8.4103646275452687E-5</v>
      </c>
      <c r="N268" s="180">
        <f t="shared" si="18"/>
        <v>2.8326257384819281E-2</v>
      </c>
      <c r="O268" s="180">
        <f t="shared" si="19"/>
        <v>1.2823789057962732E-2</v>
      </c>
    </row>
    <row r="269" spans="9:15" x14ac:dyDescent="0.35">
      <c r="I269" s="408">
        <v>44748</v>
      </c>
      <c r="J269" s="409">
        <v>44517</v>
      </c>
      <c r="K269" s="409">
        <v>1291.3499999999999</v>
      </c>
      <c r="L269" s="41">
        <f t="shared" si="20"/>
        <v>2.8326257384819281E-2</v>
      </c>
      <c r="M269" s="41">
        <f t="shared" si="21"/>
        <v>1.2823789057962732E-2</v>
      </c>
      <c r="N269" s="180">
        <f t="shared" si="18"/>
        <v>0</v>
      </c>
      <c r="O269" s="180">
        <f t="shared" si="19"/>
        <v>1.0387516375841414E-3</v>
      </c>
    </row>
    <row r="270" spans="9:15" x14ac:dyDescent="0.35">
      <c r="I270" s="408">
        <v>44718</v>
      </c>
      <c r="J270" s="409">
        <v>44517</v>
      </c>
      <c r="K270" s="409">
        <v>1290.01</v>
      </c>
      <c r="L270" s="41">
        <f t="shared" si="20"/>
        <v>0</v>
      </c>
      <c r="M270" s="41">
        <f t="shared" si="21"/>
        <v>1.0387516375841414E-3</v>
      </c>
      <c r="N270" s="180">
        <f t="shared" si="18"/>
        <v>2.9128233580692144E-2</v>
      </c>
      <c r="O270" s="180">
        <f t="shared" si="19"/>
        <v>1.5761114303016915E-3</v>
      </c>
    </row>
    <row r="271" spans="9:15" x14ac:dyDescent="0.35">
      <c r="I271" s="408">
        <v>44626</v>
      </c>
      <c r="J271" s="409">
        <v>43257</v>
      </c>
      <c r="K271" s="409">
        <v>1287.98</v>
      </c>
      <c r="L271" s="41">
        <f t="shared" si="20"/>
        <v>2.9128233580692144E-2</v>
      </c>
      <c r="M271" s="41">
        <f t="shared" si="21"/>
        <v>1.5761114303016915E-3</v>
      </c>
      <c r="N271" s="180">
        <f t="shared" si="18"/>
        <v>1.3637961335676626E-2</v>
      </c>
      <c r="O271" s="180">
        <f t="shared" si="19"/>
        <v>-4.9665533671669905E-4</v>
      </c>
    </row>
    <row r="272" spans="9:15" x14ac:dyDescent="0.35">
      <c r="I272" s="408">
        <v>44598</v>
      </c>
      <c r="J272" s="409">
        <v>42675</v>
      </c>
      <c r="K272" s="409">
        <v>1288.6199999999999</v>
      </c>
      <c r="L272" s="41">
        <f t="shared" si="20"/>
        <v>1.3637961335676626E-2</v>
      </c>
      <c r="M272" s="41">
        <f t="shared" si="21"/>
        <v>-4.9665533671669905E-4</v>
      </c>
      <c r="N272" s="180">
        <f t="shared" si="18"/>
        <v>-1.566176131383494E-2</v>
      </c>
      <c r="O272" s="180">
        <f t="shared" si="19"/>
        <v>-8.387712386111865E-3</v>
      </c>
    </row>
    <row r="273" spans="9:15" x14ac:dyDescent="0.35">
      <c r="I273" s="408">
        <v>44567</v>
      </c>
      <c r="J273" s="409">
        <v>43354</v>
      </c>
      <c r="K273" s="409">
        <v>1299.52</v>
      </c>
      <c r="L273" s="41">
        <f t="shared" si="20"/>
        <v>-1.566176131383494E-2</v>
      </c>
      <c r="M273" s="41">
        <f t="shared" si="21"/>
        <v>-8.387712386111865E-3</v>
      </c>
      <c r="N273" s="180">
        <f t="shared" si="18"/>
        <v>4.3191607112779425E-2</v>
      </c>
      <c r="O273" s="180">
        <f t="shared" si="19"/>
        <v>5.2913327350929216E-3</v>
      </c>
    </row>
    <row r="274" spans="9:15" x14ac:dyDescent="0.35">
      <c r="I274" s="408" t="s">
        <v>640</v>
      </c>
      <c r="J274" s="409">
        <v>41559</v>
      </c>
      <c r="K274" s="409">
        <v>1292.68</v>
      </c>
      <c r="L274" s="41">
        <f t="shared" si="20"/>
        <v>4.3191607112779425E-2</v>
      </c>
      <c r="M274" s="41">
        <f t="shared" si="21"/>
        <v>5.2913327350929216E-3</v>
      </c>
      <c r="N274" s="180">
        <f t="shared" si="18"/>
        <v>8.2241630276564774E-3</v>
      </c>
      <c r="O274" s="180">
        <f t="shared" si="19"/>
        <v>-9.5832818103129178E-4</v>
      </c>
    </row>
    <row r="275" spans="9:15" x14ac:dyDescent="0.35">
      <c r="I275" s="408" t="s">
        <v>641</v>
      </c>
      <c r="J275" s="409">
        <v>41220</v>
      </c>
      <c r="K275" s="409">
        <v>1293.92</v>
      </c>
      <c r="L275" s="41">
        <f t="shared" si="20"/>
        <v>8.2241630276564774E-3</v>
      </c>
      <c r="M275" s="41">
        <f t="shared" si="21"/>
        <v>-9.5832818103129178E-4</v>
      </c>
      <c r="N275" s="180">
        <f t="shared" si="18"/>
        <v>-9.3251297827340891E-3</v>
      </c>
      <c r="O275" s="180">
        <f t="shared" si="19"/>
        <v>6.5891322105099594E-3</v>
      </c>
    </row>
    <row r="276" spans="9:15" x14ac:dyDescent="0.35">
      <c r="I276" s="408" t="s">
        <v>642</v>
      </c>
      <c r="J276" s="409">
        <v>41608</v>
      </c>
      <c r="K276" s="409">
        <v>1285.45</v>
      </c>
      <c r="L276" s="41">
        <f t="shared" si="20"/>
        <v>-9.3251297827340891E-3</v>
      </c>
      <c r="M276" s="41">
        <f t="shared" si="21"/>
        <v>6.5891322105099594E-3</v>
      </c>
      <c r="N276" s="180">
        <f t="shared" si="18"/>
        <v>1.1793886632784573E-2</v>
      </c>
      <c r="O276" s="180">
        <f t="shared" si="19"/>
        <v>1.3306321290902442E-2</v>
      </c>
    </row>
    <row r="277" spans="9:15" x14ac:dyDescent="0.35">
      <c r="I277" s="408" t="s">
        <v>643</v>
      </c>
      <c r="J277" s="409">
        <v>41123</v>
      </c>
      <c r="K277" s="409">
        <v>1268.57</v>
      </c>
      <c r="L277" s="41">
        <f t="shared" si="20"/>
        <v>1.1793886632784573E-2</v>
      </c>
      <c r="M277" s="41">
        <f t="shared" si="21"/>
        <v>1.3306321290902442E-2</v>
      </c>
      <c r="N277" s="180">
        <f t="shared" si="18"/>
        <v>-3.5136182998933797E-3</v>
      </c>
      <c r="O277" s="180">
        <f t="shared" si="19"/>
        <v>1.1037266542093192E-4</v>
      </c>
    </row>
    <row r="278" spans="9:15" x14ac:dyDescent="0.35">
      <c r="I278" s="408" t="s">
        <v>644</v>
      </c>
      <c r="J278" s="409">
        <v>41268</v>
      </c>
      <c r="K278" s="409">
        <v>1268.43</v>
      </c>
      <c r="L278" s="41">
        <f t="shared" si="20"/>
        <v>-3.5136182998933797E-3</v>
      </c>
      <c r="M278" s="41">
        <f t="shared" si="21"/>
        <v>1.1037266542093192E-4</v>
      </c>
      <c r="N278" s="180">
        <f t="shared" si="18"/>
        <v>5.8986983863891194E-3</v>
      </c>
      <c r="O278" s="180">
        <f t="shared" si="19"/>
        <v>2.8417843649159183E-2</v>
      </c>
    </row>
    <row r="279" spans="9:15" x14ac:dyDescent="0.35">
      <c r="I279" s="408" t="s">
        <v>645</v>
      </c>
      <c r="J279" s="409">
        <v>41026</v>
      </c>
      <c r="K279" s="409">
        <v>1233.3800000000001</v>
      </c>
      <c r="L279" s="41">
        <f t="shared" si="20"/>
        <v>5.8986983863891194E-3</v>
      </c>
      <c r="M279" s="41">
        <f t="shared" si="21"/>
        <v>2.8417843649159183E-2</v>
      </c>
      <c r="N279" s="180">
        <f t="shared" si="18"/>
        <v>-4.7064531780688984E-3</v>
      </c>
      <c r="O279" s="180">
        <f t="shared" si="19"/>
        <v>1.1954283276310634E-2</v>
      </c>
    </row>
    <row r="280" spans="9:15" x14ac:dyDescent="0.35">
      <c r="I280" s="408" t="s">
        <v>646</v>
      </c>
      <c r="J280" s="409">
        <v>41220</v>
      </c>
      <c r="K280" s="409">
        <v>1218.81</v>
      </c>
      <c r="L280" s="41">
        <f t="shared" si="20"/>
        <v>-4.7064531780688984E-3</v>
      </c>
      <c r="M280" s="41">
        <f t="shared" si="21"/>
        <v>1.1954283276310634E-2</v>
      </c>
      <c r="N280" s="180">
        <f t="shared" si="18"/>
        <v>2.3587773265569146E-3</v>
      </c>
      <c r="O280" s="180">
        <f t="shared" si="19"/>
        <v>-1.7651183596489178E-2</v>
      </c>
    </row>
    <row r="281" spans="9:15" x14ac:dyDescent="0.35">
      <c r="I281" s="408" t="s">
        <v>647</v>
      </c>
      <c r="J281" s="409">
        <v>41123</v>
      </c>
      <c r="K281" s="409">
        <v>1240.71</v>
      </c>
      <c r="L281" s="41">
        <f t="shared" si="20"/>
        <v>2.3587773265569146E-3</v>
      </c>
      <c r="M281" s="41">
        <f t="shared" si="21"/>
        <v>-1.7651183596489178E-2</v>
      </c>
      <c r="N281" s="180">
        <f t="shared" si="18"/>
        <v>1.0740795359583149E-2</v>
      </c>
      <c r="O281" s="180">
        <f t="shared" si="19"/>
        <v>-7.4900937469803131E-4</v>
      </c>
    </row>
    <row r="282" spans="9:15" x14ac:dyDescent="0.35">
      <c r="I282" s="408" t="s">
        <v>648</v>
      </c>
      <c r="J282" s="409">
        <v>40686</v>
      </c>
      <c r="K282" s="409">
        <v>1241.6400000000001</v>
      </c>
      <c r="L282" s="41">
        <f t="shared" si="20"/>
        <v>1.0740795359583149E-2</v>
      </c>
      <c r="M282" s="41">
        <f t="shared" si="21"/>
        <v>-7.4900937469803131E-4</v>
      </c>
      <c r="N282" s="180">
        <f t="shared" si="18"/>
        <v>-7.997269225142635E-3</v>
      </c>
      <c r="O282" s="180">
        <f t="shared" si="19"/>
        <v>7.0924272220260903E-4</v>
      </c>
    </row>
    <row r="283" spans="9:15" x14ac:dyDescent="0.35">
      <c r="I283" s="408" t="s">
        <v>649</v>
      </c>
      <c r="J283" s="409">
        <v>41014</v>
      </c>
      <c r="K283" s="409">
        <v>1240.76</v>
      </c>
      <c r="L283" s="41">
        <f t="shared" si="20"/>
        <v>-7.997269225142635E-3</v>
      </c>
      <c r="M283" s="41">
        <f t="shared" si="21"/>
        <v>7.0924272220260903E-4</v>
      </c>
      <c r="N283" s="180">
        <f t="shared" si="18"/>
        <v>-9.0603783614003723E-3</v>
      </c>
      <c r="O283" s="180">
        <f t="shared" si="19"/>
        <v>1.0086537443929842E-2</v>
      </c>
    </row>
    <row r="284" spans="9:15" x14ac:dyDescent="0.35">
      <c r="I284" s="408" t="s">
        <v>650</v>
      </c>
      <c r="J284" s="409">
        <v>41389</v>
      </c>
      <c r="K284" s="409">
        <v>1228.3699999999999</v>
      </c>
      <c r="L284" s="41">
        <f t="shared" si="20"/>
        <v>-9.0603783614003723E-3</v>
      </c>
      <c r="M284" s="41">
        <f t="shared" si="21"/>
        <v>1.0086537443929842E-2</v>
      </c>
      <c r="N284" s="180">
        <f t="shared" si="18"/>
        <v>5.4899961768828852E-2</v>
      </c>
      <c r="O284" s="180">
        <f t="shared" si="19"/>
        <v>4.8141985579589437E-2</v>
      </c>
    </row>
    <row r="285" spans="9:15" x14ac:dyDescent="0.35">
      <c r="I285" s="408" t="s">
        <v>651</v>
      </c>
      <c r="J285" s="409">
        <v>39235</v>
      </c>
      <c r="K285" s="409">
        <v>1171.95</v>
      </c>
      <c r="L285" s="41">
        <f t="shared" si="20"/>
        <v>5.4899961768828852E-2</v>
      </c>
      <c r="M285" s="41">
        <f t="shared" si="21"/>
        <v>4.8141985579589437E-2</v>
      </c>
      <c r="N285" s="180">
        <f t="shared" si="18"/>
        <v>4.4873501997336883E-2</v>
      </c>
      <c r="O285" s="180">
        <f t="shared" si="19"/>
        <v>-9.1480169432771683E-3</v>
      </c>
    </row>
    <row r="286" spans="9:15" x14ac:dyDescent="0.35">
      <c r="I286" s="408" t="s">
        <v>652</v>
      </c>
      <c r="J286" s="409">
        <v>37550</v>
      </c>
      <c r="K286" s="409">
        <v>1182.77</v>
      </c>
      <c r="L286" s="41">
        <f t="shared" si="20"/>
        <v>4.4873501997336883E-2</v>
      </c>
      <c r="M286" s="41">
        <f t="shared" si="21"/>
        <v>-9.1480169432771683E-3</v>
      </c>
      <c r="N286" s="180">
        <f t="shared" si="18"/>
        <v>-6.7428287594685207E-2</v>
      </c>
      <c r="O286" s="180">
        <f t="shared" si="19"/>
        <v>-4.5260082012204918E-2</v>
      </c>
    </row>
    <row r="287" spans="9:15" x14ac:dyDescent="0.35">
      <c r="I287" s="408">
        <v>44900</v>
      </c>
      <c r="J287" s="409">
        <v>40265</v>
      </c>
      <c r="K287" s="409">
        <v>1238.8399999999999</v>
      </c>
      <c r="L287" s="41">
        <f t="shared" si="20"/>
        <v>-6.7428287594685207E-2</v>
      </c>
      <c r="M287" s="41">
        <f t="shared" si="21"/>
        <v>-4.5260082012204918E-2</v>
      </c>
      <c r="N287" s="180">
        <f t="shared" si="18"/>
        <v>-4.4449190754188621E-2</v>
      </c>
      <c r="O287" s="180">
        <f t="shared" si="19"/>
        <v>-4.8166388788579637E-2</v>
      </c>
    </row>
    <row r="288" spans="9:15" x14ac:dyDescent="0.35">
      <c r="I288" s="408">
        <v>44870</v>
      </c>
      <c r="J288" s="409">
        <v>42138</v>
      </c>
      <c r="K288" s="409">
        <v>1301.53</v>
      </c>
      <c r="L288" s="41">
        <f t="shared" si="20"/>
        <v>-4.4449190754188621E-2</v>
      </c>
      <c r="M288" s="41">
        <f t="shared" si="21"/>
        <v>-4.8166388788579637E-2</v>
      </c>
      <c r="N288" s="180">
        <f t="shared" si="18"/>
        <v>4.4575814640890566E-3</v>
      </c>
      <c r="O288" s="180">
        <f t="shared" si="19"/>
        <v>6.1612913200779461E-3</v>
      </c>
    </row>
    <row r="289" spans="9:15" x14ac:dyDescent="0.35">
      <c r="I289" s="408">
        <v>44839</v>
      </c>
      <c r="J289" s="409">
        <v>41951</v>
      </c>
      <c r="K289" s="409">
        <v>1293.56</v>
      </c>
      <c r="L289" s="41">
        <f t="shared" si="20"/>
        <v>4.4575814640890566E-3</v>
      </c>
      <c r="M289" s="41">
        <f t="shared" si="21"/>
        <v>6.1612913200779461E-3</v>
      </c>
      <c r="N289" s="180">
        <f t="shared" si="18"/>
        <v>1.3578487037618691E-2</v>
      </c>
      <c r="O289" s="180">
        <f t="shared" si="19"/>
        <v>1.8856035664214534E-2</v>
      </c>
    </row>
    <row r="290" spans="9:15" x14ac:dyDescent="0.35">
      <c r="I290" s="408">
        <v>44809</v>
      </c>
      <c r="J290" s="409">
        <v>41389</v>
      </c>
      <c r="K290" s="409">
        <v>1269.6199999999999</v>
      </c>
      <c r="L290" s="41">
        <f t="shared" si="20"/>
        <v>1.3578487037618691E-2</v>
      </c>
      <c r="M290" s="41">
        <f t="shared" si="21"/>
        <v>1.8856035664214534E-2</v>
      </c>
      <c r="N290" s="180">
        <f t="shared" ref="N290:N353" si="22">(J290-J291)/J291</f>
        <v>-3.9118725913544136E-2</v>
      </c>
      <c r="O290" s="180">
        <f t="shared" si="19"/>
        <v>-4.4867068895475752E-2</v>
      </c>
    </row>
    <row r="291" spans="9:15" x14ac:dyDescent="0.35">
      <c r="I291" s="408">
        <v>44717</v>
      </c>
      <c r="J291" s="409">
        <v>43074</v>
      </c>
      <c r="K291" s="409">
        <v>1329.26</v>
      </c>
      <c r="L291" s="41">
        <f t="shared" si="20"/>
        <v>-3.9118725913544136E-2</v>
      </c>
      <c r="M291" s="41">
        <f t="shared" si="21"/>
        <v>-4.4867068895475752E-2</v>
      </c>
      <c r="N291" s="180">
        <f t="shared" si="22"/>
        <v>-2.1290132012451432E-2</v>
      </c>
      <c r="O291" s="180">
        <f t="shared" si="19"/>
        <v>-2.3091395478731274E-2</v>
      </c>
    </row>
    <row r="292" spans="9:15" x14ac:dyDescent="0.35">
      <c r="I292" s="408">
        <v>44686</v>
      </c>
      <c r="J292" s="409">
        <v>44011</v>
      </c>
      <c r="K292" s="409">
        <v>1360.68</v>
      </c>
      <c r="L292" s="41">
        <f t="shared" si="20"/>
        <v>-2.1290132012451432E-2</v>
      </c>
      <c r="M292" s="41">
        <f t="shared" si="21"/>
        <v>-2.3091395478731274E-2</v>
      </c>
      <c r="N292" s="180">
        <f t="shared" si="22"/>
        <v>-1.2608529827474031E-2</v>
      </c>
      <c r="O292" s="180">
        <f t="shared" si="19"/>
        <v>8.897588753447816E-3</v>
      </c>
    </row>
    <row r="293" spans="9:15" x14ac:dyDescent="0.35">
      <c r="I293" s="408">
        <v>44656</v>
      </c>
      <c r="J293" s="409">
        <v>44573</v>
      </c>
      <c r="K293" s="409">
        <v>1348.68</v>
      </c>
      <c r="L293" s="41">
        <f t="shared" si="20"/>
        <v>-1.2608529827474031E-2</v>
      </c>
      <c r="M293" s="41">
        <f t="shared" si="21"/>
        <v>8.897588753447816E-3</v>
      </c>
      <c r="N293" s="180">
        <f t="shared" si="22"/>
        <v>3.4800575753354691E-2</v>
      </c>
      <c r="O293" s="180">
        <f t="shared" si="19"/>
        <v>-1.3257243195785697E-2</v>
      </c>
    </row>
    <row r="294" spans="9:15" x14ac:dyDescent="0.35">
      <c r="I294" s="408" t="s">
        <v>653</v>
      </c>
      <c r="J294" s="409">
        <v>43074</v>
      </c>
      <c r="K294" s="409">
        <v>1366.8</v>
      </c>
      <c r="L294" s="41">
        <f t="shared" si="20"/>
        <v>3.4800575753354691E-2</v>
      </c>
      <c r="M294" s="41">
        <f t="shared" si="21"/>
        <v>-1.3257243195785697E-2</v>
      </c>
      <c r="N294" s="180">
        <f t="shared" si="22"/>
        <v>0</v>
      </c>
      <c r="O294" s="180">
        <f t="shared" ref="O294:O357" si="23">(K294-K295)/K295</f>
        <v>1.17025292563231E-2</v>
      </c>
    </row>
    <row r="295" spans="9:15" x14ac:dyDescent="0.35">
      <c r="I295" s="408" t="s">
        <v>654</v>
      </c>
      <c r="J295" s="409">
        <v>43074</v>
      </c>
      <c r="K295" s="409">
        <v>1350.99</v>
      </c>
      <c r="L295" s="41">
        <f t="shared" si="20"/>
        <v>0</v>
      </c>
      <c r="M295" s="41">
        <f t="shared" si="21"/>
        <v>1.17025292563231E-2</v>
      </c>
      <c r="N295" s="180">
        <f t="shared" si="22"/>
        <v>-1.7091481642060105E-2</v>
      </c>
      <c r="O295" s="180">
        <f t="shared" si="23"/>
        <v>-2.0535246016679144E-3</v>
      </c>
    </row>
    <row r="296" spans="9:15" x14ac:dyDescent="0.35">
      <c r="I296" s="408" t="s">
        <v>655</v>
      </c>
      <c r="J296" s="409">
        <v>43823</v>
      </c>
      <c r="K296" s="409">
        <v>1353.77</v>
      </c>
      <c r="L296" s="41">
        <f t="shared" si="20"/>
        <v>-1.7091481642060105E-2</v>
      </c>
      <c r="M296" s="41">
        <f t="shared" si="21"/>
        <v>-2.0535246016679144E-3</v>
      </c>
      <c r="N296" s="180">
        <f t="shared" si="22"/>
        <v>2.2945845004668532E-2</v>
      </c>
      <c r="O296" s="180">
        <f t="shared" si="23"/>
        <v>9.2668525504346882E-3</v>
      </c>
    </row>
    <row r="297" spans="9:15" x14ac:dyDescent="0.35">
      <c r="I297" s="408" t="s">
        <v>656</v>
      </c>
      <c r="J297" s="409">
        <v>42840</v>
      </c>
      <c r="K297" s="409">
        <v>1341.34</v>
      </c>
      <c r="L297" s="41">
        <f t="shared" si="20"/>
        <v>2.2945845004668532E-2</v>
      </c>
      <c r="M297" s="41">
        <f t="shared" si="21"/>
        <v>9.2668525504346882E-3</v>
      </c>
      <c r="N297" s="180">
        <f t="shared" si="22"/>
        <v>6.5194688945248394E-2</v>
      </c>
      <c r="O297" s="180">
        <f t="shared" si="23"/>
        <v>2.3205077350257716E-2</v>
      </c>
    </row>
    <row r="298" spans="9:15" x14ac:dyDescent="0.35">
      <c r="I298" s="408" t="s">
        <v>657</v>
      </c>
      <c r="J298" s="409">
        <v>40218</v>
      </c>
      <c r="K298" s="409">
        <v>1310.92</v>
      </c>
      <c r="L298" s="41">
        <f t="shared" si="20"/>
        <v>6.5194688945248394E-2</v>
      </c>
      <c r="M298" s="41">
        <f t="shared" si="21"/>
        <v>2.3205077350257716E-2</v>
      </c>
      <c r="N298" s="180">
        <f t="shared" si="22"/>
        <v>-4.5564573544069488E-2</v>
      </c>
      <c r="O298" s="180">
        <f t="shared" si="23"/>
        <v>-4.952763498473782E-2</v>
      </c>
    </row>
    <row r="299" spans="9:15" x14ac:dyDescent="0.35">
      <c r="I299" s="408" t="s">
        <v>658</v>
      </c>
      <c r="J299" s="409">
        <v>42138</v>
      </c>
      <c r="K299" s="409">
        <v>1379.23</v>
      </c>
      <c r="L299" s="41">
        <f t="shared" si="20"/>
        <v>-4.5564573544069488E-2</v>
      </c>
      <c r="M299" s="41">
        <f t="shared" si="21"/>
        <v>-4.952763498473782E-2</v>
      </c>
      <c r="N299" s="180">
        <f t="shared" si="22"/>
        <v>-2.173004596740493E-2</v>
      </c>
      <c r="O299" s="180">
        <f t="shared" si="23"/>
        <v>6.5829325431867973E-3</v>
      </c>
    </row>
    <row r="300" spans="9:15" x14ac:dyDescent="0.35">
      <c r="I300" s="408" t="s">
        <v>659</v>
      </c>
      <c r="J300" s="409">
        <v>43074</v>
      </c>
      <c r="K300" s="409">
        <v>1370.21</v>
      </c>
      <c r="L300" s="41">
        <f t="shared" si="20"/>
        <v>-2.173004596740493E-2</v>
      </c>
      <c r="M300" s="41">
        <f t="shared" si="21"/>
        <v>6.5829325431867973E-3</v>
      </c>
      <c r="N300" s="180">
        <f t="shared" si="22"/>
        <v>-1.287927399394995E-2</v>
      </c>
      <c r="O300" s="180">
        <f t="shared" si="23"/>
        <v>-1.04786527240164E-2</v>
      </c>
    </row>
    <row r="301" spans="9:15" x14ac:dyDescent="0.35">
      <c r="I301" s="408" t="s">
        <v>660</v>
      </c>
      <c r="J301" s="409">
        <v>43636</v>
      </c>
      <c r="K301" s="409">
        <v>1384.72</v>
      </c>
      <c r="L301" s="41">
        <f t="shared" si="20"/>
        <v>-1.287927399394995E-2</v>
      </c>
      <c r="M301" s="41">
        <f t="shared" si="21"/>
        <v>-1.04786527240164E-2</v>
      </c>
      <c r="N301" s="180">
        <f t="shared" si="22"/>
        <v>-3.2203690560681335E-2</v>
      </c>
      <c r="O301" s="180">
        <f t="shared" si="23"/>
        <v>-1.5450247075971429E-2</v>
      </c>
    </row>
    <row r="302" spans="9:15" x14ac:dyDescent="0.35">
      <c r="I302" s="408" t="s">
        <v>661</v>
      </c>
      <c r="J302" s="409">
        <v>45088</v>
      </c>
      <c r="K302" s="409">
        <v>1406.45</v>
      </c>
      <c r="L302" s="41">
        <f t="shared" si="20"/>
        <v>-3.2203690560681335E-2</v>
      </c>
      <c r="M302" s="41">
        <f t="shared" si="21"/>
        <v>-1.5450247075971429E-2</v>
      </c>
      <c r="N302" s="180">
        <f t="shared" si="22"/>
        <v>0</v>
      </c>
      <c r="O302" s="180">
        <f t="shared" si="23"/>
        <v>-1.8253525059332587E-2</v>
      </c>
    </row>
    <row r="303" spans="9:15" x14ac:dyDescent="0.35">
      <c r="I303" s="408" t="s">
        <v>662</v>
      </c>
      <c r="J303" s="409">
        <v>45088</v>
      </c>
      <c r="K303" s="409">
        <v>1432.6</v>
      </c>
      <c r="L303" s="41">
        <f t="shared" si="20"/>
        <v>0</v>
      </c>
      <c r="M303" s="41">
        <f t="shared" si="21"/>
        <v>-1.8253525059332587E-2</v>
      </c>
      <c r="N303" s="180">
        <f t="shared" si="22"/>
        <v>2.9947232565045574E-2</v>
      </c>
      <c r="O303" s="180">
        <f t="shared" si="23"/>
        <v>-1.7798376480912707E-2</v>
      </c>
    </row>
    <row r="304" spans="9:15" x14ac:dyDescent="0.35">
      <c r="I304" s="408" t="s">
        <v>663</v>
      </c>
      <c r="J304" s="409">
        <v>43777</v>
      </c>
      <c r="K304" s="409">
        <v>1458.56</v>
      </c>
      <c r="L304" s="41">
        <f t="shared" si="20"/>
        <v>2.9947232565045574E-2</v>
      </c>
      <c r="M304" s="41">
        <f t="shared" si="21"/>
        <v>-1.7798376480912707E-2</v>
      </c>
      <c r="N304" s="180">
        <f t="shared" si="22"/>
        <v>1.6320750336629986E-2</v>
      </c>
      <c r="O304" s="180">
        <f t="shared" si="23"/>
        <v>-9.2112056082384233E-3</v>
      </c>
    </row>
    <row r="305" spans="9:15" x14ac:dyDescent="0.35">
      <c r="I305" s="408" t="s">
        <v>664</v>
      </c>
      <c r="J305" s="409">
        <v>43074</v>
      </c>
      <c r="K305" s="409">
        <v>1472.12</v>
      </c>
      <c r="L305" s="41">
        <f t="shared" si="20"/>
        <v>1.6320750336629986E-2</v>
      </c>
      <c r="M305" s="41">
        <f t="shared" si="21"/>
        <v>-9.2112056082384233E-3</v>
      </c>
      <c r="N305" s="180">
        <f t="shared" si="22"/>
        <v>-1.8144517893777069E-2</v>
      </c>
      <c r="O305" s="180">
        <f t="shared" si="23"/>
        <v>-3.4389385323586206E-3</v>
      </c>
    </row>
    <row r="306" spans="9:15" x14ac:dyDescent="0.35">
      <c r="I306" s="408" t="s">
        <v>665</v>
      </c>
      <c r="J306" s="409">
        <v>43870</v>
      </c>
      <c r="K306" s="409">
        <v>1477.2</v>
      </c>
      <c r="L306" s="41">
        <f t="shared" si="20"/>
        <v>-1.8144517893777069E-2</v>
      </c>
      <c r="M306" s="41">
        <f t="shared" si="21"/>
        <v>-3.4389385323586206E-3</v>
      </c>
      <c r="N306" s="180">
        <f t="shared" si="22"/>
        <v>1.9592348990168963E-2</v>
      </c>
      <c r="O306" s="180">
        <f t="shared" si="23"/>
        <v>1.5083319017351002E-2</v>
      </c>
    </row>
    <row r="307" spans="9:15" x14ac:dyDescent="0.35">
      <c r="I307" s="408">
        <v>44899</v>
      </c>
      <c r="J307" s="409">
        <v>43027</v>
      </c>
      <c r="K307" s="409">
        <v>1455.25</v>
      </c>
      <c r="L307" s="41">
        <f t="shared" si="20"/>
        <v>1.9592348990168963E-2</v>
      </c>
      <c r="M307" s="41">
        <f t="shared" si="21"/>
        <v>1.5083319017351002E-2</v>
      </c>
      <c r="N307" s="180">
        <f t="shared" si="22"/>
        <v>-1.816397781986628E-2</v>
      </c>
      <c r="O307" s="180">
        <f t="shared" si="23"/>
        <v>-1.8049932523616734E-2</v>
      </c>
    </row>
    <row r="308" spans="9:15" x14ac:dyDescent="0.35">
      <c r="I308" s="408">
        <v>44777</v>
      </c>
      <c r="J308" s="409">
        <v>43823</v>
      </c>
      <c r="K308" s="409">
        <v>1482</v>
      </c>
      <c r="L308" s="41">
        <f t="shared" si="20"/>
        <v>-1.816397781986628E-2</v>
      </c>
      <c r="M308" s="41">
        <f t="shared" si="21"/>
        <v>-1.8049932523616734E-2</v>
      </c>
      <c r="N308" s="180">
        <f t="shared" si="22"/>
        <v>-1.0713471620697516E-3</v>
      </c>
      <c r="O308" s="180">
        <f t="shared" si="23"/>
        <v>-1.354544546876554E-2</v>
      </c>
    </row>
    <row r="309" spans="9:15" x14ac:dyDescent="0.35">
      <c r="I309" s="408">
        <v>44746</v>
      </c>
      <c r="J309" s="409">
        <v>43870</v>
      </c>
      <c r="K309" s="409">
        <v>1502.35</v>
      </c>
      <c r="L309" s="41">
        <f t="shared" si="20"/>
        <v>-1.0713471620697516E-3</v>
      </c>
      <c r="M309" s="41">
        <f t="shared" si="21"/>
        <v>-1.354544546876554E-2</v>
      </c>
      <c r="N309" s="180">
        <f t="shared" si="22"/>
        <v>5.3625446878723991E-3</v>
      </c>
      <c r="O309" s="180">
        <f t="shared" si="23"/>
        <v>-1.3493991726311761E-2</v>
      </c>
    </row>
    <row r="310" spans="9:15" x14ac:dyDescent="0.35">
      <c r="I310" s="408">
        <v>44716</v>
      </c>
      <c r="J310" s="409">
        <v>43636</v>
      </c>
      <c r="K310" s="409">
        <v>1522.9</v>
      </c>
      <c r="L310" s="41">
        <f t="shared" si="20"/>
        <v>5.3625446878723991E-3</v>
      </c>
      <c r="M310" s="41">
        <f t="shared" si="21"/>
        <v>-1.3493991726311761E-2</v>
      </c>
      <c r="N310" s="180">
        <f t="shared" si="22"/>
        <v>1.4153903363004625E-2</v>
      </c>
      <c r="O310" s="180">
        <f t="shared" si="23"/>
        <v>1.8881206291981858E-3</v>
      </c>
    </row>
    <row r="311" spans="9:15" x14ac:dyDescent="0.35">
      <c r="I311" s="408">
        <v>44685</v>
      </c>
      <c r="J311" s="409">
        <v>43027</v>
      </c>
      <c r="K311" s="409">
        <v>1520.03</v>
      </c>
      <c r="L311" s="41">
        <f t="shared" si="20"/>
        <v>1.4153903363004625E-2</v>
      </c>
      <c r="M311" s="41">
        <f t="shared" si="21"/>
        <v>1.8881206291981858E-3</v>
      </c>
      <c r="N311" s="180">
        <f t="shared" si="22"/>
        <v>-1.0911454705855041E-3</v>
      </c>
      <c r="O311" s="180">
        <f t="shared" si="23"/>
        <v>-3.0628976192038256E-3</v>
      </c>
    </row>
    <row r="312" spans="9:15" x14ac:dyDescent="0.35">
      <c r="I312" s="408">
        <v>44655</v>
      </c>
      <c r="J312" s="409">
        <v>43074</v>
      </c>
      <c r="K312" s="409">
        <v>1524.7</v>
      </c>
      <c r="L312" s="41">
        <f t="shared" si="20"/>
        <v>-1.0911454705855041E-3</v>
      </c>
      <c r="M312" s="41">
        <f t="shared" si="21"/>
        <v>-3.0628976192038256E-3</v>
      </c>
      <c r="N312" s="180">
        <f t="shared" si="22"/>
        <v>-5.4031587697423106E-3</v>
      </c>
      <c r="O312" s="180">
        <f t="shared" si="23"/>
        <v>5.4469678984991098E-3</v>
      </c>
    </row>
    <row r="313" spans="9:15" x14ac:dyDescent="0.35">
      <c r="I313" s="408">
        <v>44565</v>
      </c>
      <c r="J313" s="409">
        <v>43308</v>
      </c>
      <c r="K313" s="409">
        <v>1516.44</v>
      </c>
      <c r="L313" s="41">
        <f t="shared" si="20"/>
        <v>-5.4031587697423106E-3</v>
      </c>
      <c r="M313" s="41">
        <f t="shared" si="21"/>
        <v>5.4469678984991098E-3</v>
      </c>
      <c r="N313" s="180">
        <f t="shared" si="22"/>
        <v>-1.1751819820642129E-2</v>
      </c>
      <c r="O313" s="180">
        <f t="shared" si="23"/>
        <v>1.6278524277049868E-2</v>
      </c>
    </row>
    <row r="314" spans="9:15" x14ac:dyDescent="0.35">
      <c r="I314" s="408" t="s">
        <v>666</v>
      </c>
      <c r="J314" s="409">
        <v>43823</v>
      </c>
      <c r="K314" s="409">
        <v>1492.15</v>
      </c>
      <c r="L314" s="41">
        <f t="shared" si="20"/>
        <v>-1.1751819820642129E-2</v>
      </c>
      <c r="M314" s="41">
        <f t="shared" si="21"/>
        <v>1.6278524277049868E-2</v>
      </c>
      <c r="N314" s="180">
        <f t="shared" si="22"/>
        <v>2.1824795392543193E-2</v>
      </c>
      <c r="O314" s="180">
        <f t="shared" si="23"/>
        <v>1.1002945300602478E-3</v>
      </c>
    </row>
    <row r="315" spans="9:15" x14ac:dyDescent="0.35">
      <c r="I315" s="408" t="s">
        <v>667</v>
      </c>
      <c r="J315" s="409">
        <v>42887</v>
      </c>
      <c r="K315" s="409">
        <v>1490.51</v>
      </c>
      <c r="L315" s="41">
        <f t="shared" si="20"/>
        <v>2.1824795392543193E-2</v>
      </c>
      <c r="M315" s="41">
        <f t="shared" si="21"/>
        <v>1.1002945300602478E-3</v>
      </c>
      <c r="N315" s="180">
        <f t="shared" si="22"/>
        <v>0</v>
      </c>
      <c r="O315" s="180">
        <f t="shared" si="23"/>
        <v>-4.8405619057792972E-3</v>
      </c>
    </row>
    <row r="316" spans="9:15" x14ac:dyDescent="0.35">
      <c r="I316" s="408" t="s">
        <v>668</v>
      </c>
      <c r="J316" s="409">
        <v>42887</v>
      </c>
      <c r="K316" s="409">
        <v>1497.76</v>
      </c>
      <c r="L316" s="41">
        <f t="shared" si="20"/>
        <v>0</v>
      </c>
      <c r="M316" s="41">
        <f t="shared" si="21"/>
        <v>-4.8405619057792972E-3</v>
      </c>
      <c r="N316" s="180">
        <f t="shared" si="22"/>
        <v>1.0971055088702148E-3</v>
      </c>
      <c r="O316" s="180">
        <f t="shared" si="23"/>
        <v>9.8302296417157233E-3</v>
      </c>
    </row>
    <row r="317" spans="9:15" x14ac:dyDescent="0.35">
      <c r="I317" s="408" t="s">
        <v>669</v>
      </c>
      <c r="J317" s="409">
        <v>42840</v>
      </c>
      <c r="K317" s="409">
        <v>1483.18</v>
      </c>
      <c r="L317" s="41">
        <f t="shared" si="20"/>
        <v>1.0971055088702148E-3</v>
      </c>
      <c r="M317" s="41">
        <f t="shared" si="21"/>
        <v>9.8302296417157233E-3</v>
      </c>
      <c r="N317" s="180">
        <f t="shared" si="22"/>
        <v>1.6659547202050404E-2</v>
      </c>
      <c r="O317" s="180">
        <f t="shared" si="23"/>
        <v>-1.0223556890223515E-2</v>
      </c>
    </row>
    <row r="318" spans="9:15" x14ac:dyDescent="0.35">
      <c r="I318" s="408" t="s">
        <v>670</v>
      </c>
      <c r="J318" s="409">
        <v>42138</v>
      </c>
      <c r="K318" s="409">
        <v>1498.5</v>
      </c>
      <c r="L318" s="41">
        <f t="shared" si="20"/>
        <v>1.6659547202050404E-2</v>
      </c>
      <c r="M318" s="41">
        <f t="shared" si="21"/>
        <v>-1.0223556890223515E-2</v>
      </c>
      <c r="N318" s="180">
        <f t="shared" si="22"/>
        <v>-1.8540084781292217E-2</v>
      </c>
      <c r="O318" s="180">
        <f t="shared" si="23"/>
        <v>1.6018581554603947E-4</v>
      </c>
    </row>
    <row r="319" spans="9:15" x14ac:dyDescent="0.35">
      <c r="I319" s="408" t="s">
        <v>671</v>
      </c>
      <c r="J319" s="409">
        <v>42934</v>
      </c>
      <c r="K319" s="409">
        <v>1498.26</v>
      </c>
      <c r="L319" s="41">
        <f t="shared" si="20"/>
        <v>-1.8540084781292217E-2</v>
      </c>
      <c r="M319" s="41">
        <f t="shared" si="21"/>
        <v>1.6018581554603947E-4</v>
      </c>
      <c r="N319" s="180">
        <f t="shared" si="22"/>
        <v>2.1942110177404295E-3</v>
      </c>
      <c r="O319" s="180">
        <f t="shared" si="23"/>
        <v>-2.715763409081784E-3</v>
      </c>
    </row>
    <row r="320" spans="9:15" x14ac:dyDescent="0.35">
      <c r="I320" s="408" t="s">
        <v>672</v>
      </c>
      <c r="J320" s="409">
        <v>42840</v>
      </c>
      <c r="K320" s="409">
        <v>1502.34</v>
      </c>
      <c r="L320" s="41">
        <f t="shared" si="20"/>
        <v>2.1942110177404295E-3</v>
      </c>
      <c r="M320" s="41">
        <f t="shared" si="21"/>
        <v>-2.715763409081784E-3</v>
      </c>
      <c r="N320" s="180">
        <f t="shared" si="22"/>
        <v>1.0983104713387704E-3</v>
      </c>
      <c r="O320" s="180">
        <f t="shared" si="23"/>
        <v>-9.575868810597658E-4</v>
      </c>
    </row>
    <row r="321" spans="9:15" x14ac:dyDescent="0.35">
      <c r="I321" s="408" t="s">
        <v>673</v>
      </c>
      <c r="J321" s="409">
        <v>42793</v>
      </c>
      <c r="K321" s="409">
        <v>1503.78</v>
      </c>
      <c r="L321" s="41">
        <f t="shared" si="20"/>
        <v>1.0983104713387704E-3</v>
      </c>
      <c r="M321" s="41">
        <f t="shared" si="21"/>
        <v>-9.575868810597658E-4</v>
      </c>
      <c r="N321" s="180">
        <f t="shared" si="22"/>
        <v>-2.247755670786029E-2</v>
      </c>
      <c r="O321" s="180">
        <f t="shared" si="23"/>
        <v>5.9065520585972284E-3</v>
      </c>
    </row>
    <row r="322" spans="9:15" x14ac:dyDescent="0.35">
      <c r="I322" s="408" t="s">
        <v>674</v>
      </c>
      <c r="J322" s="409">
        <v>43777</v>
      </c>
      <c r="K322" s="409">
        <v>1494.95</v>
      </c>
      <c r="L322" s="41">
        <f t="shared" si="20"/>
        <v>-2.247755670786029E-2</v>
      </c>
      <c r="M322" s="41">
        <f t="shared" si="21"/>
        <v>5.9065520585972284E-3</v>
      </c>
      <c r="N322" s="180">
        <f t="shared" si="22"/>
        <v>0</v>
      </c>
      <c r="O322" s="180">
        <f t="shared" si="23"/>
        <v>1.7595806956640214E-2</v>
      </c>
    </row>
    <row r="323" spans="9:15" x14ac:dyDescent="0.35">
      <c r="I323" s="408" t="s">
        <v>675</v>
      </c>
      <c r="J323" s="409">
        <v>43777</v>
      </c>
      <c r="K323" s="409">
        <v>1469.1</v>
      </c>
      <c r="L323" s="41">
        <f t="shared" si="20"/>
        <v>0</v>
      </c>
      <c r="M323" s="41">
        <f t="shared" si="21"/>
        <v>1.7595806956640214E-2</v>
      </c>
      <c r="N323" s="180">
        <f t="shared" si="22"/>
        <v>-5.3168526050305608E-3</v>
      </c>
      <c r="O323" s="180">
        <f t="shared" si="23"/>
        <v>5.3101947527611588E-3</v>
      </c>
    </row>
    <row r="324" spans="9:15" x14ac:dyDescent="0.35">
      <c r="I324" s="408" t="s">
        <v>676</v>
      </c>
      <c r="J324" s="409">
        <v>44011</v>
      </c>
      <c r="K324" s="409">
        <v>1461.34</v>
      </c>
      <c r="L324" s="41">
        <f t="shared" ref="L324:L387" si="24">(J323-J324)/J324</f>
        <v>-5.3168526050305608E-3</v>
      </c>
      <c r="M324" s="41">
        <f t="shared" ref="M324:M387" si="25">(K323-K324)/K324</f>
        <v>5.3101947527611588E-3</v>
      </c>
      <c r="N324" s="180">
        <f t="shared" si="22"/>
        <v>2.1404012113760049E-3</v>
      </c>
      <c r="O324" s="180">
        <f t="shared" si="23"/>
        <v>1.3773443977715739E-3</v>
      </c>
    </row>
    <row r="325" spans="9:15" x14ac:dyDescent="0.35">
      <c r="I325" s="408" t="s">
        <v>677</v>
      </c>
      <c r="J325" s="409">
        <v>43917</v>
      </c>
      <c r="K325" s="409">
        <v>1459.33</v>
      </c>
      <c r="L325" s="41">
        <f t="shared" si="24"/>
        <v>2.1404012113760049E-3</v>
      </c>
      <c r="M325" s="41">
        <f t="shared" si="25"/>
        <v>1.3773443977715739E-3</v>
      </c>
      <c r="N325" s="180">
        <f t="shared" si="22"/>
        <v>2.4016601767435353E-2</v>
      </c>
      <c r="O325" s="180">
        <f t="shared" si="23"/>
        <v>4.5362556272973264E-3</v>
      </c>
    </row>
    <row r="326" spans="9:15" x14ac:dyDescent="0.35">
      <c r="I326" s="408" t="s">
        <v>678</v>
      </c>
      <c r="J326" s="409">
        <v>42887</v>
      </c>
      <c r="K326" s="409">
        <v>1452.74</v>
      </c>
      <c r="L326" s="41">
        <f t="shared" si="24"/>
        <v>2.4016601767435353E-2</v>
      </c>
      <c r="M326" s="41">
        <f t="shared" si="25"/>
        <v>4.5362556272973264E-3</v>
      </c>
      <c r="N326" s="180">
        <f t="shared" si="22"/>
        <v>-1.0794602698650674E-2</v>
      </c>
      <c r="O326" s="180">
        <f t="shared" si="23"/>
        <v>4.4874675885911907E-3</v>
      </c>
    </row>
    <row r="327" spans="9:15" x14ac:dyDescent="0.35">
      <c r="I327" s="408" t="s">
        <v>679</v>
      </c>
      <c r="J327" s="409">
        <v>43355</v>
      </c>
      <c r="K327" s="409">
        <v>1446.25</v>
      </c>
      <c r="L327" s="41">
        <f t="shared" si="24"/>
        <v>-1.0794602698650674E-2</v>
      </c>
      <c r="M327" s="41">
        <f t="shared" si="25"/>
        <v>4.4874675885911907E-3</v>
      </c>
      <c r="N327" s="180">
        <f t="shared" si="22"/>
        <v>-1.907326123353998E-2</v>
      </c>
      <c r="O327" s="180">
        <f t="shared" si="23"/>
        <v>-1.3835285774680517E-2</v>
      </c>
    </row>
    <row r="328" spans="9:15" x14ac:dyDescent="0.35">
      <c r="I328" s="408">
        <v>44868</v>
      </c>
      <c r="J328" s="409">
        <v>44198</v>
      </c>
      <c r="K328" s="409">
        <v>1466.54</v>
      </c>
      <c r="L328" s="41">
        <f t="shared" si="24"/>
        <v>-1.907326123353998E-2</v>
      </c>
      <c r="M328" s="41">
        <f t="shared" si="25"/>
        <v>-1.3835285774680517E-2</v>
      </c>
      <c r="N328" s="180">
        <f t="shared" si="22"/>
        <v>1.7238601578862575E-2</v>
      </c>
      <c r="O328" s="180">
        <f t="shared" si="23"/>
        <v>-8.4782432322795011E-3</v>
      </c>
    </row>
    <row r="329" spans="9:15" x14ac:dyDescent="0.35">
      <c r="I329" s="408">
        <v>44837</v>
      </c>
      <c r="J329" s="409">
        <v>43449</v>
      </c>
      <c r="K329" s="409">
        <v>1479.08</v>
      </c>
      <c r="L329" s="41">
        <f t="shared" si="24"/>
        <v>1.7238601578862575E-2</v>
      </c>
      <c r="M329" s="41">
        <f t="shared" si="25"/>
        <v>-8.4782432322795011E-3</v>
      </c>
      <c r="N329" s="180">
        <f t="shared" si="22"/>
        <v>2.8817010797499525E-2</v>
      </c>
      <c r="O329" s="180">
        <f t="shared" si="23"/>
        <v>3.6234342557031215E-3</v>
      </c>
    </row>
    <row r="330" spans="9:15" x14ac:dyDescent="0.35">
      <c r="I330" s="408">
        <v>44807</v>
      </c>
      <c r="J330" s="409">
        <v>42232</v>
      </c>
      <c r="K330" s="409">
        <v>1473.74</v>
      </c>
      <c r="L330" s="41">
        <f t="shared" si="24"/>
        <v>2.8817010797499525E-2</v>
      </c>
      <c r="M330" s="41">
        <f t="shared" si="25"/>
        <v>3.6234342557031215E-3</v>
      </c>
      <c r="N330" s="180">
        <f t="shared" si="22"/>
        <v>-1.7426304646239035E-2</v>
      </c>
      <c r="O330" s="180">
        <f t="shared" si="23"/>
        <v>2.0356786613358607E-5</v>
      </c>
    </row>
    <row r="331" spans="9:15" x14ac:dyDescent="0.35">
      <c r="I331" s="408">
        <v>44776</v>
      </c>
      <c r="J331" s="409">
        <v>42981</v>
      </c>
      <c r="K331" s="409">
        <v>1473.71</v>
      </c>
      <c r="L331" s="41">
        <f t="shared" si="24"/>
        <v>-1.7426304646239035E-2</v>
      </c>
      <c r="M331" s="41">
        <f t="shared" si="25"/>
        <v>2.0356786613358607E-5</v>
      </c>
      <c r="N331" s="180">
        <f t="shared" si="22"/>
        <v>3.4963519468323337E-2</v>
      </c>
      <c r="O331" s="180">
        <f t="shared" si="23"/>
        <v>-1.6904039224842345E-2</v>
      </c>
    </row>
    <row r="332" spans="9:15" x14ac:dyDescent="0.35">
      <c r="I332" s="408">
        <v>44745</v>
      </c>
      <c r="J332" s="409">
        <v>41529</v>
      </c>
      <c r="K332" s="409">
        <v>1499.05</v>
      </c>
      <c r="L332" s="41">
        <f t="shared" si="24"/>
        <v>3.4963519468323337E-2</v>
      </c>
      <c r="M332" s="41">
        <f t="shared" si="25"/>
        <v>-1.6904039224842345E-2</v>
      </c>
      <c r="N332" s="180">
        <f t="shared" si="22"/>
        <v>0</v>
      </c>
      <c r="O332" s="180">
        <f t="shared" si="23"/>
        <v>-4.1718427188722563E-3</v>
      </c>
    </row>
    <row r="333" spans="9:15" x14ac:dyDescent="0.35">
      <c r="I333" s="408">
        <v>44654</v>
      </c>
      <c r="J333" s="409">
        <v>41529</v>
      </c>
      <c r="K333" s="409">
        <v>1505.33</v>
      </c>
      <c r="L333" s="41">
        <f t="shared" si="24"/>
        <v>0</v>
      </c>
      <c r="M333" s="41">
        <f t="shared" si="25"/>
        <v>-4.1718427188722563E-3</v>
      </c>
      <c r="N333" s="180">
        <f t="shared" si="22"/>
        <v>3.3825412549228057E-3</v>
      </c>
      <c r="O333" s="180">
        <f t="shared" si="23"/>
        <v>2.1926910298998488E-4</v>
      </c>
    </row>
    <row r="334" spans="9:15" x14ac:dyDescent="0.35">
      <c r="I334" s="408">
        <v>44623</v>
      </c>
      <c r="J334" s="409">
        <v>41389</v>
      </c>
      <c r="K334" s="409">
        <v>1505</v>
      </c>
      <c r="L334" s="41">
        <f t="shared" si="24"/>
        <v>3.3825412549228057E-3</v>
      </c>
      <c r="M334" s="41">
        <f t="shared" si="25"/>
        <v>2.1926910298998488E-4</v>
      </c>
      <c r="N334" s="180">
        <f t="shared" si="22"/>
        <v>-6.7434605231581476E-3</v>
      </c>
      <c r="O334" s="180">
        <f t="shared" si="23"/>
        <v>1.3113253271581681E-2</v>
      </c>
    </row>
    <row r="335" spans="9:15" x14ac:dyDescent="0.35">
      <c r="I335" s="408">
        <v>44595</v>
      </c>
      <c r="J335" s="409">
        <v>41670</v>
      </c>
      <c r="K335" s="409">
        <v>1485.52</v>
      </c>
      <c r="L335" s="41">
        <f t="shared" si="24"/>
        <v>-6.7434605231581476E-3</v>
      </c>
      <c r="M335" s="41">
        <f t="shared" si="25"/>
        <v>1.3113253271581681E-2</v>
      </c>
      <c r="N335" s="180">
        <f t="shared" si="22"/>
        <v>0</v>
      </c>
      <c r="O335" s="180">
        <f t="shared" si="23"/>
        <v>-8.8471957191849308E-3</v>
      </c>
    </row>
    <row r="336" spans="9:15" x14ac:dyDescent="0.35">
      <c r="I336" s="408">
        <v>44564</v>
      </c>
      <c r="J336" s="409">
        <v>41670</v>
      </c>
      <c r="K336" s="409">
        <v>1498.78</v>
      </c>
      <c r="L336" s="41">
        <f t="shared" si="24"/>
        <v>0</v>
      </c>
      <c r="M336" s="41">
        <f t="shared" si="25"/>
        <v>-8.8471957191849308E-3</v>
      </c>
      <c r="N336" s="180">
        <f t="shared" si="22"/>
        <v>1.599453845028527E-2</v>
      </c>
      <c r="O336" s="180">
        <f t="shared" si="23"/>
        <v>5.804862662989043E-3</v>
      </c>
    </row>
    <row r="337" spans="9:15" x14ac:dyDescent="0.35">
      <c r="I337" s="408" t="s">
        <v>680</v>
      </c>
      <c r="J337" s="409">
        <v>41014</v>
      </c>
      <c r="K337" s="409">
        <v>1490.13</v>
      </c>
      <c r="L337" s="41">
        <f t="shared" si="24"/>
        <v>1.599453845028527E-2</v>
      </c>
      <c r="M337" s="41">
        <f t="shared" si="25"/>
        <v>5.804862662989043E-3</v>
      </c>
      <c r="N337" s="180">
        <f t="shared" si="22"/>
        <v>6.8985834581297718E-3</v>
      </c>
      <c r="O337" s="180">
        <f t="shared" si="23"/>
        <v>-5.8443248003522538E-3</v>
      </c>
    </row>
    <row r="338" spans="9:15" x14ac:dyDescent="0.35">
      <c r="I338" s="408" t="s">
        <v>681</v>
      </c>
      <c r="J338" s="409">
        <v>40733</v>
      </c>
      <c r="K338" s="409">
        <v>1498.89</v>
      </c>
      <c r="L338" s="41">
        <f t="shared" si="24"/>
        <v>6.8985834581297718E-3</v>
      </c>
      <c r="M338" s="41">
        <f t="shared" si="25"/>
        <v>-5.8443248003522538E-3</v>
      </c>
      <c r="N338" s="180">
        <f t="shared" si="22"/>
        <v>8.0928574964114243E-3</v>
      </c>
      <c r="O338" s="180">
        <f t="shared" si="23"/>
        <v>2.7026123022378108E-3</v>
      </c>
    </row>
    <row r="339" spans="9:15" x14ac:dyDescent="0.35">
      <c r="I339" s="408" t="s">
        <v>682</v>
      </c>
      <c r="J339" s="409">
        <v>40406</v>
      </c>
      <c r="K339" s="409">
        <v>1494.85</v>
      </c>
      <c r="L339" s="41">
        <f t="shared" si="24"/>
        <v>8.0928574964114243E-3</v>
      </c>
      <c r="M339" s="41">
        <f t="shared" si="25"/>
        <v>2.7026123022378108E-3</v>
      </c>
      <c r="N339" s="180">
        <f t="shared" si="22"/>
        <v>1.1645481800837483E-3</v>
      </c>
      <c r="O339" s="180">
        <f t="shared" si="23"/>
        <v>-1.1538715863254676E-2</v>
      </c>
    </row>
    <row r="340" spans="9:15" x14ac:dyDescent="0.35">
      <c r="I340" s="408" t="s">
        <v>683</v>
      </c>
      <c r="J340" s="409">
        <v>40359</v>
      </c>
      <c r="K340" s="409">
        <v>1512.3</v>
      </c>
      <c r="L340" s="41">
        <f t="shared" si="24"/>
        <v>1.1645481800837483E-3</v>
      </c>
      <c r="M340" s="41">
        <f t="shared" si="25"/>
        <v>-1.1538715863254676E-2</v>
      </c>
      <c r="N340" s="180">
        <f t="shared" si="22"/>
        <v>1.1659059337170074E-3</v>
      </c>
      <c r="O340" s="180">
        <f t="shared" si="23"/>
        <v>5.8730802742987401E-3</v>
      </c>
    </row>
    <row r="341" spans="9:15" x14ac:dyDescent="0.35">
      <c r="I341" s="408" t="s">
        <v>684</v>
      </c>
      <c r="J341" s="409">
        <v>40312</v>
      </c>
      <c r="K341" s="409">
        <v>1503.47</v>
      </c>
      <c r="L341" s="41">
        <f t="shared" si="24"/>
        <v>1.1659059337170074E-3</v>
      </c>
      <c r="M341" s="41">
        <f t="shared" si="25"/>
        <v>5.8730802742987401E-3</v>
      </c>
      <c r="N341" s="180">
        <f t="shared" si="22"/>
        <v>-9.1923511773091479E-3</v>
      </c>
      <c r="O341" s="180">
        <f t="shared" si="23"/>
        <v>-4.8780810674855651E-3</v>
      </c>
    </row>
    <row r="342" spans="9:15" x14ac:dyDescent="0.35">
      <c r="I342" s="408" t="s">
        <v>685</v>
      </c>
      <c r="J342" s="409">
        <v>40686</v>
      </c>
      <c r="K342" s="409">
        <v>1510.84</v>
      </c>
      <c r="L342" s="41">
        <f t="shared" si="24"/>
        <v>-9.1923511773091479E-3</v>
      </c>
      <c r="M342" s="41">
        <f t="shared" si="25"/>
        <v>-4.8780810674855651E-3</v>
      </c>
      <c r="N342" s="180">
        <f t="shared" si="22"/>
        <v>-7.997269225142635E-3</v>
      </c>
      <c r="O342" s="180">
        <f t="shared" si="23"/>
        <v>3.987134844900455E-3</v>
      </c>
    </row>
    <row r="343" spans="9:15" x14ac:dyDescent="0.35">
      <c r="I343" s="408" t="s">
        <v>686</v>
      </c>
      <c r="J343" s="409">
        <v>41014</v>
      </c>
      <c r="K343" s="409">
        <v>1504.84</v>
      </c>
      <c r="L343" s="41">
        <f t="shared" si="24"/>
        <v>-7.997269225142635E-3</v>
      </c>
      <c r="M343" s="41">
        <f t="shared" si="25"/>
        <v>3.987134844900455E-3</v>
      </c>
      <c r="N343" s="180">
        <f t="shared" si="22"/>
        <v>-4.5628852968302514E-3</v>
      </c>
      <c r="O343" s="180">
        <f t="shared" si="23"/>
        <v>-2.0888732683904342E-3</v>
      </c>
    </row>
    <row r="344" spans="9:15" x14ac:dyDescent="0.35">
      <c r="I344" s="408" t="s">
        <v>687</v>
      </c>
      <c r="J344" s="409">
        <v>41202</v>
      </c>
      <c r="K344" s="409">
        <v>1507.99</v>
      </c>
      <c r="L344" s="41">
        <f t="shared" si="24"/>
        <v>-4.5628852968302514E-3</v>
      </c>
      <c r="M344" s="41">
        <f t="shared" si="25"/>
        <v>-2.0888732683904342E-3</v>
      </c>
      <c r="N344" s="180">
        <f t="shared" si="22"/>
        <v>1.5002586652871184E-2</v>
      </c>
      <c r="O344" s="180">
        <f t="shared" si="23"/>
        <v>1.0649420280142149E-2</v>
      </c>
    </row>
    <row r="345" spans="9:15" x14ac:dyDescent="0.35">
      <c r="I345" s="408" t="s">
        <v>688</v>
      </c>
      <c r="J345" s="409">
        <v>40593</v>
      </c>
      <c r="K345" s="409">
        <v>1492.1</v>
      </c>
      <c r="L345" s="41">
        <f t="shared" si="24"/>
        <v>1.5002586652871184E-2</v>
      </c>
      <c r="M345" s="41">
        <f t="shared" si="25"/>
        <v>1.0649420280142149E-2</v>
      </c>
      <c r="N345" s="180">
        <f t="shared" si="22"/>
        <v>-1.6999636759898292E-2</v>
      </c>
      <c r="O345" s="180">
        <f t="shared" si="23"/>
        <v>-4.3543795009217279E-4</v>
      </c>
    </row>
    <row r="346" spans="9:15" x14ac:dyDescent="0.35">
      <c r="I346" s="408" t="s">
        <v>689</v>
      </c>
      <c r="J346" s="409">
        <v>41295</v>
      </c>
      <c r="K346" s="409">
        <v>1492.75</v>
      </c>
      <c r="L346" s="41">
        <f t="shared" si="24"/>
        <v>-1.6999636759898292E-2</v>
      </c>
      <c r="M346" s="41">
        <f t="shared" si="25"/>
        <v>-4.3543795009217279E-4</v>
      </c>
      <c r="N346" s="180">
        <f t="shared" si="22"/>
        <v>8.0064442111943759E-3</v>
      </c>
      <c r="O346" s="180">
        <f t="shared" si="23"/>
        <v>1.4124025109377948E-2</v>
      </c>
    </row>
    <row r="347" spans="9:15" x14ac:dyDescent="0.35">
      <c r="I347" s="408" t="s">
        <v>690</v>
      </c>
      <c r="J347" s="409">
        <v>40967</v>
      </c>
      <c r="K347" s="409">
        <v>1471.96</v>
      </c>
      <c r="L347" s="41">
        <f t="shared" si="24"/>
        <v>8.0064442111943759E-3</v>
      </c>
      <c r="M347" s="41">
        <f t="shared" si="25"/>
        <v>1.4124025109377948E-2</v>
      </c>
      <c r="N347" s="180">
        <f t="shared" si="22"/>
        <v>5.7447278619301304E-3</v>
      </c>
      <c r="O347" s="180">
        <f t="shared" si="23"/>
        <v>-1.9810749079382836E-2</v>
      </c>
    </row>
    <row r="348" spans="9:15" x14ac:dyDescent="0.35">
      <c r="I348" s="408">
        <v>44867</v>
      </c>
      <c r="J348" s="409">
        <v>40733</v>
      </c>
      <c r="K348" s="409">
        <v>1501.71</v>
      </c>
      <c r="L348" s="41">
        <f t="shared" si="24"/>
        <v>5.7447278619301304E-3</v>
      </c>
      <c r="M348" s="41">
        <f t="shared" si="25"/>
        <v>-1.9810749079382836E-2</v>
      </c>
      <c r="N348" s="180">
        <f t="shared" si="22"/>
        <v>-2.4662979192107845E-2</v>
      </c>
      <c r="O348" s="180">
        <f t="shared" si="23"/>
        <v>-3.3714054380503768E-3</v>
      </c>
    </row>
    <row r="349" spans="9:15" x14ac:dyDescent="0.35">
      <c r="I349" s="408">
        <v>44836</v>
      </c>
      <c r="J349" s="409">
        <v>41763</v>
      </c>
      <c r="K349" s="409">
        <v>1506.79</v>
      </c>
      <c r="L349" s="41">
        <f t="shared" si="24"/>
        <v>-2.4662979192107845E-2</v>
      </c>
      <c r="M349" s="41">
        <f t="shared" si="25"/>
        <v>-3.3714054380503768E-3</v>
      </c>
      <c r="N349" s="180">
        <f t="shared" si="22"/>
        <v>3.7203526636036259E-2</v>
      </c>
      <c r="O349" s="180">
        <f t="shared" si="23"/>
        <v>9.3664058244420309E-4</v>
      </c>
    </row>
    <row r="350" spans="9:15" x14ac:dyDescent="0.35">
      <c r="I350" s="408">
        <v>44806</v>
      </c>
      <c r="J350" s="409">
        <v>40265</v>
      </c>
      <c r="K350" s="409">
        <v>1505.38</v>
      </c>
      <c r="L350" s="41">
        <f t="shared" si="24"/>
        <v>3.7203526636036259E-2</v>
      </c>
      <c r="M350" s="41">
        <f t="shared" si="25"/>
        <v>9.3664058244420309E-4</v>
      </c>
      <c r="N350" s="180">
        <f t="shared" si="22"/>
        <v>9.375548369306359E-3</v>
      </c>
      <c r="O350" s="180">
        <f t="shared" si="23"/>
        <v>2.9247363406818831E-3</v>
      </c>
    </row>
    <row r="351" spans="9:15" x14ac:dyDescent="0.35">
      <c r="I351" s="408">
        <v>44775</v>
      </c>
      <c r="J351" s="409">
        <v>39891</v>
      </c>
      <c r="K351" s="409">
        <v>1500.99</v>
      </c>
      <c r="L351" s="41">
        <f t="shared" si="24"/>
        <v>9.375548369306359E-3</v>
      </c>
      <c r="M351" s="41">
        <f t="shared" si="25"/>
        <v>2.9247363406818831E-3</v>
      </c>
      <c r="N351" s="180">
        <f t="shared" si="22"/>
        <v>0</v>
      </c>
      <c r="O351" s="180">
        <f t="shared" si="23"/>
        <v>2.223468611033163E-3</v>
      </c>
    </row>
    <row r="352" spans="9:15" x14ac:dyDescent="0.35">
      <c r="I352" s="408">
        <v>44744</v>
      </c>
      <c r="J352" s="409">
        <v>39891</v>
      </c>
      <c r="K352" s="409">
        <v>1497.66</v>
      </c>
      <c r="L352" s="41">
        <f t="shared" si="24"/>
        <v>0</v>
      </c>
      <c r="M352" s="41">
        <f t="shared" si="25"/>
        <v>2.223468611033163E-3</v>
      </c>
      <c r="N352" s="180">
        <f t="shared" si="22"/>
        <v>2.2819927694161687E-2</v>
      </c>
      <c r="O352" s="180">
        <f t="shared" si="23"/>
        <v>1.2644020122248096E-2</v>
      </c>
    </row>
    <row r="353" spans="9:15" x14ac:dyDescent="0.35">
      <c r="I353" s="408" t="s">
        <v>691</v>
      </c>
      <c r="J353" s="409">
        <v>39001</v>
      </c>
      <c r="K353" s="409">
        <v>1478.96</v>
      </c>
      <c r="L353" s="41">
        <f t="shared" si="24"/>
        <v>2.2819927694161687E-2</v>
      </c>
      <c r="M353" s="41">
        <f t="shared" si="25"/>
        <v>1.2644020122248096E-2</v>
      </c>
      <c r="N353" s="180">
        <f t="shared" si="22"/>
        <v>2.5856173391551371E-2</v>
      </c>
      <c r="O353" s="180">
        <f t="shared" si="23"/>
        <v>5.5753487992602777E-3</v>
      </c>
    </row>
    <row r="354" spans="9:15" x14ac:dyDescent="0.35">
      <c r="I354" s="408" t="s">
        <v>692</v>
      </c>
      <c r="J354" s="409">
        <v>38018</v>
      </c>
      <c r="K354" s="409">
        <v>1470.76</v>
      </c>
      <c r="L354" s="41">
        <f t="shared" si="24"/>
        <v>2.5856173391551371E-2</v>
      </c>
      <c r="M354" s="41">
        <f t="shared" si="25"/>
        <v>5.5753487992602777E-3</v>
      </c>
      <c r="N354" s="180">
        <f t="shared" ref="N354:N417" si="26">(J354-J355)/J355</f>
        <v>-1.2347300669906739E-3</v>
      </c>
      <c r="O354" s="180">
        <f t="shared" si="23"/>
        <v>-7.3030143495457127E-3</v>
      </c>
    </row>
    <row r="355" spans="9:15" x14ac:dyDescent="0.35">
      <c r="I355" s="408" t="s">
        <v>693</v>
      </c>
      <c r="J355" s="409">
        <v>38065</v>
      </c>
      <c r="K355" s="409">
        <v>1481.58</v>
      </c>
      <c r="L355" s="41">
        <f t="shared" si="24"/>
        <v>-1.2347300669906739E-3</v>
      </c>
      <c r="M355" s="41">
        <f t="shared" si="25"/>
        <v>-7.3030143495457127E-3</v>
      </c>
      <c r="N355" s="180">
        <f t="shared" si="26"/>
        <v>3.7179622402700135E-3</v>
      </c>
      <c r="O355" s="180">
        <f t="shared" si="23"/>
        <v>1.351734951810649E-3</v>
      </c>
    </row>
    <row r="356" spans="9:15" x14ac:dyDescent="0.35">
      <c r="I356" s="408" t="s">
        <v>694</v>
      </c>
      <c r="J356" s="409">
        <v>37924</v>
      </c>
      <c r="K356" s="409">
        <v>1479.58</v>
      </c>
      <c r="L356" s="41">
        <f t="shared" si="24"/>
        <v>3.7179622402700135E-3</v>
      </c>
      <c r="M356" s="41">
        <f t="shared" si="25"/>
        <v>1.351734951810649E-3</v>
      </c>
      <c r="N356" s="180">
        <f t="shared" si="26"/>
        <v>-2.4725130201483508E-3</v>
      </c>
      <c r="O356" s="180">
        <f t="shared" si="23"/>
        <v>2.7693077078022581E-2</v>
      </c>
    </row>
    <row r="357" spans="9:15" x14ac:dyDescent="0.35">
      <c r="I357" s="408" t="s">
        <v>695</v>
      </c>
      <c r="J357" s="409">
        <v>38018</v>
      </c>
      <c r="K357" s="409">
        <v>1439.71</v>
      </c>
      <c r="L357" s="41">
        <f t="shared" si="24"/>
        <v>-2.4725130201483508E-3</v>
      </c>
      <c r="M357" s="41">
        <f t="shared" si="25"/>
        <v>2.7693077078022581E-2</v>
      </c>
      <c r="N357" s="180">
        <f t="shared" si="26"/>
        <v>0</v>
      </c>
      <c r="O357" s="180">
        <f t="shared" si="23"/>
        <v>-2.2527140519658671E-2</v>
      </c>
    </row>
    <row r="358" spans="9:15" x14ac:dyDescent="0.35">
      <c r="I358" s="408" t="s">
        <v>696</v>
      </c>
      <c r="J358" s="409">
        <v>38018</v>
      </c>
      <c r="K358" s="409">
        <v>1472.89</v>
      </c>
      <c r="L358" s="41">
        <f t="shared" si="24"/>
        <v>0</v>
      </c>
      <c r="M358" s="41">
        <f t="shared" si="25"/>
        <v>-2.2527140519658671E-2</v>
      </c>
      <c r="N358" s="180">
        <f t="shared" si="26"/>
        <v>-1.3365167518750162E-2</v>
      </c>
      <c r="O358" s="180">
        <f t="shared" ref="O358:O421" si="27">(K358-K359)/K359</f>
        <v>5.1798266566574396E-3</v>
      </c>
    </row>
    <row r="359" spans="9:15" x14ac:dyDescent="0.35">
      <c r="I359" s="408" t="s">
        <v>697</v>
      </c>
      <c r="J359" s="409">
        <v>38533</v>
      </c>
      <c r="K359" s="409">
        <v>1465.3</v>
      </c>
      <c r="L359" s="41">
        <f t="shared" si="24"/>
        <v>-1.3365167518750162E-2</v>
      </c>
      <c r="M359" s="41">
        <f t="shared" si="25"/>
        <v>5.1798266566574396E-3</v>
      </c>
      <c r="N359" s="180">
        <f t="shared" si="26"/>
        <v>7.3460211230785321E-3</v>
      </c>
      <c r="O359" s="180">
        <f t="shared" si="27"/>
        <v>1.5601716119462979E-2</v>
      </c>
    </row>
    <row r="360" spans="9:15" x14ac:dyDescent="0.35">
      <c r="I360" s="408" t="s">
        <v>698</v>
      </c>
      <c r="J360" s="409">
        <v>38252</v>
      </c>
      <c r="K360" s="409">
        <v>1442.79</v>
      </c>
      <c r="L360" s="41">
        <f t="shared" si="24"/>
        <v>7.3460211230785321E-3</v>
      </c>
      <c r="M360" s="41">
        <f t="shared" si="25"/>
        <v>1.5601716119462979E-2</v>
      </c>
      <c r="N360" s="180">
        <f t="shared" si="26"/>
        <v>8.6488767007699609E-3</v>
      </c>
      <c r="O360" s="180">
        <f t="shared" si="27"/>
        <v>2.6755806357456938E-3</v>
      </c>
    </row>
    <row r="361" spans="9:15" x14ac:dyDescent="0.35">
      <c r="I361" s="408" t="s">
        <v>699</v>
      </c>
      <c r="J361" s="409">
        <v>37924</v>
      </c>
      <c r="K361" s="409">
        <v>1438.94</v>
      </c>
      <c r="L361" s="41">
        <f t="shared" si="24"/>
        <v>8.6488767007699609E-3</v>
      </c>
      <c r="M361" s="41">
        <f t="shared" si="25"/>
        <v>2.6755806357456938E-3</v>
      </c>
      <c r="N361" s="180">
        <f t="shared" si="26"/>
        <v>-2.4725130201483508E-3</v>
      </c>
      <c r="O361" s="180">
        <f t="shared" si="27"/>
        <v>-9.5674678560611383E-3</v>
      </c>
    </row>
    <row r="362" spans="9:15" x14ac:dyDescent="0.35">
      <c r="I362" s="408" t="s">
        <v>700</v>
      </c>
      <c r="J362" s="409">
        <v>38018</v>
      </c>
      <c r="K362" s="409">
        <v>1452.84</v>
      </c>
      <c r="L362" s="41">
        <f t="shared" si="24"/>
        <v>-2.4725130201483508E-3</v>
      </c>
      <c r="M362" s="41">
        <f t="shared" si="25"/>
        <v>-9.5674678560611383E-3</v>
      </c>
      <c r="N362" s="180">
        <f t="shared" si="26"/>
        <v>-2.7548279831180456E-2</v>
      </c>
      <c r="O362" s="180">
        <f t="shared" si="27"/>
        <v>-2.8863250491303637E-2</v>
      </c>
    </row>
    <row r="363" spans="9:15" x14ac:dyDescent="0.35">
      <c r="I363" s="408" t="s">
        <v>701</v>
      </c>
      <c r="J363" s="409">
        <v>39095</v>
      </c>
      <c r="K363" s="409">
        <v>1496.02</v>
      </c>
      <c r="L363" s="41">
        <f t="shared" si="24"/>
        <v>-2.7548279831180456E-2</v>
      </c>
      <c r="M363" s="41">
        <f t="shared" si="25"/>
        <v>-2.8863250491303637E-2</v>
      </c>
      <c r="N363" s="180">
        <f t="shared" si="26"/>
        <v>-1.1752382412304233E-3</v>
      </c>
      <c r="O363" s="180">
        <f t="shared" si="27"/>
        <v>-2.0052805721715662E-5</v>
      </c>
    </row>
    <row r="364" spans="9:15" x14ac:dyDescent="0.35">
      <c r="I364" s="408" t="s">
        <v>702</v>
      </c>
      <c r="J364" s="409">
        <v>39141</v>
      </c>
      <c r="K364" s="409">
        <v>1496.05</v>
      </c>
      <c r="L364" s="41">
        <f t="shared" si="24"/>
        <v>-1.1752382412304233E-3</v>
      </c>
      <c r="M364" s="41">
        <f t="shared" si="25"/>
        <v>-2.0052805721715662E-5</v>
      </c>
      <c r="N364" s="180">
        <f t="shared" si="26"/>
        <v>3.5896515473962205E-3</v>
      </c>
      <c r="O364" s="180">
        <f t="shared" si="27"/>
        <v>-9.5729257005912147E-3</v>
      </c>
    </row>
    <row r="365" spans="9:15" x14ac:dyDescent="0.35">
      <c r="I365" s="408">
        <v>44896</v>
      </c>
      <c r="J365" s="409">
        <v>39001</v>
      </c>
      <c r="K365" s="409">
        <v>1510.51</v>
      </c>
      <c r="L365" s="41">
        <f t="shared" si="24"/>
        <v>3.5896515473962205E-3</v>
      </c>
      <c r="M365" s="41">
        <f t="shared" si="25"/>
        <v>-9.5729257005912147E-3</v>
      </c>
      <c r="N365" s="180">
        <f t="shared" si="26"/>
        <v>1.3381489372758926E-2</v>
      </c>
      <c r="O365" s="180">
        <f t="shared" si="27"/>
        <v>1.2195857429086481E-2</v>
      </c>
    </row>
    <row r="366" spans="9:15" x14ac:dyDescent="0.35">
      <c r="I366" s="408">
        <v>44866</v>
      </c>
      <c r="J366" s="409">
        <v>38486</v>
      </c>
      <c r="K366" s="409">
        <v>1492.31</v>
      </c>
      <c r="L366" s="41">
        <f t="shared" si="24"/>
        <v>1.3381489372758926E-2</v>
      </c>
      <c r="M366" s="41">
        <f t="shared" si="25"/>
        <v>1.2195857429086481E-2</v>
      </c>
      <c r="N366" s="180">
        <f t="shared" si="26"/>
        <v>2.2394601918019286E-2</v>
      </c>
      <c r="O366" s="180">
        <f t="shared" si="27"/>
        <v>-7.5812490440311563E-3</v>
      </c>
    </row>
    <row r="367" spans="9:15" x14ac:dyDescent="0.35">
      <c r="I367" s="408">
        <v>44835</v>
      </c>
      <c r="J367" s="409">
        <v>37643</v>
      </c>
      <c r="K367" s="409">
        <v>1503.71</v>
      </c>
      <c r="L367" s="41">
        <f t="shared" si="24"/>
        <v>2.2394601918019286E-2</v>
      </c>
      <c r="M367" s="41">
        <f t="shared" si="25"/>
        <v>-7.5812490440311563E-3</v>
      </c>
      <c r="N367" s="180">
        <f t="shared" si="26"/>
        <v>-4.172394480932743E-2</v>
      </c>
      <c r="O367" s="180">
        <f t="shared" si="27"/>
        <v>-1.6205642206636648E-2</v>
      </c>
    </row>
    <row r="368" spans="9:15" x14ac:dyDescent="0.35">
      <c r="I368" s="408">
        <v>44743</v>
      </c>
      <c r="J368" s="409">
        <v>39282</v>
      </c>
      <c r="K368" s="409">
        <v>1528.48</v>
      </c>
      <c r="L368" s="41">
        <f t="shared" si="24"/>
        <v>-4.172394480932743E-2</v>
      </c>
      <c r="M368" s="41">
        <f t="shared" si="25"/>
        <v>-1.6205642206636648E-2</v>
      </c>
      <c r="N368" s="180">
        <f t="shared" si="26"/>
        <v>-3.3415354330708663E-2</v>
      </c>
      <c r="O368" s="180">
        <f t="shared" si="27"/>
        <v>-5.8878559699534957E-5</v>
      </c>
    </row>
    <row r="369" spans="9:15" x14ac:dyDescent="0.35">
      <c r="I369" s="408">
        <v>44713</v>
      </c>
      <c r="J369" s="409">
        <v>40640</v>
      </c>
      <c r="K369" s="409">
        <v>1528.57</v>
      </c>
      <c r="L369" s="41">
        <f t="shared" si="24"/>
        <v>-3.3415354330708663E-2</v>
      </c>
      <c r="M369" s="41">
        <f t="shared" si="25"/>
        <v>-5.8878559699534957E-5</v>
      </c>
      <c r="N369" s="180">
        <f t="shared" si="26"/>
        <v>-9.1188374701321497E-3</v>
      </c>
      <c r="O369" s="180">
        <f t="shared" si="27"/>
        <v>3.9868637110015998E-3</v>
      </c>
    </row>
    <row r="370" spans="9:15" x14ac:dyDescent="0.35">
      <c r="I370" s="408">
        <v>44682</v>
      </c>
      <c r="J370" s="409">
        <v>41014</v>
      </c>
      <c r="K370" s="409">
        <v>1522.5</v>
      </c>
      <c r="L370" s="41">
        <f t="shared" si="24"/>
        <v>-9.1188374701321497E-3</v>
      </c>
      <c r="M370" s="41">
        <f t="shared" si="25"/>
        <v>3.9868637110015998E-3</v>
      </c>
      <c r="N370" s="180">
        <f t="shared" si="26"/>
        <v>-1.3517413892630364E-2</v>
      </c>
      <c r="O370" s="180">
        <f t="shared" si="27"/>
        <v>-2.0189042855831402E-3</v>
      </c>
    </row>
    <row r="371" spans="9:15" x14ac:dyDescent="0.35">
      <c r="I371" s="408">
        <v>44652</v>
      </c>
      <c r="J371" s="409">
        <v>41576</v>
      </c>
      <c r="K371" s="409">
        <v>1525.58</v>
      </c>
      <c r="L371" s="41">
        <f t="shared" si="24"/>
        <v>-1.3517413892630364E-2</v>
      </c>
      <c r="M371" s="41">
        <f t="shared" si="25"/>
        <v>-2.0189042855831402E-3</v>
      </c>
      <c r="N371" s="180">
        <f t="shared" si="26"/>
        <v>-1.5346722243273967E-2</v>
      </c>
      <c r="O371" s="180">
        <f t="shared" si="27"/>
        <v>1.8220893290973619E-2</v>
      </c>
    </row>
    <row r="372" spans="9:15" x14ac:dyDescent="0.35">
      <c r="I372" s="408" t="s">
        <v>703</v>
      </c>
      <c r="J372" s="409">
        <v>42224</v>
      </c>
      <c r="K372" s="409">
        <v>1498.28</v>
      </c>
      <c r="L372" s="41">
        <f t="shared" si="24"/>
        <v>-1.5346722243273967E-2</v>
      </c>
      <c r="M372" s="41">
        <f t="shared" si="25"/>
        <v>1.8220893290973619E-2</v>
      </c>
      <c r="N372" s="180">
        <f t="shared" si="26"/>
        <v>8.8402542170401867E-3</v>
      </c>
      <c r="O372" s="180">
        <f t="shared" si="27"/>
        <v>8.2841510932252643E-3</v>
      </c>
    </row>
    <row r="373" spans="9:15" x14ac:dyDescent="0.35">
      <c r="I373" s="408" t="s">
        <v>704</v>
      </c>
      <c r="J373" s="409">
        <v>41854</v>
      </c>
      <c r="K373" s="409">
        <v>1485.97</v>
      </c>
      <c r="L373" s="41">
        <f t="shared" si="24"/>
        <v>8.8402542170401867E-3</v>
      </c>
      <c r="M373" s="41">
        <f t="shared" si="25"/>
        <v>8.2841510932252643E-3</v>
      </c>
      <c r="N373" s="180">
        <f t="shared" si="26"/>
        <v>1.2311041238360141E-2</v>
      </c>
      <c r="O373" s="180">
        <f t="shared" si="27"/>
        <v>1.0095435517094328E-4</v>
      </c>
    </row>
    <row r="374" spans="9:15" x14ac:dyDescent="0.35">
      <c r="I374" s="408" t="s">
        <v>705</v>
      </c>
      <c r="J374" s="409">
        <v>41345</v>
      </c>
      <c r="K374" s="409">
        <v>1485.82</v>
      </c>
      <c r="L374" s="41">
        <f t="shared" si="24"/>
        <v>1.2311041238360141E-2</v>
      </c>
      <c r="M374" s="41">
        <f t="shared" si="25"/>
        <v>1.0095435517094328E-4</v>
      </c>
      <c r="N374" s="180">
        <f t="shared" si="26"/>
        <v>-1.8679388588246464E-2</v>
      </c>
      <c r="O374" s="180">
        <f t="shared" si="27"/>
        <v>-5.734781415828641E-3</v>
      </c>
    </row>
    <row r="375" spans="9:15" x14ac:dyDescent="0.35">
      <c r="I375" s="408" t="s">
        <v>706</v>
      </c>
      <c r="J375" s="409">
        <v>42132</v>
      </c>
      <c r="K375" s="409">
        <v>1494.39</v>
      </c>
      <c r="L375" s="41">
        <f t="shared" si="24"/>
        <v>-1.8679388588246464E-2</v>
      </c>
      <c r="M375" s="41">
        <f t="shared" si="25"/>
        <v>-5.734781415828641E-3</v>
      </c>
      <c r="N375" s="180">
        <f t="shared" si="26"/>
        <v>-1.0869820401455571E-2</v>
      </c>
      <c r="O375" s="180">
        <f t="shared" si="27"/>
        <v>3.7007683627961895E-3</v>
      </c>
    </row>
    <row r="376" spans="9:15" x14ac:dyDescent="0.35">
      <c r="I376" s="408" t="s">
        <v>707</v>
      </c>
      <c r="J376" s="409">
        <v>42595</v>
      </c>
      <c r="K376" s="409">
        <v>1488.88</v>
      </c>
      <c r="L376" s="41">
        <f t="shared" si="24"/>
        <v>-1.0869820401455571E-2</v>
      </c>
      <c r="M376" s="41">
        <f t="shared" si="25"/>
        <v>3.7007683627961895E-3</v>
      </c>
      <c r="N376" s="180">
        <f t="shared" si="26"/>
        <v>2.450933230710025E-2</v>
      </c>
      <c r="O376" s="180">
        <f t="shared" si="27"/>
        <v>8.0228566786051305E-3</v>
      </c>
    </row>
    <row r="377" spans="9:15" x14ac:dyDescent="0.35">
      <c r="I377" s="408" t="s">
        <v>708</v>
      </c>
      <c r="J377" s="409">
        <v>41576</v>
      </c>
      <c r="K377" s="409">
        <v>1477.03</v>
      </c>
      <c r="L377" s="41">
        <f t="shared" si="24"/>
        <v>2.450933230710025E-2</v>
      </c>
      <c r="M377" s="41">
        <f t="shared" si="25"/>
        <v>8.0228566786051305E-3</v>
      </c>
      <c r="N377" s="180">
        <f t="shared" si="26"/>
        <v>-2.2318750149991603E-3</v>
      </c>
      <c r="O377" s="180">
        <f t="shared" si="27"/>
        <v>1.3775258071601099E-2</v>
      </c>
    </row>
    <row r="378" spans="9:15" x14ac:dyDescent="0.35">
      <c r="I378" s="408" t="s">
        <v>709</v>
      </c>
      <c r="J378" s="409">
        <v>41669</v>
      </c>
      <c r="K378" s="409">
        <v>1456.96</v>
      </c>
      <c r="L378" s="41">
        <f t="shared" si="24"/>
        <v>-2.2318750149991603E-3</v>
      </c>
      <c r="M378" s="41">
        <f t="shared" si="25"/>
        <v>1.3775258071601099E-2</v>
      </c>
      <c r="N378" s="180">
        <f t="shared" si="26"/>
        <v>0</v>
      </c>
      <c r="O378" s="180">
        <f t="shared" si="27"/>
        <v>-1.401530788335693E-2</v>
      </c>
    </row>
    <row r="379" spans="9:15" x14ac:dyDescent="0.35">
      <c r="I379" s="408" t="s">
        <v>710</v>
      </c>
      <c r="J379" s="409">
        <v>41669</v>
      </c>
      <c r="K379" s="409">
        <v>1477.67</v>
      </c>
      <c r="L379" s="41">
        <f t="shared" si="24"/>
        <v>0</v>
      </c>
      <c r="M379" s="41">
        <f t="shared" si="25"/>
        <v>-1.401530788335693E-2</v>
      </c>
      <c r="N379" s="180">
        <f t="shared" si="26"/>
        <v>-1.9599077690461625E-2</v>
      </c>
      <c r="O379" s="180">
        <f t="shared" si="27"/>
        <v>-7.2358900144713491E-4</v>
      </c>
    </row>
    <row r="380" spans="9:15" x14ac:dyDescent="0.35">
      <c r="I380" s="408" t="s">
        <v>711</v>
      </c>
      <c r="J380" s="409">
        <v>42502</v>
      </c>
      <c r="K380" s="409">
        <v>1478.74</v>
      </c>
      <c r="L380" s="41">
        <f t="shared" si="24"/>
        <v>-1.9599077690461625E-2</v>
      </c>
      <c r="M380" s="41">
        <f t="shared" si="25"/>
        <v>-7.2358900144713491E-4</v>
      </c>
      <c r="N380" s="180">
        <f t="shared" si="26"/>
        <v>-1.0811318980915672E-3</v>
      </c>
      <c r="O380" s="180">
        <f t="shared" si="27"/>
        <v>9.5442453615649989E-4</v>
      </c>
    </row>
    <row r="381" spans="9:15" x14ac:dyDescent="0.35">
      <c r="I381" s="408" t="s">
        <v>712</v>
      </c>
      <c r="J381" s="409">
        <v>42548</v>
      </c>
      <c r="K381" s="409">
        <v>1477.33</v>
      </c>
      <c r="L381" s="41">
        <f t="shared" si="24"/>
        <v>-1.0811318980915672E-3</v>
      </c>
      <c r="M381" s="41">
        <f t="shared" si="25"/>
        <v>9.5442453615649989E-4</v>
      </c>
      <c r="N381" s="180">
        <f t="shared" si="26"/>
        <v>3.2776061685019691E-3</v>
      </c>
      <c r="O381" s="180">
        <f t="shared" si="27"/>
        <v>-1.6623980429655806E-3</v>
      </c>
    </row>
    <row r="382" spans="9:15" x14ac:dyDescent="0.35">
      <c r="I382" s="408" t="s">
        <v>713</v>
      </c>
      <c r="J382" s="409">
        <v>42409</v>
      </c>
      <c r="K382" s="409">
        <v>1479.79</v>
      </c>
      <c r="L382" s="41">
        <f t="shared" si="24"/>
        <v>3.2776061685019691E-3</v>
      </c>
      <c r="M382" s="41">
        <f t="shared" si="25"/>
        <v>-1.6623980429655806E-3</v>
      </c>
      <c r="N382" s="180">
        <f t="shared" si="26"/>
        <v>-6.5125213765314964E-3</v>
      </c>
      <c r="O382" s="180">
        <f t="shared" si="27"/>
        <v>2.1535815144148175E-3</v>
      </c>
    </row>
    <row r="383" spans="9:15" x14ac:dyDescent="0.35">
      <c r="I383" s="408" t="s">
        <v>714</v>
      </c>
      <c r="J383" s="409">
        <v>42687</v>
      </c>
      <c r="K383" s="409">
        <v>1476.61</v>
      </c>
      <c r="L383" s="41">
        <f t="shared" si="24"/>
        <v>-6.5125213765314964E-3</v>
      </c>
      <c r="M383" s="41">
        <f t="shared" si="25"/>
        <v>2.1535815144148175E-3</v>
      </c>
      <c r="N383" s="180">
        <f t="shared" si="26"/>
        <v>6.5552123370039381E-3</v>
      </c>
      <c r="O383" s="180">
        <f t="shared" si="27"/>
        <v>7.522873602168078E-4</v>
      </c>
    </row>
    <row r="384" spans="9:15" x14ac:dyDescent="0.35">
      <c r="I384" s="408" t="s">
        <v>715</v>
      </c>
      <c r="J384" s="409">
        <v>42409</v>
      </c>
      <c r="K384" s="409">
        <v>1475.5</v>
      </c>
      <c r="L384" s="41">
        <f t="shared" si="24"/>
        <v>6.5552123370039381E-3</v>
      </c>
      <c r="M384" s="41">
        <f t="shared" si="25"/>
        <v>7.522873602168078E-4</v>
      </c>
      <c r="N384" s="180">
        <f t="shared" si="26"/>
        <v>4.3813944676013641E-3</v>
      </c>
      <c r="O384" s="180">
        <f t="shared" si="27"/>
        <v>-3.5229874933942755E-4</v>
      </c>
    </row>
    <row r="385" spans="9:15" x14ac:dyDescent="0.35">
      <c r="I385" s="408" t="s">
        <v>716</v>
      </c>
      <c r="J385" s="409">
        <v>42224</v>
      </c>
      <c r="K385" s="409">
        <v>1476.02</v>
      </c>
      <c r="L385" s="41">
        <f t="shared" si="24"/>
        <v>4.3813944676013641E-3</v>
      </c>
      <c r="M385" s="41">
        <f t="shared" si="25"/>
        <v>-3.5229874933942755E-4</v>
      </c>
      <c r="N385" s="180">
        <f t="shared" si="26"/>
        <v>4.4006755631675349E-3</v>
      </c>
      <c r="O385" s="180">
        <f t="shared" si="27"/>
        <v>-1.2870797515262365E-4</v>
      </c>
    </row>
    <row r="386" spans="9:15" x14ac:dyDescent="0.35">
      <c r="I386" s="408" t="s">
        <v>717</v>
      </c>
      <c r="J386" s="409">
        <v>42039</v>
      </c>
      <c r="K386" s="409">
        <v>1476.21</v>
      </c>
      <c r="L386" s="41">
        <f t="shared" si="24"/>
        <v>4.4006755631675349E-3</v>
      </c>
      <c r="M386" s="41">
        <f t="shared" si="25"/>
        <v>-1.2870797515262365E-4</v>
      </c>
      <c r="N386" s="180">
        <f t="shared" si="26"/>
        <v>2.2171363181233013E-3</v>
      </c>
      <c r="O386" s="180">
        <f t="shared" si="27"/>
        <v>8.6570917091436331E-3</v>
      </c>
    </row>
    <row r="387" spans="9:15" x14ac:dyDescent="0.35">
      <c r="I387" s="408">
        <v>44481</v>
      </c>
      <c r="J387" s="409">
        <v>41946</v>
      </c>
      <c r="K387" s="409">
        <v>1463.54</v>
      </c>
      <c r="L387" s="41">
        <f t="shared" si="24"/>
        <v>2.2171363181233013E-3</v>
      </c>
      <c r="M387" s="41">
        <f t="shared" si="25"/>
        <v>8.6570917091436331E-3</v>
      </c>
      <c r="N387" s="180">
        <f t="shared" si="26"/>
        <v>-2.2122314993220579E-3</v>
      </c>
      <c r="O387" s="180">
        <f t="shared" si="27"/>
        <v>-3.0245643673619902E-3</v>
      </c>
    </row>
    <row r="388" spans="9:15" x14ac:dyDescent="0.35">
      <c r="I388" s="408">
        <v>44451</v>
      </c>
      <c r="J388" s="409">
        <v>42039</v>
      </c>
      <c r="K388" s="409">
        <v>1467.98</v>
      </c>
      <c r="L388" s="41">
        <f t="shared" ref="L388:L451" si="28">(J387-J388)/J388</f>
        <v>-2.2122314993220579E-3</v>
      </c>
      <c r="M388" s="41">
        <f t="shared" ref="M388:M451" si="29">(K387-K388)/K388</f>
        <v>-3.0245643673619902E-3</v>
      </c>
      <c r="N388" s="180">
        <f t="shared" si="26"/>
        <v>5.5252583237657867E-3</v>
      </c>
      <c r="O388" s="180">
        <f t="shared" si="27"/>
        <v>1.0400104620509838E-2</v>
      </c>
    </row>
    <row r="389" spans="9:15" x14ac:dyDescent="0.35">
      <c r="I389" s="408">
        <v>44420</v>
      </c>
      <c r="J389" s="409">
        <v>41808</v>
      </c>
      <c r="K389" s="409">
        <v>1452.87</v>
      </c>
      <c r="L389" s="41">
        <f t="shared" si="28"/>
        <v>5.5252583237657867E-3</v>
      </c>
      <c r="M389" s="41">
        <f t="shared" si="29"/>
        <v>1.0400104620509838E-2</v>
      </c>
      <c r="N389" s="180">
        <f t="shared" si="26"/>
        <v>3.3358131944611104E-3</v>
      </c>
      <c r="O389" s="180">
        <f t="shared" si="27"/>
        <v>4.2162886982726414E-3</v>
      </c>
    </row>
    <row r="390" spans="9:15" x14ac:dyDescent="0.35">
      <c r="I390" s="408">
        <v>44389</v>
      </c>
      <c r="J390" s="409">
        <v>41669</v>
      </c>
      <c r="K390" s="409">
        <v>1446.77</v>
      </c>
      <c r="L390" s="41">
        <f t="shared" si="28"/>
        <v>3.3358131944611104E-3</v>
      </c>
      <c r="M390" s="41">
        <f t="shared" si="29"/>
        <v>4.2162886982726414E-3</v>
      </c>
      <c r="N390" s="180">
        <f t="shared" si="26"/>
        <v>0</v>
      </c>
      <c r="O390" s="180">
        <f t="shared" si="27"/>
        <v>2.3479392747492223E-2</v>
      </c>
    </row>
    <row r="391" spans="9:15" x14ac:dyDescent="0.35">
      <c r="I391" s="408">
        <v>44359</v>
      </c>
      <c r="J391" s="409">
        <v>41669</v>
      </c>
      <c r="K391" s="409">
        <v>1413.58</v>
      </c>
      <c r="L391" s="41">
        <f t="shared" si="28"/>
        <v>0</v>
      </c>
      <c r="M391" s="41">
        <f t="shared" si="29"/>
        <v>2.3479392747492223E-2</v>
      </c>
      <c r="N391" s="180">
        <f t="shared" si="26"/>
        <v>-5.660078335484163E-2</v>
      </c>
      <c r="O391" s="180">
        <f t="shared" si="27"/>
        <v>-2.0605271180334235E-2</v>
      </c>
    </row>
    <row r="392" spans="9:15" x14ac:dyDescent="0.35">
      <c r="I392" s="408">
        <v>44267</v>
      </c>
      <c r="J392" s="409">
        <v>44169</v>
      </c>
      <c r="K392" s="409">
        <v>1443.32</v>
      </c>
      <c r="L392" s="41">
        <f t="shared" si="28"/>
        <v>-5.660078335484163E-2</v>
      </c>
      <c r="M392" s="41">
        <f t="shared" si="29"/>
        <v>-2.0605271180334235E-2</v>
      </c>
      <c r="N392" s="180">
        <f t="shared" si="26"/>
        <v>-1.1392631720309772E-2</v>
      </c>
      <c r="O392" s="180">
        <f t="shared" si="27"/>
        <v>-2.6132721568098257E-2</v>
      </c>
    </row>
    <row r="393" spans="9:15" x14ac:dyDescent="0.35">
      <c r="I393" s="408">
        <v>44239</v>
      </c>
      <c r="J393" s="409">
        <v>44678</v>
      </c>
      <c r="K393" s="409">
        <v>1482.05</v>
      </c>
      <c r="L393" s="41">
        <f t="shared" si="28"/>
        <v>-1.1392631720309772E-2</v>
      </c>
      <c r="M393" s="41">
        <f t="shared" si="29"/>
        <v>-2.6132721568098257E-2</v>
      </c>
      <c r="N393" s="180">
        <f t="shared" si="26"/>
        <v>5.1972011609332461E-3</v>
      </c>
      <c r="O393" s="180">
        <f t="shared" si="27"/>
        <v>-2.1142076098008334E-3</v>
      </c>
    </row>
    <row r="394" spans="9:15" x14ac:dyDescent="0.35">
      <c r="I394" s="408">
        <v>44208</v>
      </c>
      <c r="J394" s="409">
        <v>44447</v>
      </c>
      <c r="K394" s="409">
        <v>1485.19</v>
      </c>
      <c r="L394" s="41">
        <f t="shared" si="28"/>
        <v>5.1972011609332461E-3</v>
      </c>
      <c r="M394" s="41">
        <f t="shared" si="29"/>
        <v>-2.1142076098008334E-3</v>
      </c>
      <c r="N394" s="180">
        <f t="shared" si="26"/>
        <v>-3.6128640513521132E-2</v>
      </c>
      <c r="O394" s="180">
        <f t="shared" si="27"/>
        <v>4.565623224479857E-3</v>
      </c>
    </row>
    <row r="395" spans="9:15" x14ac:dyDescent="0.35">
      <c r="I395" s="408" t="s">
        <v>718</v>
      </c>
      <c r="J395" s="409">
        <v>46113</v>
      </c>
      <c r="K395" s="409">
        <v>1478.44</v>
      </c>
      <c r="L395" s="41">
        <f t="shared" si="28"/>
        <v>-3.6128640513521132E-2</v>
      </c>
      <c r="M395" s="41">
        <f t="shared" si="29"/>
        <v>4.565623224479857E-3</v>
      </c>
      <c r="N395" s="180">
        <f t="shared" si="26"/>
        <v>4.0737564322469985E-2</v>
      </c>
      <c r="O395" s="180">
        <f t="shared" si="27"/>
        <v>-4.3102287115109128E-3</v>
      </c>
    </row>
    <row r="396" spans="9:15" x14ac:dyDescent="0.35">
      <c r="I396" s="408" t="s">
        <v>719</v>
      </c>
      <c r="J396" s="409">
        <v>44308</v>
      </c>
      <c r="K396" s="409">
        <v>1484.84</v>
      </c>
      <c r="L396" s="41">
        <f t="shared" si="28"/>
        <v>4.0737564322469985E-2</v>
      </c>
      <c r="M396" s="41">
        <f t="shared" si="29"/>
        <v>-4.3102287115109128E-3</v>
      </c>
      <c r="N396" s="180">
        <f t="shared" si="26"/>
        <v>2.6836616454229432E-2</v>
      </c>
      <c r="O396" s="180">
        <f t="shared" si="27"/>
        <v>-5.4854892400019121E-3</v>
      </c>
    </row>
    <row r="397" spans="9:15" x14ac:dyDescent="0.35">
      <c r="I397" s="408" t="s">
        <v>720</v>
      </c>
      <c r="J397" s="409">
        <v>43150</v>
      </c>
      <c r="K397" s="409">
        <v>1493.03</v>
      </c>
      <c r="L397" s="41">
        <f t="shared" si="28"/>
        <v>2.6836616454229432E-2</v>
      </c>
      <c r="M397" s="41">
        <f t="shared" si="29"/>
        <v>-5.4854892400019121E-3</v>
      </c>
      <c r="N397" s="180">
        <f t="shared" si="26"/>
        <v>-1.5851294332306989E-2</v>
      </c>
      <c r="O397" s="180">
        <f t="shared" si="27"/>
        <v>-5.1838673782823759E-3</v>
      </c>
    </row>
    <row r="398" spans="9:15" x14ac:dyDescent="0.35">
      <c r="I398" s="408" t="s">
        <v>721</v>
      </c>
      <c r="J398" s="409">
        <v>43845</v>
      </c>
      <c r="K398" s="409">
        <v>1500.81</v>
      </c>
      <c r="L398" s="41">
        <f t="shared" si="28"/>
        <v>-1.5851294332306989E-2</v>
      </c>
      <c r="M398" s="41">
        <f t="shared" si="29"/>
        <v>-5.1838673782823759E-3</v>
      </c>
      <c r="N398" s="180">
        <f t="shared" si="26"/>
        <v>-1.0449580211248533E-2</v>
      </c>
      <c r="O398" s="180">
        <f t="shared" si="27"/>
        <v>8.0195047250599828E-3</v>
      </c>
    </row>
    <row r="399" spans="9:15" x14ac:dyDescent="0.35">
      <c r="I399" s="408" t="s">
        <v>722</v>
      </c>
      <c r="J399" s="409">
        <v>44308</v>
      </c>
      <c r="K399" s="409">
        <v>1488.87</v>
      </c>
      <c r="L399" s="41">
        <f t="shared" si="28"/>
        <v>-1.0449580211248533E-2</v>
      </c>
      <c r="M399" s="41">
        <f t="shared" si="29"/>
        <v>8.0195047250599828E-3</v>
      </c>
      <c r="N399" s="180">
        <f t="shared" si="26"/>
        <v>6.9285903902309529E-2</v>
      </c>
      <c r="O399" s="180">
        <f t="shared" si="27"/>
        <v>1.7244795474265887E-2</v>
      </c>
    </row>
    <row r="400" spans="9:15" x14ac:dyDescent="0.35">
      <c r="I400" s="408" t="s">
        <v>723</v>
      </c>
      <c r="J400" s="409">
        <v>41437</v>
      </c>
      <c r="K400" s="409">
        <v>1463.63</v>
      </c>
      <c r="L400" s="41">
        <f t="shared" si="28"/>
        <v>6.9285903902309529E-2</v>
      </c>
      <c r="M400" s="41">
        <f t="shared" si="29"/>
        <v>1.7244795474265887E-2</v>
      </c>
      <c r="N400" s="180">
        <f t="shared" si="26"/>
        <v>3.8287103159688293E-2</v>
      </c>
      <c r="O400" s="180">
        <f t="shared" si="27"/>
        <v>1.1318016928657875E-2</v>
      </c>
    </row>
    <row r="401" spans="9:15" x14ac:dyDescent="0.35">
      <c r="I401" s="408" t="s">
        <v>724</v>
      </c>
      <c r="J401" s="409">
        <v>39909</v>
      </c>
      <c r="K401" s="409">
        <v>1447.25</v>
      </c>
      <c r="L401" s="41">
        <f t="shared" si="28"/>
        <v>3.8287103159688293E-2</v>
      </c>
      <c r="M401" s="41">
        <f t="shared" si="29"/>
        <v>1.1318016928657875E-2</v>
      </c>
      <c r="N401" s="180">
        <f t="shared" si="26"/>
        <v>-1.374026936859014E-2</v>
      </c>
      <c r="O401" s="180">
        <f t="shared" si="27"/>
        <v>-3.5115502461527245E-3</v>
      </c>
    </row>
    <row r="402" spans="9:15" x14ac:dyDescent="0.35">
      <c r="I402" s="408" t="s">
        <v>725</v>
      </c>
      <c r="J402" s="409">
        <v>40465</v>
      </c>
      <c r="K402" s="409">
        <v>1452.35</v>
      </c>
      <c r="L402" s="41">
        <f t="shared" si="28"/>
        <v>-1.374026936859014E-2</v>
      </c>
      <c r="M402" s="41">
        <f t="shared" si="29"/>
        <v>-3.5115502461527245E-3</v>
      </c>
      <c r="N402" s="180">
        <f t="shared" si="26"/>
        <v>-1.5761437987984336E-2</v>
      </c>
      <c r="O402" s="180">
        <f t="shared" si="27"/>
        <v>-1.1892531789390622E-2</v>
      </c>
    </row>
    <row r="403" spans="9:15" x14ac:dyDescent="0.35">
      <c r="I403" s="408" t="s">
        <v>726</v>
      </c>
      <c r="J403" s="409">
        <v>41113</v>
      </c>
      <c r="K403" s="409">
        <v>1469.83</v>
      </c>
      <c r="L403" s="41">
        <f t="shared" si="28"/>
        <v>-1.5761437987984336E-2</v>
      </c>
      <c r="M403" s="41">
        <f t="shared" si="29"/>
        <v>-1.1892531789390622E-2</v>
      </c>
      <c r="N403" s="180">
        <f t="shared" si="26"/>
        <v>0</v>
      </c>
      <c r="O403" s="180">
        <f t="shared" si="27"/>
        <v>-4.0790053189687179E-3</v>
      </c>
    </row>
    <row r="404" spans="9:15" x14ac:dyDescent="0.35">
      <c r="I404" s="408" t="s">
        <v>727</v>
      </c>
      <c r="J404" s="409">
        <v>41113</v>
      </c>
      <c r="K404" s="409">
        <v>1475.85</v>
      </c>
      <c r="L404" s="41">
        <f t="shared" si="28"/>
        <v>0</v>
      </c>
      <c r="M404" s="41">
        <f t="shared" si="29"/>
        <v>-4.0790053189687179E-3</v>
      </c>
      <c r="N404" s="180">
        <f t="shared" si="26"/>
        <v>2.0680238331678251E-2</v>
      </c>
      <c r="O404" s="180">
        <f t="shared" si="27"/>
        <v>6.4100378464999582E-3</v>
      </c>
    </row>
    <row r="405" spans="9:15" x14ac:dyDescent="0.35">
      <c r="I405" s="408" t="s">
        <v>728</v>
      </c>
      <c r="J405" s="409">
        <v>40280</v>
      </c>
      <c r="K405" s="409">
        <v>1466.45</v>
      </c>
      <c r="L405" s="41">
        <f t="shared" si="28"/>
        <v>2.0680238331678251E-2</v>
      </c>
      <c r="M405" s="41">
        <f t="shared" si="29"/>
        <v>6.4100378464999582E-3</v>
      </c>
      <c r="N405" s="180">
        <f t="shared" si="26"/>
        <v>-9.102091020910209E-3</v>
      </c>
      <c r="O405" s="180">
        <f t="shared" si="27"/>
        <v>-6.8537218012013597E-3</v>
      </c>
    </row>
    <row r="406" spans="9:15" x14ac:dyDescent="0.35">
      <c r="I406" s="408" t="s">
        <v>729</v>
      </c>
      <c r="J406" s="409">
        <v>40650</v>
      </c>
      <c r="K406" s="409">
        <v>1476.57</v>
      </c>
      <c r="L406" s="41">
        <f t="shared" si="28"/>
        <v>-9.102091020910209E-3</v>
      </c>
      <c r="M406" s="41">
        <f t="shared" si="29"/>
        <v>-6.8537218012013597E-3</v>
      </c>
      <c r="N406" s="180">
        <f t="shared" si="26"/>
        <v>9.1857000993048662E-3</v>
      </c>
      <c r="O406" s="180">
        <f t="shared" si="27"/>
        <v>2.1718916497553537E-3</v>
      </c>
    </row>
    <row r="407" spans="9:15" x14ac:dyDescent="0.35">
      <c r="I407" s="408">
        <v>44541</v>
      </c>
      <c r="J407" s="409">
        <v>40280</v>
      </c>
      <c r="K407" s="409">
        <v>1473.37</v>
      </c>
      <c r="L407" s="41">
        <f t="shared" si="28"/>
        <v>9.1857000993048662E-3</v>
      </c>
      <c r="M407" s="41">
        <f t="shared" si="29"/>
        <v>2.1718916497553537E-3</v>
      </c>
      <c r="N407" s="180">
        <f t="shared" si="26"/>
        <v>-9.102091020910209E-3</v>
      </c>
      <c r="O407" s="180">
        <f t="shared" si="27"/>
        <v>7.535815639210847E-3</v>
      </c>
    </row>
    <row r="408" spans="9:15" x14ac:dyDescent="0.35">
      <c r="I408" s="408">
        <v>44511</v>
      </c>
      <c r="J408" s="409">
        <v>40650</v>
      </c>
      <c r="K408" s="409">
        <v>1462.35</v>
      </c>
      <c r="L408" s="41">
        <f t="shared" si="28"/>
        <v>-9.102091020910209E-3</v>
      </c>
      <c r="M408" s="41">
        <f t="shared" si="29"/>
        <v>7.535815639210847E-3</v>
      </c>
      <c r="N408" s="180">
        <f t="shared" si="26"/>
        <v>-2.445463054068972E-2</v>
      </c>
      <c r="O408" s="180">
        <f t="shared" si="27"/>
        <v>-1.8225007167138147E-3</v>
      </c>
    </row>
    <row r="409" spans="9:15" x14ac:dyDescent="0.35">
      <c r="I409" s="408">
        <v>44480</v>
      </c>
      <c r="J409" s="409">
        <v>41669</v>
      </c>
      <c r="K409" s="409">
        <v>1465.02</v>
      </c>
      <c r="L409" s="41">
        <f t="shared" si="28"/>
        <v>-2.445463054068972E-2</v>
      </c>
      <c r="M409" s="41">
        <f t="shared" si="29"/>
        <v>-1.8225007167138147E-3</v>
      </c>
      <c r="N409" s="180">
        <f t="shared" si="26"/>
        <v>2.2727830547578726E-2</v>
      </c>
      <c r="O409" s="180">
        <f t="shared" si="27"/>
        <v>2.408484433800877E-3</v>
      </c>
    </row>
    <row r="410" spans="9:15" x14ac:dyDescent="0.35">
      <c r="I410" s="408">
        <v>44450</v>
      </c>
      <c r="J410" s="409">
        <v>40743</v>
      </c>
      <c r="K410" s="409">
        <v>1461.5</v>
      </c>
      <c r="L410" s="41">
        <f t="shared" si="28"/>
        <v>2.2727830547578726E-2</v>
      </c>
      <c r="M410" s="41">
        <f t="shared" si="29"/>
        <v>2.408484433800877E-3</v>
      </c>
      <c r="N410" s="180">
        <f t="shared" si="26"/>
        <v>-1.123622773382517E-2</v>
      </c>
      <c r="O410" s="180">
        <f t="shared" si="27"/>
        <v>-4.1360889088765352E-3</v>
      </c>
    </row>
    <row r="411" spans="9:15" x14ac:dyDescent="0.35">
      <c r="I411" s="408">
        <v>44419</v>
      </c>
      <c r="J411" s="409">
        <v>41206</v>
      </c>
      <c r="K411" s="409">
        <v>1467.57</v>
      </c>
      <c r="L411" s="41">
        <f t="shared" si="28"/>
        <v>-1.123622773382517E-2</v>
      </c>
      <c r="M411" s="41">
        <f t="shared" si="29"/>
        <v>-4.1360889088765352E-3</v>
      </c>
      <c r="N411" s="180">
        <f t="shared" si="26"/>
        <v>3.0098495075246239E-2</v>
      </c>
      <c r="O411" s="180">
        <f t="shared" si="27"/>
        <v>7.5934940371160829E-3</v>
      </c>
    </row>
    <row r="412" spans="9:15" x14ac:dyDescent="0.35">
      <c r="I412" s="408">
        <v>44327</v>
      </c>
      <c r="J412" s="409">
        <v>40002</v>
      </c>
      <c r="K412" s="409">
        <v>1456.51</v>
      </c>
      <c r="L412" s="41">
        <f t="shared" si="28"/>
        <v>3.0098495075246239E-2</v>
      </c>
      <c r="M412" s="41">
        <f t="shared" si="29"/>
        <v>7.5934940371160829E-3</v>
      </c>
      <c r="N412" s="180">
        <f t="shared" si="26"/>
        <v>-6.9016881827209534E-3</v>
      </c>
      <c r="O412" s="180">
        <f t="shared" si="27"/>
        <v>5.6409406631040175E-3</v>
      </c>
    </row>
    <row r="413" spans="9:15" x14ac:dyDescent="0.35">
      <c r="I413" s="408">
        <v>44297</v>
      </c>
      <c r="J413" s="409">
        <v>40280</v>
      </c>
      <c r="K413" s="409">
        <v>1448.34</v>
      </c>
      <c r="L413" s="41">
        <f t="shared" si="28"/>
        <v>-6.9016881827209534E-3</v>
      </c>
      <c r="M413" s="41">
        <f t="shared" si="29"/>
        <v>5.6409406631040175E-3</v>
      </c>
      <c r="N413" s="180">
        <f t="shared" si="26"/>
        <v>3.0811751458695875E-2</v>
      </c>
      <c r="O413" s="180">
        <f t="shared" si="27"/>
        <v>2.797202797202772E-3</v>
      </c>
    </row>
    <row r="414" spans="9:15" x14ac:dyDescent="0.35">
      <c r="I414" s="408">
        <v>44266</v>
      </c>
      <c r="J414" s="409">
        <v>39076</v>
      </c>
      <c r="K414" s="409">
        <v>1444.3</v>
      </c>
      <c r="L414" s="41">
        <f t="shared" si="28"/>
        <v>3.0811751458695875E-2</v>
      </c>
      <c r="M414" s="41">
        <f t="shared" si="29"/>
        <v>2.797202797202772E-3</v>
      </c>
      <c r="N414" s="180">
        <f t="shared" si="26"/>
        <v>7.1653177998865919E-3</v>
      </c>
      <c r="O414" s="180">
        <f t="shared" si="27"/>
        <v>-5.6180548861931353E-3</v>
      </c>
    </row>
    <row r="415" spans="9:15" x14ac:dyDescent="0.35">
      <c r="I415" s="408">
        <v>44238</v>
      </c>
      <c r="J415" s="409">
        <v>38798</v>
      </c>
      <c r="K415" s="409">
        <v>1452.46</v>
      </c>
      <c r="L415" s="41">
        <f t="shared" si="28"/>
        <v>7.1653177998865919E-3</v>
      </c>
      <c r="M415" s="41">
        <f t="shared" si="29"/>
        <v>-5.6180548861931353E-3</v>
      </c>
      <c r="N415" s="180">
        <f t="shared" si="26"/>
        <v>8.4212715080313975E-3</v>
      </c>
      <c r="O415" s="180">
        <f t="shared" si="27"/>
        <v>9.3747611138522754E-3</v>
      </c>
    </row>
    <row r="416" spans="9:15" x14ac:dyDescent="0.35">
      <c r="I416" s="408">
        <v>44207</v>
      </c>
      <c r="J416" s="409">
        <v>38474</v>
      </c>
      <c r="K416" s="409">
        <v>1438.97</v>
      </c>
      <c r="L416" s="41">
        <f t="shared" si="28"/>
        <v>8.4212715080313975E-3</v>
      </c>
      <c r="M416" s="41">
        <f t="shared" si="29"/>
        <v>9.3747611138522754E-3</v>
      </c>
      <c r="N416" s="180">
        <f t="shared" si="26"/>
        <v>-9.5252806096179591E-3</v>
      </c>
      <c r="O416" s="180">
        <f t="shared" si="27"/>
        <v>-3.6696739529312071E-3</v>
      </c>
    </row>
    <row r="417" spans="9:15" x14ac:dyDescent="0.35">
      <c r="I417" s="408" t="s">
        <v>730</v>
      </c>
      <c r="J417" s="409">
        <v>38844</v>
      </c>
      <c r="K417" s="409">
        <v>1444.27</v>
      </c>
      <c r="L417" s="41">
        <f t="shared" si="28"/>
        <v>-9.5252806096179591E-3</v>
      </c>
      <c r="M417" s="41">
        <f t="shared" si="29"/>
        <v>-3.6696739529312071E-3</v>
      </c>
      <c r="N417" s="180">
        <f t="shared" si="26"/>
        <v>-1.7577581628265764E-2</v>
      </c>
      <c r="O417" s="180">
        <f t="shared" si="27"/>
        <v>4.3532381555065622E-3</v>
      </c>
    </row>
    <row r="418" spans="9:15" x14ac:dyDescent="0.35">
      <c r="I418" s="408" t="s">
        <v>731</v>
      </c>
      <c r="J418" s="409">
        <v>39539</v>
      </c>
      <c r="K418" s="409">
        <v>1438.01</v>
      </c>
      <c r="L418" s="41">
        <f t="shared" si="28"/>
        <v>-1.7577581628265764E-2</v>
      </c>
      <c r="M418" s="41">
        <f t="shared" si="29"/>
        <v>4.3532381555065622E-3</v>
      </c>
      <c r="N418" s="180">
        <f t="shared" ref="N418:N481" si="30">(J418-J419)/J419</f>
        <v>-3.5032007661676494E-3</v>
      </c>
      <c r="O418" s="180">
        <f t="shared" si="27"/>
        <v>1.0533934870908356E-2</v>
      </c>
    </row>
    <row r="419" spans="9:15" x14ac:dyDescent="0.35">
      <c r="I419" s="408" t="s">
        <v>732</v>
      </c>
      <c r="J419" s="409">
        <v>39678</v>
      </c>
      <c r="K419" s="409">
        <v>1423.02</v>
      </c>
      <c r="L419" s="41">
        <f t="shared" si="28"/>
        <v>-3.5032007661676494E-3</v>
      </c>
      <c r="M419" s="41">
        <f t="shared" si="29"/>
        <v>1.0533934870908356E-2</v>
      </c>
      <c r="N419" s="180">
        <f t="shared" si="30"/>
        <v>5.8814581960148051E-3</v>
      </c>
      <c r="O419" s="180">
        <f t="shared" si="27"/>
        <v>2.2556282920028939E-2</v>
      </c>
    </row>
    <row r="420" spans="9:15" x14ac:dyDescent="0.35">
      <c r="I420" s="408" t="s">
        <v>733</v>
      </c>
      <c r="J420" s="409">
        <v>39446</v>
      </c>
      <c r="K420" s="409">
        <v>1391.63</v>
      </c>
      <c r="L420" s="41">
        <f t="shared" si="28"/>
        <v>5.8814581960148051E-3</v>
      </c>
      <c r="M420" s="41">
        <f t="shared" si="29"/>
        <v>2.2556282920028939E-2</v>
      </c>
      <c r="N420" s="180">
        <f t="shared" si="30"/>
        <v>-9.3176281487806715E-3</v>
      </c>
      <c r="O420" s="180">
        <f t="shared" si="27"/>
        <v>4.4968962032626084E-3</v>
      </c>
    </row>
    <row r="421" spans="9:15" x14ac:dyDescent="0.35">
      <c r="I421" s="408" t="s">
        <v>734</v>
      </c>
      <c r="J421" s="409">
        <v>39817</v>
      </c>
      <c r="K421" s="409">
        <v>1385.4</v>
      </c>
      <c r="L421" s="41">
        <f t="shared" si="28"/>
        <v>-9.3176281487806715E-3</v>
      </c>
      <c r="M421" s="41">
        <f t="shared" si="29"/>
        <v>4.4968962032626084E-3</v>
      </c>
      <c r="N421" s="180">
        <f t="shared" si="30"/>
        <v>-6.9335328594587855E-3</v>
      </c>
      <c r="O421" s="180">
        <f t="shared" si="27"/>
        <v>-2.7641012352076807E-3</v>
      </c>
    </row>
    <row r="422" spans="9:15" x14ac:dyDescent="0.35">
      <c r="I422" s="408" t="s">
        <v>735</v>
      </c>
      <c r="J422" s="409">
        <v>40095</v>
      </c>
      <c r="K422" s="409">
        <v>1389.24</v>
      </c>
      <c r="L422" s="41">
        <f t="shared" si="28"/>
        <v>-6.9335328594587855E-3</v>
      </c>
      <c r="M422" s="41">
        <f t="shared" si="29"/>
        <v>-2.7641012352076807E-3</v>
      </c>
      <c r="N422" s="180">
        <f t="shared" si="30"/>
        <v>6.9819423864178618E-3</v>
      </c>
      <c r="O422" s="180">
        <f t="shared" ref="O422:O485" si="31">(K422-K423)/K423</f>
        <v>3.2279728763621594E-3</v>
      </c>
    </row>
    <row r="423" spans="9:15" x14ac:dyDescent="0.35">
      <c r="I423" s="408" t="s">
        <v>736</v>
      </c>
      <c r="J423" s="409">
        <v>39817</v>
      </c>
      <c r="K423" s="409">
        <v>1384.77</v>
      </c>
      <c r="L423" s="41">
        <f t="shared" si="28"/>
        <v>6.9819423864178618E-3</v>
      </c>
      <c r="M423" s="41">
        <f t="shared" si="29"/>
        <v>3.2279728763621594E-3</v>
      </c>
      <c r="N423" s="180">
        <f t="shared" si="30"/>
        <v>0</v>
      </c>
      <c r="O423" s="180">
        <f t="shared" si="31"/>
        <v>-6.4786913473955897E-3</v>
      </c>
    </row>
    <row r="424" spans="9:15" x14ac:dyDescent="0.35">
      <c r="I424" s="408" t="s">
        <v>737</v>
      </c>
      <c r="J424" s="409">
        <v>39817</v>
      </c>
      <c r="K424" s="409">
        <v>1393.8</v>
      </c>
      <c r="L424" s="41">
        <f t="shared" si="28"/>
        <v>0</v>
      </c>
      <c r="M424" s="41">
        <f t="shared" si="29"/>
        <v>-6.4786913473955897E-3</v>
      </c>
      <c r="N424" s="180">
        <f t="shared" si="30"/>
        <v>7.0310326513063053E-3</v>
      </c>
      <c r="O424" s="180">
        <f t="shared" si="31"/>
        <v>-1.0965148029498204E-3</v>
      </c>
    </row>
    <row r="425" spans="9:15" x14ac:dyDescent="0.35">
      <c r="I425" s="408" t="s">
        <v>738</v>
      </c>
      <c r="J425" s="409">
        <v>39539</v>
      </c>
      <c r="K425" s="409">
        <v>1395.33</v>
      </c>
      <c r="L425" s="41">
        <f t="shared" si="28"/>
        <v>7.0310326513063053E-3</v>
      </c>
      <c r="M425" s="41">
        <f t="shared" si="29"/>
        <v>-1.0965148029498204E-3</v>
      </c>
      <c r="N425" s="180">
        <f t="shared" si="30"/>
        <v>-4.6571342261605073E-3</v>
      </c>
      <c r="O425" s="180">
        <f t="shared" si="31"/>
        <v>-1.4331472630473404E-4</v>
      </c>
    </row>
    <row r="426" spans="9:15" x14ac:dyDescent="0.35">
      <c r="I426" s="408" t="s">
        <v>739</v>
      </c>
      <c r="J426" s="409">
        <v>39724</v>
      </c>
      <c r="K426" s="409">
        <v>1395.53</v>
      </c>
      <c r="L426" s="41">
        <f t="shared" si="28"/>
        <v>-4.6571342261605073E-3</v>
      </c>
      <c r="M426" s="41">
        <f t="shared" si="29"/>
        <v>-1.4331472630473404E-4</v>
      </c>
      <c r="N426" s="180">
        <f t="shared" si="30"/>
        <v>-8.0902916500199765E-3</v>
      </c>
      <c r="O426" s="180">
        <f t="shared" si="31"/>
        <v>2.0320241257987559E-3</v>
      </c>
    </row>
    <row r="427" spans="9:15" x14ac:dyDescent="0.35">
      <c r="I427" s="408" t="s">
        <v>740</v>
      </c>
      <c r="J427" s="409">
        <v>40048</v>
      </c>
      <c r="K427" s="409">
        <v>1392.7</v>
      </c>
      <c r="L427" s="41">
        <f t="shared" si="28"/>
        <v>-8.0902916500199765E-3</v>
      </c>
      <c r="M427" s="41">
        <f t="shared" si="29"/>
        <v>2.0320241257987559E-3</v>
      </c>
      <c r="N427" s="180">
        <f t="shared" si="30"/>
        <v>-3.4588299698907607E-3</v>
      </c>
      <c r="O427" s="180">
        <f t="shared" si="31"/>
        <v>6.1069799188140708E-4</v>
      </c>
    </row>
    <row r="428" spans="9:15" x14ac:dyDescent="0.35">
      <c r="I428" s="408" t="s">
        <v>741</v>
      </c>
      <c r="J428" s="409">
        <v>40187</v>
      </c>
      <c r="K428" s="409">
        <v>1391.85</v>
      </c>
      <c r="L428" s="41">
        <f t="shared" si="28"/>
        <v>-3.4588299698907607E-3</v>
      </c>
      <c r="M428" s="41">
        <f t="shared" si="29"/>
        <v>6.1069799188140708E-4</v>
      </c>
      <c r="N428" s="180">
        <f t="shared" si="30"/>
        <v>-6.8701346842950702E-3</v>
      </c>
      <c r="O428" s="180">
        <f t="shared" si="31"/>
        <v>-4.3106235317062741E-5</v>
      </c>
    </row>
    <row r="429" spans="9:15" x14ac:dyDescent="0.35">
      <c r="I429" s="408" t="s">
        <v>742</v>
      </c>
      <c r="J429" s="409">
        <v>40465</v>
      </c>
      <c r="K429" s="409">
        <v>1391.91</v>
      </c>
      <c r="L429" s="41">
        <f t="shared" si="28"/>
        <v>-6.8701346842950702E-3</v>
      </c>
      <c r="M429" s="41">
        <f t="shared" si="29"/>
        <v>-4.3106235317062741E-5</v>
      </c>
      <c r="N429" s="180">
        <f t="shared" si="30"/>
        <v>-4.5510455104551045E-3</v>
      </c>
      <c r="O429" s="180">
        <f t="shared" si="31"/>
        <v>-2.0719816461140469E-3</v>
      </c>
    </row>
    <row r="430" spans="9:15" x14ac:dyDescent="0.35">
      <c r="I430" s="408">
        <v>44540</v>
      </c>
      <c r="J430" s="409">
        <v>40650</v>
      </c>
      <c r="K430" s="409">
        <v>1394.8</v>
      </c>
      <c r="L430" s="41">
        <f t="shared" si="28"/>
        <v>-4.5510455104551045E-3</v>
      </c>
      <c r="M430" s="41">
        <f t="shared" si="29"/>
        <v>-2.0719816461140469E-3</v>
      </c>
      <c r="N430" s="180">
        <f t="shared" si="30"/>
        <v>0</v>
      </c>
      <c r="O430" s="180">
        <f t="shared" si="31"/>
        <v>5.0929280032138268E-4</v>
      </c>
    </row>
    <row r="431" spans="9:15" x14ac:dyDescent="0.35">
      <c r="I431" s="408">
        <v>44510</v>
      </c>
      <c r="J431" s="409">
        <v>40650</v>
      </c>
      <c r="K431" s="409">
        <v>1394.09</v>
      </c>
      <c r="L431" s="41">
        <f t="shared" si="28"/>
        <v>0</v>
      </c>
      <c r="M431" s="41">
        <f t="shared" si="29"/>
        <v>5.0929280032138268E-4</v>
      </c>
      <c r="N431" s="180">
        <f t="shared" si="30"/>
        <v>0</v>
      </c>
      <c r="O431" s="180">
        <f t="shared" si="31"/>
        <v>1.556023398629002E-2</v>
      </c>
    </row>
    <row r="432" spans="9:15" x14ac:dyDescent="0.35">
      <c r="I432" s="408">
        <v>44418</v>
      </c>
      <c r="J432" s="409">
        <v>40650</v>
      </c>
      <c r="K432" s="409">
        <v>1372.73</v>
      </c>
      <c r="L432" s="41">
        <f t="shared" si="28"/>
        <v>0</v>
      </c>
      <c r="M432" s="41">
        <f t="shared" si="29"/>
        <v>1.556023398629002E-2</v>
      </c>
      <c r="N432" s="180">
        <f t="shared" si="30"/>
        <v>-1.3493180604766297E-2</v>
      </c>
      <c r="O432" s="180">
        <f t="shared" si="31"/>
        <v>4.9341503232088147E-3</v>
      </c>
    </row>
    <row r="433" spans="9:15" x14ac:dyDescent="0.35">
      <c r="I433" s="408">
        <v>44387</v>
      </c>
      <c r="J433" s="409">
        <v>41206</v>
      </c>
      <c r="K433" s="409">
        <v>1365.99</v>
      </c>
      <c r="L433" s="41">
        <f t="shared" si="28"/>
        <v>-1.3493180604766297E-2</v>
      </c>
      <c r="M433" s="41">
        <f t="shared" si="29"/>
        <v>4.9341503232088147E-3</v>
      </c>
      <c r="N433" s="180">
        <f t="shared" si="30"/>
        <v>5.2005412443514004E-2</v>
      </c>
      <c r="O433" s="180">
        <f t="shared" si="31"/>
        <v>2.3260592007749172E-3</v>
      </c>
    </row>
    <row r="434" spans="9:15" x14ac:dyDescent="0.35">
      <c r="I434" s="408">
        <v>44357</v>
      </c>
      <c r="J434" s="409">
        <v>39169</v>
      </c>
      <c r="K434" s="409">
        <v>1362.82</v>
      </c>
      <c r="L434" s="41">
        <f t="shared" si="28"/>
        <v>5.2005412443514004E-2</v>
      </c>
      <c r="M434" s="41">
        <f t="shared" si="29"/>
        <v>2.3260592007749172E-3</v>
      </c>
      <c r="N434" s="180">
        <f t="shared" si="30"/>
        <v>1.4399295574029473E-2</v>
      </c>
      <c r="O434" s="180">
        <f t="shared" si="31"/>
        <v>6.0459313613310103E-3</v>
      </c>
    </row>
    <row r="435" spans="9:15" x14ac:dyDescent="0.35">
      <c r="I435" s="408">
        <v>44326</v>
      </c>
      <c r="J435" s="409">
        <v>38613</v>
      </c>
      <c r="K435" s="409">
        <v>1354.63</v>
      </c>
      <c r="L435" s="41">
        <f t="shared" si="28"/>
        <v>1.4399295574029473E-2</v>
      </c>
      <c r="M435" s="41">
        <f t="shared" si="29"/>
        <v>6.0459313613310103E-3</v>
      </c>
      <c r="N435" s="180">
        <f t="shared" si="30"/>
        <v>2.414330218068536E-3</v>
      </c>
      <c r="O435" s="180">
        <f t="shared" si="31"/>
        <v>1.1265061140391587E-2</v>
      </c>
    </row>
    <row r="436" spans="9:15" x14ac:dyDescent="0.35">
      <c r="I436" s="408">
        <v>44296</v>
      </c>
      <c r="J436" s="409">
        <v>38520</v>
      </c>
      <c r="K436" s="409">
        <v>1339.54</v>
      </c>
      <c r="L436" s="41">
        <f t="shared" si="28"/>
        <v>2.414330218068536E-3</v>
      </c>
      <c r="M436" s="41">
        <f t="shared" si="29"/>
        <v>1.1265061140391587E-2</v>
      </c>
      <c r="N436" s="180">
        <f t="shared" si="30"/>
        <v>8.4825636192271438E-3</v>
      </c>
      <c r="O436" s="180">
        <f t="shared" si="31"/>
        <v>3.483433091865145E-3</v>
      </c>
    </row>
    <row r="437" spans="9:15" x14ac:dyDescent="0.35">
      <c r="I437" s="408">
        <v>44206</v>
      </c>
      <c r="J437" s="409">
        <v>38196</v>
      </c>
      <c r="K437" s="409">
        <v>1334.89</v>
      </c>
      <c r="L437" s="41">
        <f t="shared" si="28"/>
        <v>8.4825636192271438E-3</v>
      </c>
      <c r="M437" s="41">
        <f t="shared" si="29"/>
        <v>3.483433091865145E-3</v>
      </c>
      <c r="N437" s="180">
        <f t="shared" si="30"/>
        <v>-4.8200932753185172E-3</v>
      </c>
      <c r="O437" s="180">
        <f t="shared" si="31"/>
        <v>-5.342533120724741E-3</v>
      </c>
    </row>
    <row r="438" spans="9:15" x14ac:dyDescent="0.35">
      <c r="I438" s="408" t="s">
        <v>743</v>
      </c>
      <c r="J438" s="409">
        <v>38381</v>
      </c>
      <c r="K438" s="409">
        <v>1342.06</v>
      </c>
      <c r="L438" s="41">
        <f t="shared" si="28"/>
        <v>-4.8200932753185172E-3</v>
      </c>
      <c r="M438" s="41">
        <f t="shared" si="29"/>
        <v>-5.342533120724741E-3</v>
      </c>
      <c r="N438" s="180">
        <f t="shared" si="30"/>
        <v>4.8434391035710542E-3</v>
      </c>
      <c r="O438" s="180">
        <f t="shared" si="31"/>
        <v>2.1281203097347759E-3</v>
      </c>
    </row>
    <row r="439" spans="9:15" x14ac:dyDescent="0.35">
      <c r="I439" s="408" t="s">
        <v>744</v>
      </c>
      <c r="J439" s="409">
        <v>38196</v>
      </c>
      <c r="K439" s="409">
        <v>1339.21</v>
      </c>
      <c r="L439" s="41">
        <f t="shared" si="28"/>
        <v>4.8434391035710542E-3</v>
      </c>
      <c r="M439" s="41">
        <f t="shared" si="29"/>
        <v>2.1281203097347759E-3</v>
      </c>
      <c r="N439" s="180">
        <f t="shared" si="30"/>
        <v>-1.3176251743915672E-2</v>
      </c>
      <c r="O439" s="180">
        <f t="shared" si="31"/>
        <v>-7.4665312735594492E-5</v>
      </c>
    </row>
    <row r="440" spans="9:15" x14ac:dyDescent="0.35">
      <c r="I440" s="408" t="s">
        <v>745</v>
      </c>
      <c r="J440" s="409">
        <v>38706</v>
      </c>
      <c r="K440" s="409">
        <v>1339.31</v>
      </c>
      <c r="L440" s="41">
        <f t="shared" si="28"/>
        <v>-1.3176251743915672E-2</v>
      </c>
      <c r="M440" s="41">
        <f t="shared" si="29"/>
        <v>-7.4665312735594492E-5</v>
      </c>
      <c r="N440" s="180">
        <f t="shared" si="30"/>
        <v>2.3264421297520224E-2</v>
      </c>
      <c r="O440" s="180">
        <f t="shared" si="31"/>
        <v>1.0807628736820608E-2</v>
      </c>
    </row>
    <row r="441" spans="9:15" x14ac:dyDescent="0.35">
      <c r="I441" s="408" t="s">
        <v>746</v>
      </c>
      <c r="J441" s="409">
        <v>37826</v>
      </c>
      <c r="K441" s="409">
        <v>1324.99</v>
      </c>
      <c r="L441" s="41">
        <f t="shared" si="28"/>
        <v>2.3264421297520224E-2</v>
      </c>
      <c r="M441" s="41">
        <f t="shared" si="29"/>
        <v>1.0807628736820608E-2</v>
      </c>
      <c r="N441" s="180">
        <f t="shared" si="30"/>
        <v>-1.6842543016062795E-2</v>
      </c>
      <c r="O441" s="180">
        <f t="shared" si="31"/>
        <v>-1.9375800232391233E-2</v>
      </c>
    </row>
    <row r="442" spans="9:15" x14ac:dyDescent="0.35">
      <c r="I442" s="408" t="s">
        <v>747</v>
      </c>
      <c r="J442" s="409">
        <v>38474</v>
      </c>
      <c r="K442" s="409">
        <v>1351.17</v>
      </c>
      <c r="L442" s="41">
        <f t="shared" si="28"/>
        <v>-1.6842543016062795E-2</v>
      </c>
      <c r="M442" s="41">
        <f t="shared" si="29"/>
        <v>-1.9375800232391233E-2</v>
      </c>
      <c r="N442" s="180">
        <f t="shared" si="30"/>
        <v>-2.2361132286425778E-2</v>
      </c>
      <c r="O442" s="180">
        <f t="shared" si="31"/>
        <v>-1.1753747893195527E-3</v>
      </c>
    </row>
    <row r="443" spans="9:15" x14ac:dyDescent="0.35">
      <c r="I443" s="408" t="s">
        <v>748</v>
      </c>
      <c r="J443" s="409">
        <v>39354</v>
      </c>
      <c r="K443" s="409">
        <v>1352.76</v>
      </c>
      <c r="L443" s="41">
        <f t="shared" si="28"/>
        <v>-2.2361132286425778E-2</v>
      </c>
      <c r="M443" s="41">
        <f t="shared" si="29"/>
        <v>-1.1753747893195527E-3</v>
      </c>
      <c r="N443" s="180">
        <f t="shared" si="30"/>
        <v>-7.0145337101332255E-3</v>
      </c>
      <c r="O443" s="180">
        <f t="shared" si="31"/>
        <v>1.5399650546390907E-3</v>
      </c>
    </row>
    <row r="444" spans="9:15" x14ac:dyDescent="0.35">
      <c r="I444" s="408" t="s">
        <v>749</v>
      </c>
      <c r="J444" s="409">
        <v>39632</v>
      </c>
      <c r="K444" s="409">
        <v>1350.68</v>
      </c>
      <c r="L444" s="41">
        <f t="shared" si="28"/>
        <v>-7.0145337101332255E-3</v>
      </c>
      <c r="M444" s="41">
        <f t="shared" si="29"/>
        <v>1.5399650546390907E-3</v>
      </c>
      <c r="N444" s="180">
        <f t="shared" si="30"/>
        <v>3.6320372355725231E-2</v>
      </c>
      <c r="O444" s="180">
        <f t="shared" si="31"/>
        <v>8.0905182708384173E-3</v>
      </c>
    </row>
    <row r="445" spans="9:15" x14ac:dyDescent="0.35">
      <c r="I445" s="408" t="s">
        <v>750</v>
      </c>
      <c r="J445" s="409">
        <v>38243</v>
      </c>
      <c r="K445" s="409">
        <v>1339.84</v>
      </c>
      <c r="L445" s="41">
        <f t="shared" si="28"/>
        <v>3.6320372355725231E-2</v>
      </c>
      <c r="M445" s="41">
        <f t="shared" si="29"/>
        <v>8.0905182708384173E-3</v>
      </c>
      <c r="N445" s="180">
        <f t="shared" si="30"/>
        <v>-2.0163976428388419E-2</v>
      </c>
      <c r="O445" s="180">
        <f t="shared" si="31"/>
        <v>-7.8786801729756085E-3</v>
      </c>
    </row>
    <row r="446" spans="9:15" x14ac:dyDescent="0.35">
      <c r="I446" s="408" t="s">
        <v>751</v>
      </c>
      <c r="J446" s="409">
        <v>39030</v>
      </c>
      <c r="K446" s="409">
        <v>1350.48</v>
      </c>
      <c r="L446" s="41">
        <f t="shared" si="28"/>
        <v>-2.0163976428388419E-2</v>
      </c>
      <c r="M446" s="41">
        <f t="shared" si="29"/>
        <v>-7.8786801729756085E-3</v>
      </c>
      <c r="N446" s="180">
        <f t="shared" si="30"/>
        <v>-5.8837013830518835E-3</v>
      </c>
      <c r="O446" s="180">
        <f t="shared" si="31"/>
        <v>-1.5968772178850852E-3</v>
      </c>
    </row>
    <row r="447" spans="9:15" x14ac:dyDescent="0.35">
      <c r="I447" s="408" t="s">
        <v>752</v>
      </c>
      <c r="J447" s="409">
        <v>39261</v>
      </c>
      <c r="K447" s="409">
        <v>1352.64</v>
      </c>
      <c r="L447" s="41">
        <f t="shared" si="28"/>
        <v>-5.8837013830518835E-3</v>
      </c>
      <c r="M447" s="41">
        <f t="shared" si="29"/>
        <v>-1.5968772178850852E-3</v>
      </c>
      <c r="N447" s="180">
        <f t="shared" si="30"/>
        <v>1.9236760124610591E-2</v>
      </c>
      <c r="O447" s="180">
        <f t="shared" si="31"/>
        <v>5.0302035114834342E-3</v>
      </c>
    </row>
    <row r="448" spans="9:15" x14ac:dyDescent="0.35">
      <c r="I448" s="408" t="s">
        <v>753</v>
      </c>
      <c r="J448" s="409">
        <v>38520</v>
      </c>
      <c r="K448" s="409">
        <v>1345.87</v>
      </c>
      <c r="L448" s="41">
        <f t="shared" si="28"/>
        <v>1.9236760124610591E-2</v>
      </c>
      <c r="M448" s="41">
        <f t="shared" si="29"/>
        <v>5.0302035114834342E-3</v>
      </c>
      <c r="N448" s="180">
        <f t="shared" si="30"/>
        <v>-2.8058134840532902E-2</v>
      </c>
      <c r="O448" s="180">
        <f t="shared" si="31"/>
        <v>2.9721435842538525E-5</v>
      </c>
    </row>
    <row r="449" spans="9:15" x14ac:dyDescent="0.35">
      <c r="I449" s="408" t="s">
        <v>754</v>
      </c>
      <c r="J449" s="409">
        <v>39632</v>
      </c>
      <c r="K449" s="409">
        <v>1345.83</v>
      </c>
      <c r="L449" s="41">
        <f t="shared" si="28"/>
        <v>-2.8058134840532902E-2</v>
      </c>
      <c r="M449" s="41">
        <f t="shared" si="29"/>
        <v>2.9721435842538525E-5</v>
      </c>
      <c r="N449" s="180">
        <f t="shared" si="30"/>
        <v>7.064084972302688E-3</v>
      </c>
      <c r="O449" s="180">
        <f t="shared" si="31"/>
        <v>4.57565126520854E-3</v>
      </c>
    </row>
    <row r="450" spans="9:15" x14ac:dyDescent="0.35">
      <c r="I450" s="408" t="s">
        <v>755</v>
      </c>
      <c r="J450" s="409">
        <v>39354</v>
      </c>
      <c r="K450" s="409">
        <v>1339.7</v>
      </c>
      <c r="L450" s="41">
        <f t="shared" si="28"/>
        <v>7.064084972302688E-3</v>
      </c>
      <c r="M450" s="41">
        <f t="shared" si="29"/>
        <v>4.57565126520854E-3</v>
      </c>
      <c r="N450" s="180">
        <f t="shared" si="30"/>
        <v>-2.3323023880748367E-3</v>
      </c>
      <c r="O450" s="180">
        <f t="shared" si="31"/>
        <v>-1.28966848810599E-3</v>
      </c>
    </row>
    <row r="451" spans="9:15" x14ac:dyDescent="0.35">
      <c r="I451" s="408" t="s">
        <v>756</v>
      </c>
      <c r="J451" s="409">
        <v>39446</v>
      </c>
      <c r="K451" s="409">
        <v>1341.43</v>
      </c>
      <c r="L451" s="41">
        <f t="shared" si="28"/>
        <v>-2.3323023880748367E-3</v>
      </c>
      <c r="M451" s="41">
        <f t="shared" si="29"/>
        <v>-1.28966848810599E-3</v>
      </c>
      <c r="N451" s="180">
        <f t="shared" si="30"/>
        <v>-2.7393544887442365E-2</v>
      </c>
      <c r="O451" s="180">
        <f t="shared" si="31"/>
        <v>-2.8840936289776199E-3</v>
      </c>
    </row>
    <row r="452" spans="9:15" x14ac:dyDescent="0.35">
      <c r="I452" s="408">
        <v>44478</v>
      </c>
      <c r="J452" s="409">
        <v>40557</v>
      </c>
      <c r="K452" s="409">
        <v>1345.31</v>
      </c>
      <c r="L452" s="41">
        <f t="shared" ref="L452:L515" si="32">(J451-J452)/J452</f>
        <v>-2.7393544887442365E-2</v>
      </c>
      <c r="M452" s="41">
        <f t="shared" ref="M452:M515" si="33">(K451-K452)/K452</f>
        <v>-2.8840936289776199E-3</v>
      </c>
      <c r="N452" s="180">
        <f t="shared" si="30"/>
        <v>0</v>
      </c>
      <c r="O452" s="180">
        <f t="shared" si="31"/>
        <v>9.8959805949487881E-4</v>
      </c>
    </row>
    <row r="453" spans="9:15" x14ac:dyDescent="0.35">
      <c r="I453" s="408">
        <v>44448</v>
      </c>
      <c r="J453" s="409">
        <v>40557</v>
      </c>
      <c r="K453" s="409">
        <v>1343.98</v>
      </c>
      <c r="L453" s="41">
        <f t="shared" si="32"/>
        <v>0</v>
      </c>
      <c r="M453" s="41">
        <f t="shared" si="33"/>
        <v>9.8959805949487881E-4</v>
      </c>
      <c r="N453" s="180">
        <f t="shared" si="30"/>
        <v>-3.4155690977000198E-3</v>
      </c>
      <c r="O453" s="180">
        <f t="shared" si="31"/>
        <v>7.7758865035506023E-3</v>
      </c>
    </row>
    <row r="454" spans="9:15" x14ac:dyDescent="0.35">
      <c r="I454" s="408">
        <v>44417</v>
      </c>
      <c r="J454" s="409">
        <v>40696</v>
      </c>
      <c r="K454" s="409">
        <v>1333.61</v>
      </c>
      <c r="L454" s="41">
        <f t="shared" si="32"/>
        <v>-3.4155690977000198E-3</v>
      </c>
      <c r="M454" s="41">
        <f t="shared" si="33"/>
        <v>7.7758865035506023E-3</v>
      </c>
      <c r="N454" s="180">
        <f t="shared" si="30"/>
        <v>-1.2376838324515848E-2</v>
      </c>
      <c r="O454" s="180">
        <f t="shared" si="31"/>
        <v>-6.177807586258432E-3</v>
      </c>
    </row>
    <row r="455" spans="9:15" x14ac:dyDescent="0.35">
      <c r="I455" s="408">
        <v>44386</v>
      </c>
      <c r="J455" s="409">
        <v>41206</v>
      </c>
      <c r="K455" s="409">
        <v>1341.9</v>
      </c>
      <c r="L455" s="41">
        <f t="shared" si="32"/>
        <v>-1.2376838324515848E-2</v>
      </c>
      <c r="M455" s="41">
        <f t="shared" si="33"/>
        <v>-6.177807586258432E-3</v>
      </c>
      <c r="N455" s="180">
        <f t="shared" si="30"/>
        <v>-1.5482391169302815E-2</v>
      </c>
      <c r="O455" s="180">
        <f t="shared" si="31"/>
        <v>-3.3348435445896127E-3</v>
      </c>
    </row>
    <row r="456" spans="9:15" x14ac:dyDescent="0.35">
      <c r="I456" s="408">
        <v>44356</v>
      </c>
      <c r="J456" s="409">
        <v>41854</v>
      </c>
      <c r="K456" s="409">
        <v>1346.39</v>
      </c>
      <c r="L456" s="41">
        <f t="shared" si="32"/>
        <v>-1.5482391169302815E-2</v>
      </c>
      <c r="M456" s="41">
        <f t="shared" si="33"/>
        <v>-3.3348435445896127E-3</v>
      </c>
      <c r="N456" s="180">
        <f t="shared" si="30"/>
        <v>3.4325960706783641E-2</v>
      </c>
      <c r="O456" s="180">
        <f t="shared" si="31"/>
        <v>8.7963136402802299E-3</v>
      </c>
    </row>
    <row r="457" spans="9:15" x14ac:dyDescent="0.35">
      <c r="I457" s="408">
        <v>44205</v>
      </c>
      <c r="J457" s="409">
        <v>40465</v>
      </c>
      <c r="K457" s="409">
        <v>1334.65</v>
      </c>
      <c r="L457" s="41">
        <f t="shared" si="32"/>
        <v>3.4325960706783641E-2</v>
      </c>
      <c r="M457" s="41">
        <f t="shared" si="33"/>
        <v>8.7963136402802299E-3</v>
      </c>
      <c r="N457" s="180">
        <f t="shared" si="30"/>
        <v>9.228083302157377E-3</v>
      </c>
      <c r="O457" s="180">
        <f t="shared" si="31"/>
        <v>2.3883377019385068E-3</v>
      </c>
    </row>
    <row r="458" spans="9:15" x14ac:dyDescent="0.35">
      <c r="I458" s="408" t="s">
        <v>757</v>
      </c>
      <c r="J458" s="409">
        <v>40095</v>
      </c>
      <c r="K458" s="409">
        <v>1331.47</v>
      </c>
      <c r="L458" s="41">
        <f t="shared" si="32"/>
        <v>9.228083302157377E-3</v>
      </c>
      <c r="M458" s="41">
        <f t="shared" si="33"/>
        <v>2.3883377019385068E-3</v>
      </c>
      <c r="N458" s="180">
        <f t="shared" si="30"/>
        <v>-1.1391375101708706E-2</v>
      </c>
      <c r="O458" s="180">
        <f t="shared" si="31"/>
        <v>2.5072658002920829E-3</v>
      </c>
    </row>
    <row r="459" spans="9:15" x14ac:dyDescent="0.35">
      <c r="I459" s="408" t="s">
        <v>758</v>
      </c>
      <c r="J459" s="409">
        <v>40557</v>
      </c>
      <c r="K459" s="409">
        <v>1328.14</v>
      </c>
      <c r="L459" s="41">
        <f t="shared" si="32"/>
        <v>-1.1391375101708706E-2</v>
      </c>
      <c r="M459" s="41">
        <f t="shared" si="33"/>
        <v>2.5072658002920829E-3</v>
      </c>
      <c r="N459" s="180">
        <f t="shared" si="30"/>
        <v>2.2735697516372173E-3</v>
      </c>
      <c r="O459" s="180">
        <f t="shared" si="31"/>
        <v>1.1376789521778901E-2</v>
      </c>
    </row>
    <row r="460" spans="9:15" x14ac:dyDescent="0.35">
      <c r="I460" s="408" t="s">
        <v>759</v>
      </c>
      <c r="J460" s="409">
        <v>40465</v>
      </c>
      <c r="K460" s="409">
        <v>1313.2</v>
      </c>
      <c r="L460" s="41">
        <f t="shared" si="32"/>
        <v>2.2735697516372173E-3</v>
      </c>
      <c r="M460" s="41">
        <f t="shared" si="33"/>
        <v>1.1376789521778901E-2</v>
      </c>
      <c r="N460" s="180">
        <f t="shared" si="30"/>
        <v>4.0472088658044275E-2</v>
      </c>
      <c r="O460" s="180">
        <f t="shared" si="31"/>
        <v>9.2843089030989878E-3</v>
      </c>
    </row>
    <row r="461" spans="9:15" x14ac:dyDescent="0.35">
      <c r="I461" s="408" t="s">
        <v>760</v>
      </c>
      <c r="J461" s="409">
        <v>38891</v>
      </c>
      <c r="K461" s="409">
        <v>1301.1199999999999</v>
      </c>
      <c r="L461" s="41">
        <f t="shared" si="32"/>
        <v>4.0472088658044275E-2</v>
      </c>
      <c r="M461" s="41">
        <f t="shared" si="33"/>
        <v>9.2843089030989878E-3</v>
      </c>
      <c r="N461" s="180">
        <f t="shared" si="30"/>
        <v>-1.1813955877443048E-3</v>
      </c>
      <c r="O461" s="180">
        <f t="shared" si="31"/>
        <v>-6.4373257989386156E-3</v>
      </c>
    </row>
    <row r="462" spans="9:15" x14ac:dyDescent="0.35">
      <c r="I462" s="408" t="s">
        <v>761</v>
      </c>
      <c r="J462" s="409">
        <v>38937</v>
      </c>
      <c r="K462" s="409">
        <v>1309.55</v>
      </c>
      <c r="L462" s="41">
        <f t="shared" si="32"/>
        <v>-1.1813955877443048E-3</v>
      </c>
      <c r="M462" s="41">
        <f t="shared" si="33"/>
        <v>-6.4373257989386156E-3</v>
      </c>
      <c r="N462" s="180">
        <f t="shared" si="30"/>
        <v>3.5826588999432959E-3</v>
      </c>
      <c r="O462" s="180">
        <f t="shared" si="31"/>
        <v>8.3234519611315155E-3</v>
      </c>
    </row>
    <row r="463" spans="9:15" x14ac:dyDescent="0.35">
      <c r="I463" s="408" t="s">
        <v>762</v>
      </c>
      <c r="J463" s="409">
        <v>38798</v>
      </c>
      <c r="K463" s="409">
        <v>1298.74</v>
      </c>
      <c r="L463" s="41">
        <f t="shared" si="32"/>
        <v>3.5826588999432959E-3</v>
      </c>
      <c r="M463" s="41">
        <f t="shared" si="33"/>
        <v>8.3234519611315155E-3</v>
      </c>
      <c r="N463" s="180">
        <f t="shared" si="30"/>
        <v>4.7490483004400764E-2</v>
      </c>
      <c r="O463" s="180">
        <f t="shared" si="31"/>
        <v>-9.23887100995418E-5</v>
      </c>
    </row>
    <row r="464" spans="9:15" x14ac:dyDescent="0.35">
      <c r="I464" s="408" t="s">
        <v>763</v>
      </c>
      <c r="J464" s="409">
        <v>37039</v>
      </c>
      <c r="K464" s="409">
        <v>1298.8599999999999</v>
      </c>
      <c r="L464" s="41">
        <f t="shared" si="32"/>
        <v>4.7490483004400764E-2</v>
      </c>
      <c r="M464" s="41">
        <f t="shared" si="33"/>
        <v>-9.23887100995418E-5</v>
      </c>
      <c r="N464" s="180">
        <f t="shared" si="30"/>
        <v>-5.9923857868020305E-2</v>
      </c>
      <c r="O464" s="180">
        <f t="shared" si="31"/>
        <v>-2.2994817327727044E-2</v>
      </c>
    </row>
    <row r="465" spans="9:15" x14ac:dyDescent="0.35">
      <c r="I465" s="408" t="s">
        <v>764</v>
      </c>
      <c r="J465" s="409">
        <v>39400</v>
      </c>
      <c r="K465" s="409">
        <v>1329.43</v>
      </c>
      <c r="L465" s="41">
        <f t="shared" si="32"/>
        <v>-5.9923857868020305E-2</v>
      </c>
      <c r="M465" s="41">
        <f t="shared" si="33"/>
        <v>-2.2994817327727044E-2</v>
      </c>
      <c r="N465" s="180">
        <f t="shared" si="30"/>
        <v>-6.8932107663586734E-2</v>
      </c>
      <c r="O465" s="180">
        <f t="shared" si="31"/>
        <v>-3.3036331236134739E-2</v>
      </c>
    </row>
    <row r="466" spans="9:15" x14ac:dyDescent="0.35">
      <c r="I466" s="408" t="s">
        <v>765</v>
      </c>
      <c r="J466" s="409">
        <v>42317</v>
      </c>
      <c r="K466" s="409">
        <v>1374.85</v>
      </c>
      <c r="L466" s="41">
        <f t="shared" si="32"/>
        <v>-6.8932107663586734E-2</v>
      </c>
      <c r="M466" s="41">
        <f t="shared" si="33"/>
        <v>-3.3036331236134739E-2</v>
      </c>
      <c r="N466" s="180">
        <f t="shared" si="30"/>
        <v>1.3313857426785758E-2</v>
      </c>
      <c r="O466" s="180">
        <f t="shared" si="31"/>
        <v>1.0220876746954204E-2</v>
      </c>
    </row>
    <row r="467" spans="9:15" x14ac:dyDescent="0.35">
      <c r="I467" s="408" t="s">
        <v>766</v>
      </c>
      <c r="J467" s="409">
        <v>41761</v>
      </c>
      <c r="K467" s="409">
        <v>1360.94</v>
      </c>
      <c r="L467" s="41">
        <f t="shared" si="32"/>
        <v>1.3313857426785758E-2</v>
      </c>
      <c r="M467" s="41">
        <f t="shared" si="33"/>
        <v>1.0220876746954204E-2</v>
      </c>
      <c r="N467" s="180">
        <f t="shared" si="30"/>
        <v>-4.4104324607829115E-3</v>
      </c>
      <c r="O467" s="180">
        <f t="shared" si="31"/>
        <v>-1.5772986376540535E-3</v>
      </c>
    </row>
    <row r="468" spans="9:15" x14ac:dyDescent="0.35">
      <c r="I468" s="408" t="s">
        <v>767</v>
      </c>
      <c r="J468" s="409">
        <v>41946</v>
      </c>
      <c r="K468" s="409">
        <v>1363.09</v>
      </c>
      <c r="L468" s="41">
        <f t="shared" si="32"/>
        <v>-4.4104324607829115E-3</v>
      </c>
      <c r="M468" s="41">
        <f t="shared" si="33"/>
        <v>-1.5772986376540535E-3</v>
      </c>
      <c r="N468" s="180">
        <f t="shared" si="30"/>
        <v>-2.6865256124721605E-2</v>
      </c>
      <c r="O468" s="180">
        <f t="shared" si="31"/>
        <v>-5.7405030051935271E-3</v>
      </c>
    </row>
    <row r="469" spans="9:15" x14ac:dyDescent="0.35">
      <c r="I469" s="408" t="s">
        <v>768</v>
      </c>
      <c r="J469" s="409">
        <v>43104</v>
      </c>
      <c r="K469" s="409">
        <v>1370.96</v>
      </c>
      <c r="L469" s="41">
        <f t="shared" si="32"/>
        <v>-2.6865256124721605E-2</v>
      </c>
      <c r="M469" s="41">
        <f t="shared" si="33"/>
        <v>-5.7405030051935271E-3</v>
      </c>
      <c r="N469" s="180">
        <f t="shared" si="30"/>
        <v>3.4438071467997794E-2</v>
      </c>
      <c r="O469" s="180">
        <f t="shared" si="31"/>
        <v>1.0250175011974564E-2</v>
      </c>
    </row>
    <row r="470" spans="9:15" x14ac:dyDescent="0.35">
      <c r="I470" s="408" t="s">
        <v>769</v>
      </c>
      <c r="J470" s="409">
        <v>41669</v>
      </c>
      <c r="K470" s="409">
        <v>1357.05</v>
      </c>
      <c r="L470" s="41">
        <f t="shared" si="32"/>
        <v>3.4438071467997794E-2</v>
      </c>
      <c r="M470" s="41">
        <f t="shared" si="33"/>
        <v>1.0250175011974564E-2</v>
      </c>
      <c r="N470" s="180">
        <f t="shared" si="30"/>
        <v>3.0926049630124446E-2</v>
      </c>
      <c r="O470" s="180">
        <f t="shared" si="31"/>
        <v>2.9562839510735009E-3</v>
      </c>
    </row>
    <row r="471" spans="9:15" x14ac:dyDescent="0.35">
      <c r="I471" s="408">
        <v>44538</v>
      </c>
      <c r="J471" s="409">
        <v>40419</v>
      </c>
      <c r="K471" s="409">
        <v>1353.05</v>
      </c>
      <c r="L471" s="41">
        <f t="shared" si="32"/>
        <v>3.0926049630124446E-2</v>
      </c>
      <c r="M471" s="41">
        <f t="shared" si="33"/>
        <v>2.9562839510735009E-3</v>
      </c>
      <c r="N471" s="180">
        <f t="shared" si="30"/>
        <v>6.9851773425092648E-2</v>
      </c>
      <c r="O471" s="180">
        <f t="shared" si="31"/>
        <v>-3.4909669389228152E-3</v>
      </c>
    </row>
    <row r="472" spans="9:15" x14ac:dyDescent="0.35">
      <c r="I472" s="408">
        <v>44508</v>
      </c>
      <c r="J472" s="409">
        <v>37780</v>
      </c>
      <c r="K472" s="409">
        <v>1357.79</v>
      </c>
      <c r="L472" s="41">
        <f t="shared" si="32"/>
        <v>6.9851773425092648E-2</v>
      </c>
      <c r="M472" s="41">
        <f t="shared" si="33"/>
        <v>-3.4909669389228152E-3</v>
      </c>
      <c r="N472" s="180">
        <f t="shared" si="30"/>
        <v>2.2573485627672821E-2</v>
      </c>
      <c r="O472" s="180">
        <f t="shared" si="31"/>
        <v>-3.4056795578489168E-3</v>
      </c>
    </row>
    <row r="473" spans="9:15" x14ac:dyDescent="0.35">
      <c r="I473" s="408">
        <v>44477</v>
      </c>
      <c r="J473" s="409">
        <v>36946</v>
      </c>
      <c r="K473" s="409">
        <v>1362.43</v>
      </c>
      <c r="L473" s="41">
        <f t="shared" si="32"/>
        <v>2.2573485627672821E-2</v>
      </c>
      <c r="M473" s="41">
        <f t="shared" si="33"/>
        <v>-3.4056795578489168E-3</v>
      </c>
      <c r="N473" s="180">
        <f t="shared" si="30"/>
        <v>0</v>
      </c>
      <c r="O473" s="180">
        <f t="shared" si="31"/>
        <v>1.8899004309268336E-3</v>
      </c>
    </row>
    <row r="474" spans="9:15" x14ac:dyDescent="0.35">
      <c r="I474" s="408">
        <v>44447</v>
      </c>
      <c r="J474" s="409">
        <v>36946</v>
      </c>
      <c r="K474" s="409">
        <v>1359.86</v>
      </c>
      <c r="L474" s="41">
        <f t="shared" si="32"/>
        <v>0</v>
      </c>
      <c r="M474" s="41">
        <f t="shared" si="33"/>
        <v>1.8899004309268336E-3</v>
      </c>
      <c r="N474" s="180">
        <f t="shared" si="30"/>
        <v>4.4498473368766257E-2</v>
      </c>
      <c r="O474" s="180">
        <f t="shared" si="31"/>
        <v>1.3723955421372287E-2</v>
      </c>
    </row>
    <row r="475" spans="9:15" x14ac:dyDescent="0.35">
      <c r="I475" s="408">
        <v>44355</v>
      </c>
      <c r="J475" s="409">
        <v>35372</v>
      </c>
      <c r="K475" s="409">
        <v>1341.45</v>
      </c>
      <c r="L475" s="41">
        <f t="shared" si="32"/>
        <v>4.4498473368766257E-2</v>
      </c>
      <c r="M475" s="41">
        <f t="shared" si="33"/>
        <v>1.3723955421372287E-2</v>
      </c>
      <c r="N475" s="180">
        <f t="shared" si="30"/>
        <v>5.2576235541535229E-3</v>
      </c>
      <c r="O475" s="180">
        <f t="shared" si="31"/>
        <v>-3.0470811192448511E-3</v>
      </c>
    </row>
    <row r="476" spans="9:15" x14ac:dyDescent="0.35">
      <c r="I476" s="408">
        <v>44324</v>
      </c>
      <c r="J476" s="409">
        <v>35187</v>
      </c>
      <c r="K476" s="409">
        <v>1345.55</v>
      </c>
      <c r="L476" s="41">
        <f t="shared" si="32"/>
        <v>5.2576235541535229E-3</v>
      </c>
      <c r="M476" s="41">
        <f t="shared" si="33"/>
        <v>-3.0470811192448511E-3</v>
      </c>
      <c r="N476" s="180">
        <f t="shared" si="30"/>
        <v>1.1993097497842968E-2</v>
      </c>
      <c r="O476" s="180">
        <f t="shared" si="31"/>
        <v>8.0989556018400185E-3</v>
      </c>
    </row>
    <row r="477" spans="9:15" x14ac:dyDescent="0.35">
      <c r="I477" s="408">
        <v>44294</v>
      </c>
      <c r="J477" s="409">
        <v>34770</v>
      </c>
      <c r="K477" s="409">
        <v>1334.74</v>
      </c>
      <c r="L477" s="41">
        <f t="shared" si="32"/>
        <v>1.1993097497842968E-2</v>
      </c>
      <c r="M477" s="41">
        <f t="shared" si="33"/>
        <v>8.0989556018400185E-3</v>
      </c>
      <c r="N477" s="180">
        <f t="shared" si="30"/>
        <v>-9.2323474098136432E-3</v>
      </c>
      <c r="O477" s="180">
        <f t="shared" si="31"/>
        <v>1.7261565248716298E-3</v>
      </c>
    </row>
    <row r="478" spans="9:15" x14ac:dyDescent="0.35">
      <c r="I478" s="408">
        <v>44263</v>
      </c>
      <c r="J478" s="409">
        <v>35094</v>
      </c>
      <c r="K478" s="409">
        <v>1332.44</v>
      </c>
      <c r="L478" s="41">
        <f t="shared" si="32"/>
        <v>-9.2323474098136432E-3</v>
      </c>
      <c r="M478" s="41">
        <f t="shared" si="33"/>
        <v>1.7261565248716298E-3</v>
      </c>
      <c r="N478" s="180">
        <f t="shared" si="30"/>
        <v>-5.243912809319992E-3</v>
      </c>
      <c r="O478" s="180">
        <f t="shared" si="31"/>
        <v>1.3863736665094144E-2</v>
      </c>
    </row>
    <row r="479" spans="9:15" x14ac:dyDescent="0.35">
      <c r="I479" s="408">
        <v>44235</v>
      </c>
      <c r="J479" s="409">
        <v>35279</v>
      </c>
      <c r="K479" s="409">
        <v>1314.22</v>
      </c>
      <c r="L479" s="41">
        <f t="shared" si="32"/>
        <v>-5.243912809319992E-3</v>
      </c>
      <c r="M479" s="41">
        <f t="shared" si="33"/>
        <v>1.3863736665094144E-2</v>
      </c>
      <c r="N479" s="180">
        <f t="shared" si="30"/>
        <v>-1.3304648134518486E-3</v>
      </c>
      <c r="O479" s="180">
        <f t="shared" si="31"/>
        <v>3.1830846150910828E-3</v>
      </c>
    </row>
    <row r="480" spans="9:15" x14ac:dyDescent="0.35">
      <c r="I480" s="408" t="s">
        <v>770</v>
      </c>
      <c r="J480" s="409">
        <v>35326</v>
      </c>
      <c r="K480" s="409">
        <v>1310.05</v>
      </c>
      <c r="L480" s="41">
        <f t="shared" si="32"/>
        <v>-1.3304648134518486E-3</v>
      </c>
      <c r="M480" s="41">
        <f t="shared" si="33"/>
        <v>3.1830846150910828E-3</v>
      </c>
      <c r="N480" s="180">
        <f t="shared" si="30"/>
        <v>-3.9193571126462708E-3</v>
      </c>
      <c r="O480" s="180">
        <f t="shared" si="31"/>
        <v>1.2716450216450252E-2</v>
      </c>
    </row>
    <row r="481" spans="9:15" x14ac:dyDescent="0.35">
      <c r="I481" s="408" t="s">
        <v>771</v>
      </c>
      <c r="J481" s="409">
        <v>35465</v>
      </c>
      <c r="K481" s="409">
        <v>1293.5999999999999</v>
      </c>
      <c r="L481" s="41">
        <f t="shared" si="32"/>
        <v>-3.9193571126462708E-3</v>
      </c>
      <c r="M481" s="41">
        <f t="shared" si="33"/>
        <v>1.2716450216450252E-2</v>
      </c>
      <c r="N481" s="180">
        <f t="shared" si="30"/>
        <v>-1.0325101158085671E-2</v>
      </c>
      <c r="O481" s="180">
        <f t="shared" si="31"/>
        <v>1.2943691418637956E-2</v>
      </c>
    </row>
    <row r="482" spans="9:15" x14ac:dyDescent="0.35">
      <c r="I482" s="408" t="s">
        <v>772</v>
      </c>
      <c r="J482" s="409">
        <v>35835</v>
      </c>
      <c r="K482" s="409">
        <v>1277.07</v>
      </c>
      <c r="L482" s="41">
        <f t="shared" si="32"/>
        <v>-1.0325101158085671E-2</v>
      </c>
      <c r="M482" s="41">
        <f t="shared" si="33"/>
        <v>1.2943691418637956E-2</v>
      </c>
      <c r="N482" s="180">
        <f t="shared" ref="N482:N545" si="34">(J482-J483)/J483</f>
        <v>2.926815257352941E-2</v>
      </c>
      <c r="O482" s="180">
        <f t="shared" si="31"/>
        <v>1.0963795979409417E-4</v>
      </c>
    </row>
    <row r="483" spans="9:15" x14ac:dyDescent="0.35">
      <c r="I483" s="408" t="s">
        <v>773</v>
      </c>
      <c r="J483" s="409">
        <v>34816</v>
      </c>
      <c r="K483" s="409">
        <v>1276.93</v>
      </c>
      <c r="L483" s="41">
        <f t="shared" si="32"/>
        <v>2.926815257352941E-2</v>
      </c>
      <c r="M483" s="41">
        <f t="shared" si="33"/>
        <v>1.0963795979409417E-4</v>
      </c>
      <c r="N483" s="180">
        <f t="shared" si="34"/>
        <v>8.0199195112771078E-3</v>
      </c>
      <c r="O483" s="180">
        <f t="shared" si="31"/>
        <v>3.3157592853046078E-3</v>
      </c>
    </row>
    <row r="484" spans="9:15" x14ac:dyDescent="0.35">
      <c r="I484" s="408" t="s">
        <v>774</v>
      </c>
      <c r="J484" s="409">
        <v>34539</v>
      </c>
      <c r="K484" s="409">
        <v>1272.71</v>
      </c>
      <c r="L484" s="41">
        <f t="shared" si="32"/>
        <v>8.0199195112771078E-3</v>
      </c>
      <c r="M484" s="41">
        <f t="shared" si="33"/>
        <v>3.3157592853046078E-3</v>
      </c>
      <c r="N484" s="180">
        <f t="shared" si="34"/>
        <v>2.7824068563266278E-2</v>
      </c>
      <c r="O484" s="180">
        <f t="shared" si="31"/>
        <v>3.0579352631953131E-3</v>
      </c>
    </row>
    <row r="485" spans="9:15" x14ac:dyDescent="0.35">
      <c r="I485" s="408" t="s">
        <v>775</v>
      </c>
      <c r="J485" s="409">
        <v>33604</v>
      </c>
      <c r="K485" s="409">
        <v>1268.83</v>
      </c>
      <c r="L485" s="41">
        <f t="shared" si="32"/>
        <v>2.7824068563266278E-2</v>
      </c>
      <c r="M485" s="41">
        <f t="shared" si="33"/>
        <v>3.0579352631953131E-3</v>
      </c>
      <c r="N485" s="180">
        <f t="shared" si="34"/>
        <v>1.3409219583420246E-3</v>
      </c>
      <c r="O485" s="180">
        <f t="shared" si="31"/>
        <v>-1.9201187319795733E-2</v>
      </c>
    </row>
    <row r="486" spans="9:15" x14ac:dyDescent="0.35">
      <c r="I486" s="408" t="s">
        <v>776</v>
      </c>
      <c r="J486" s="409">
        <v>33559</v>
      </c>
      <c r="K486" s="409">
        <v>1293.67</v>
      </c>
      <c r="L486" s="41">
        <f t="shared" si="32"/>
        <v>1.3409219583420246E-3</v>
      </c>
      <c r="M486" s="41">
        <f t="shared" si="33"/>
        <v>-1.9201187319795733E-2</v>
      </c>
      <c r="N486" s="180">
        <f t="shared" si="34"/>
        <v>8.0199447314670182E-3</v>
      </c>
      <c r="O486" s="180">
        <f t="shared" ref="O486:O549" si="35">(K486-K487)/K487</f>
        <v>1.8004548351812737E-2</v>
      </c>
    </row>
    <row r="487" spans="9:15" x14ac:dyDescent="0.35">
      <c r="I487" s="408" t="s">
        <v>777</v>
      </c>
      <c r="J487" s="409">
        <v>33292</v>
      </c>
      <c r="K487" s="409">
        <v>1270.79</v>
      </c>
      <c r="L487" s="41">
        <f t="shared" si="32"/>
        <v>8.0199447314670182E-3</v>
      </c>
      <c r="M487" s="41">
        <f t="shared" si="33"/>
        <v>1.8004548351812737E-2</v>
      </c>
      <c r="N487" s="180">
        <f t="shared" si="34"/>
        <v>0</v>
      </c>
      <c r="O487" s="180">
        <f t="shared" si="35"/>
        <v>-1.9634176032168635E-3</v>
      </c>
    </row>
    <row r="488" spans="9:15" x14ac:dyDescent="0.35">
      <c r="I488" s="408" t="s">
        <v>778</v>
      </c>
      <c r="J488" s="409">
        <v>33292</v>
      </c>
      <c r="K488" s="409">
        <v>1273.29</v>
      </c>
      <c r="L488" s="41">
        <f t="shared" si="32"/>
        <v>0</v>
      </c>
      <c r="M488" s="41">
        <f t="shared" si="33"/>
        <v>-1.9634176032168635E-3</v>
      </c>
      <c r="N488" s="180">
        <f t="shared" si="34"/>
        <v>8.0847842543527639E-3</v>
      </c>
      <c r="O488" s="180">
        <f t="shared" si="35"/>
        <v>2.3948339780138456E-2</v>
      </c>
    </row>
    <row r="489" spans="9:15" x14ac:dyDescent="0.35">
      <c r="I489" s="408" t="s">
        <v>779</v>
      </c>
      <c r="J489" s="409">
        <v>33025</v>
      </c>
      <c r="K489" s="409">
        <v>1243.51</v>
      </c>
      <c r="L489" s="41">
        <f t="shared" si="32"/>
        <v>8.0847842543527639E-3</v>
      </c>
      <c r="M489" s="41">
        <f t="shared" si="33"/>
        <v>2.3948339780138456E-2</v>
      </c>
      <c r="N489" s="180">
        <f t="shared" si="34"/>
        <v>-1.3295488497161638E-2</v>
      </c>
      <c r="O489" s="180">
        <f t="shared" si="35"/>
        <v>-4.2945871270135653E-2</v>
      </c>
    </row>
    <row r="490" spans="9:15" x14ac:dyDescent="0.35">
      <c r="I490" s="408" t="s">
        <v>780</v>
      </c>
      <c r="J490" s="409">
        <v>33470</v>
      </c>
      <c r="K490" s="409">
        <v>1299.31</v>
      </c>
      <c r="L490" s="41">
        <f t="shared" si="32"/>
        <v>-1.3295488497161638E-2</v>
      </c>
      <c r="M490" s="41">
        <f t="shared" si="33"/>
        <v>-4.2945871270135653E-2</v>
      </c>
      <c r="N490" s="180">
        <f t="shared" si="34"/>
        <v>1.621326208404178E-2</v>
      </c>
      <c r="O490" s="180">
        <f t="shared" si="35"/>
        <v>4.1656362062568566E-3</v>
      </c>
    </row>
    <row r="491" spans="9:15" x14ac:dyDescent="0.35">
      <c r="I491" s="408" t="s">
        <v>781</v>
      </c>
      <c r="J491" s="409">
        <v>32936</v>
      </c>
      <c r="K491" s="409">
        <v>1293.92</v>
      </c>
      <c r="L491" s="41">
        <f t="shared" si="32"/>
        <v>1.621326208404178E-2</v>
      </c>
      <c r="M491" s="41">
        <f t="shared" si="33"/>
        <v>4.1656362062568566E-3</v>
      </c>
      <c r="N491" s="180">
        <f t="shared" si="34"/>
        <v>0</v>
      </c>
      <c r="O491" s="180">
        <f t="shared" si="35"/>
        <v>1.0946082146400912E-2</v>
      </c>
    </row>
    <row r="492" spans="9:15" x14ac:dyDescent="0.35">
      <c r="I492" s="408" t="s">
        <v>782</v>
      </c>
      <c r="J492" s="409">
        <v>32936</v>
      </c>
      <c r="K492" s="409">
        <v>1279.9100000000001</v>
      </c>
      <c r="L492" s="41">
        <f t="shared" si="32"/>
        <v>0</v>
      </c>
      <c r="M492" s="41">
        <f t="shared" si="33"/>
        <v>1.0946082146400912E-2</v>
      </c>
      <c r="N492" s="180">
        <f t="shared" si="34"/>
        <v>0</v>
      </c>
      <c r="O492" s="180">
        <f t="shared" si="35"/>
        <v>-1.3587249718698369E-2</v>
      </c>
    </row>
    <row r="493" spans="9:15" x14ac:dyDescent="0.35">
      <c r="I493" s="408" t="s">
        <v>783</v>
      </c>
      <c r="J493" s="409">
        <v>32936</v>
      </c>
      <c r="K493" s="409">
        <v>1297.54</v>
      </c>
      <c r="L493" s="41">
        <f t="shared" si="32"/>
        <v>0</v>
      </c>
      <c r="M493" s="41">
        <f t="shared" si="33"/>
        <v>-1.3587249718698369E-2</v>
      </c>
      <c r="N493" s="180">
        <f t="shared" si="34"/>
        <v>2.7772576920676528E-2</v>
      </c>
      <c r="O493" s="180">
        <f t="shared" si="35"/>
        <v>9.5656869551801989E-4</v>
      </c>
    </row>
    <row r="494" spans="9:15" x14ac:dyDescent="0.35">
      <c r="I494" s="408">
        <v>44537</v>
      </c>
      <c r="J494" s="409">
        <v>32046</v>
      </c>
      <c r="K494" s="409">
        <v>1296.3</v>
      </c>
      <c r="L494" s="41">
        <f t="shared" si="32"/>
        <v>2.7772576920676528E-2</v>
      </c>
      <c r="M494" s="41">
        <f t="shared" si="33"/>
        <v>9.5656869551801989E-4</v>
      </c>
      <c r="N494" s="180">
        <f t="shared" si="34"/>
        <v>-3.4846248832936785E-2</v>
      </c>
      <c r="O494" s="180">
        <f t="shared" si="35"/>
        <v>-3.7739210475526037E-2</v>
      </c>
    </row>
    <row r="495" spans="9:15" x14ac:dyDescent="0.35">
      <c r="I495" s="408">
        <v>44446</v>
      </c>
      <c r="J495" s="409">
        <v>33203</v>
      </c>
      <c r="K495" s="409">
        <v>1347.14</v>
      </c>
      <c r="L495" s="41">
        <f t="shared" si="32"/>
        <v>-3.4846248832936785E-2</v>
      </c>
      <c r="M495" s="41">
        <f t="shared" si="33"/>
        <v>-3.7739210475526037E-2</v>
      </c>
      <c r="N495" s="180">
        <f t="shared" si="34"/>
        <v>-2.1022526241302041E-2</v>
      </c>
      <c r="O495" s="180">
        <f t="shared" si="35"/>
        <v>-2.0033753309861176E-2</v>
      </c>
    </row>
    <row r="496" spans="9:15" x14ac:dyDescent="0.35">
      <c r="I496" s="408">
        <v>44415</v>
      </c>
      <c r="J496" s="409">
        <v>33916</v>
      </c>
      <c r="K496" s="409">
        <v>1374.68</v>
      </c>
      <c r="L496" s="41">
        <f t="shared" si="32"/>
        <v>-2.1022526241302041E-2</v>
      </c>
      <c r="M496" s="41">
        <f t="shared" si="33"/>
        <v>-2.0033753309861176E-2</v>
      </c>
      <c r="N496" s="180">
        <f t="shared" si="34"/>
        <v>-2.6172621673283339E-3</v>
      </c>
      <c r="O496" s="180">
        <f t="shared" si="35"/>
        <v>-9.9888372762953377E-3</v>
      </c>
    </row>
    <row r="497" spans="9:15" x14ac:dyDescent="0.35">
      <c r="I497" s="408">
        <v>44384</v>
      </c>
      <c r="J497" s="409">
        <v>34005</v>
      </c>
      <c r="K497" s="409">
        <v>1388.55</v>
      </c>
      <c r="L497" s="41">
        <f t="shared" si="32"/>
        <v>-2.6172621673283339E-3</v>
      </c>
      <c r="M497" s="41">
        <f t="shared" si="33"/>
        <v>-9.9888372762953377E-3</v>
      </c>
      <c r="N497" s="180">
        <f t="shared" si="34"/>
        <v>-7.7906162464985995E-3</v>
      </c>
      <c r="O497" s="180">
        <f t="shared" si="35"/>
        <v>2.4918991135157473E-2</v>
      </c>
    </row>
    <row r="498" spans="9:15" x14ac:dyDescent="0.35">
      <c r="I498" s="408">
        <v>44354</v>
      </c>
      <c r="J498" s="409">
        <v>34272</v>
      </c>
      <c r="K498" s="409">
        <v>1354.79</v>
      </c>
      <c r="L498" s="41">
        <f t="shared" si="32"/>
        <v>-7.7906162464985995E-3</v>
      </c>
      <c r="M498" s="41">
        <f t="shared" si="33"/>
        <v>2.4918991135157473E-2</v>
      </c>
      <c r="N498" s="180">
        <f t="shared" si="34"/>
        <v>-3.8657171922685655E-3</v>
      </c>
      <c r="O498" s="180">
        <f t="shared" si="35"/>
        <v>-3.9925449816813577E-2</v>
      </c>
    </row>
    <row r="499" spans="9:15" x14ac:dyDescent="0.35">
      <c r="I499" s="408">
        <v>44323</v>
      </c>
      <c r="J499" s="409">
        <v>34405</v>
      </c>
      <c r="K499" s="409">
        <v>1411.13</v>
      </c>
      <c r="L499" s="41">
        <f t="shared" si="32"/>
        <v>-3.8657171922685655E-3</v>
      </c>
      <c r="M499" s="41">
        <f t="shared" si="33"/>
        <v>-3.9925449816813577E-2</v>
      </c>
      <c r="N499" s="180">
        <f t="shared" si="34"/>
        <v>3.8807189542483661E-3</v>
      </c>
      <c r="O499" s="180">
        <f t="shared" si="35"/>
        <v>-6.435396086659489E-3</v>
      </c>
    </row>
    <row r="500" spans="9:15" x14ac:dyDescent="0.35">
      <c r="I500" s="408">
        <v>44234</v>
      </c>
      <c r="J500" s="409">
        <v>34272</v>
      </c>
      <c r="K500" s="409">
        <v>1420.27</v>
      </c>
      <c r="L500" s="41">
        <f t="shared" si="32"/>
        <v>3.8807189542483661E-3</v>
      </c>
      <c r="M500" s="41">
        <f t="shared" si="33"/>
        <v>-6.435396086659489E-3</v>
      </c>
      <c r="N500" s="180">
        <f t="shared" si="34"/>
        <v>-5.1669085631349783E-3</v>
      </c>
      <c r="O500" s="180">
        <f t="shared" si="35"/>
        <v>2.2511079120445246E-3</v>
      </c>
    </row>
    <row r="501" spans="9:15" x14ac:dyDescent="0.35">
      <c r="I501" s="408">
        <v>44203</v>
      </c>
      <c r="J501" s="409">
        <v>34450</v>
      </c>
      <c r="K501" s="409">
        <v>1417.08</v>
      </c>
      <c r="L501" s="41">
        <f t="shared" si="32"/>
        <v>-5.1669085631349783E-3</v>
      </c>
      <c r="M501" s="41">
        <f t="shared" si="33"/>
        <v>2.2511079120445246E-3</v>
      </c>
      <c r="N501" s="180">
        <f t="shared" si="34"/>
        <v>-2.5767972436955325E-3</v>
      </c>
      <c r="O501" s="180">
        <f t="shared" si="35"/>
        <v>6.0558730609491839E-3</v>
      </c>
    </row>
    <row r="502" spans="9:15" x14ac:dyDescent="0.35">
      <c r="I502" s="408" t="s">
        <v>784</v>
      </c>
      <c r="J502" s="409">
        <v>34539</v>
      </c>
      <c r="K502" s="409">
        <v>1408.55</v>
      </c>
      <c r="L502" s="41">
        <f t="shared" si="32"/>
        <v>-2.5767972436955325E-3</v>
      </c>
      <c r="M502" s="41">
        <f t="shared" si="33"/>
        <v>6.0558730609491839E-3</v>
      </c>
      <c r="N502" s="180">
        <f t="shared" si="34"/>
        <v>2.1048275046560441E-2</v>
      </c>
      <c r="O502" s="180">
        <f t="shared" si="35"/>
        <v>-1.0567076111316057E-3</v>
      </c>
    </row>
    <row r="503" spans="9:15" x14ac:dyDescent="0.35">
      <c r="I503" s="408" t="s">
        <v>785</v>
      </c>
      <c r="J503" s="409">
        <v>33827</v>
      </c>
      <c r="K503" s="409">
        <v>1410.04</v>
      </c>
      <c r="L503" s="41">
        <f t="shared" si="32"/>
        <v>2.1048275046560441E-2</v>
      </c>
      <c r="M503" s="41">
        <f t="shared" si="33"/>
        <v>-1.0567076111316057E-3</v>
      </c>
      <c r="N503" s="180">
        <f t="shared" si="34"/>
        <v>-1.5540874829021275E-2</v>
      </c>
      <c r="O503" s="180">
        <f t="shared" si="35"/>
        <v>3.0089414643515258E-3</v>
      </c>
    </row>
    <row r="504" spans="9:15" x14ac:dyDescent="0.35">
      <c r="I504" s="408" t="s">
        <v>786</v>
      </c>
      <c r="J504" s="409">
        <v>34361</v>
      </c>
      <c r="K504" s="409">
        <v>1405.81</v>
      </c>
      <c r="L504" s="41">
        <f t="shared" si="32"/>
        <v>-1.5540874829021275E-2</v>
      </c>
      <c r="M504" s="41">
        <f t="shared" si="33"/>
        <v>3.0089414643515258E-3</v>
      </c>
      <c r="N504" s="180">
        <f t="shared" si="34"/>
        <v>1.3120651020167472E-2</v>
      </c>
      <c r="O504" s="180">
        <f t="shared" si="35"/>
        <v>1.1286795384571157E-2</v>
      </c>
    </row>
    <row r="505" spans="9:15" x14ac:dyDescent="0.35">
      <c r="I505" s="408" t="s">
        <v>787</v>
      </c>
      <c r="J505" s="409">
        <v>33916</v>
      </c>
      <c r="K505" s="409">
        <v>1390.12</v>
      </c>
      <c r="L505" s="41">
        <f t="shared" si="32"/>
        <v>1.3120651020167472E-2</v>
      </c>
      <c r="M505" s="41">
        <f t="shared" si="33"/>
        <v>1.1286795384571157E-2</v>
      </c>
      <c r="N505" s="180">
        <f t="shared" si="34"/>
        <v>2.6310343808200552E-3</v>
      </c>
      <c r="O505" s="180">
        <f t="shared" si="35"/>
        <v>7.537761284898286E-3</v>
      </c>
    </row>
    <row r="506" spans="9:15" x14ac:dyDescent="0.35">
      <c r="I506" s="408" t="s">
        <v>788</v>
      </c>
      <c r="J506" s="409">
        <v>33827</v>
      </c>
      <c r="K506" s="409">
        <v>1379.72</v>
      </c>
      <c r="L506" s="41">
        <f t="shared" si="32"/>
        <v>2.6310343808200552E-3</v>
      </c>
      <c r="M506" s="41">
        <f t="shared" si="33"/>
        <v>7.537761284898286E-3</v>
      </c>
      <c r="N506" s="180">
        <f t="shared" si="34"/>
        <v>0</v>
      </c>
      <c r="O506" s="180">
        <f t="shared" si="35"/>
        <v>2.0699121921460535E-3</v>
      </c>
    </row>
    <row r="507" spans="9:15" x14ac:dyDescent="0.35">
      <c r="I507" s="408" t="s">
        <v>789</v>
      </c>
      <c r="J507" s="409">
        <v>33827</v>
      </c>
      <c r="K507" s="409">
        <v>1376.87</v>
      </c>
      <c r="L507" s="41">
        <f t="shared" si="32"/>
        <v>0</v>
      </c>
      <c r="M507" s="41">
        <f t="shared" si="33"/>
        <v>2.0699121921460535E-3</v>
      </c>
      <c r="N507" s="180">
        <f t="shared" si="34"/>
        <v>-2.9354375896700143E-2</v>
      </c>
      <c r="O507" s="180">
        <f t="shared" si="35"/>
        <v>-2.2464256469344524E-3</v>
      </c>
    </row>
    <row r="508" spans="9:15" x14ac:dyDescent="0.35">
      <c r="I508" s="408" t="s">
        <v>790</v>
      </c>
      <c r="J508" s="409">
        <v>34850</v>
      </c>
      <c r="K508" s="409">
        <v>1379.97</v>
      </c>
      <c r="L508" s="41">
        <f t="shared" si="32"/>
        <v>-2.9354375896700143E-2</v>
      </c>
      <c r="M508" s="41">
        <f t="shared" si="33"/>
        <v>-2.2464256469344524E-3</v>
      </c>
      <c r="N508" s="180">
        <f t="shared" si="34"/>
        <v>1.9512623233771172E-2</v>
      </c>
      <c r="O508" s="180">
        <f t="shared" si="35"/>
        <v>5.3473987891856636E-3</v>
      </c>
    </row>
    <row r="509" spans="9:15" x14ac:dyDescent="0.35">
      <c r="I509" s="408" t="s">
        <v>791</v>
      </c>
      <c r="J509" s="409">
        <v>34183</v>
      </c>
      <c r="K509" s="409">
        <v>1372.63</v>
      </c>
      <c r="L509" s="41">
        <f t="shared" si="32"/>
        <v>1.9512623233771172E-2</v>
      </c>
      <c r="M509" s="41">
        <f t="shared" si="33"/>
        <v>5.3473987891856636E-3</v>
      </c>
      <c r="N509" s="180">
        <f t="shared" si="34"/>
        <v>-5.1802916096737577E-3</v>
      </c>
      <c r="O509" s="180">
        <f t="shared" si="35"/>
        <v>-3.7306662215027711E-3</v>
      </c>
    </row>
    <row r="510" spans="9:15" x14ac:dyDescent="0.35">
      <c r="I510" s="408" t="s">
        <v>792</v>
      </c>
      <c r="J510" s="409">
        <v>34361</v>
      </c>
      <c r="K510" s="409">
        <v>1377.77</v>
      </c>
      <c r="L510" s="41">
        <f t="shared" si="32"/>
        <v>-5.1802916096737577E-3</v>
      </c>
      <c r="M510" s="41">
        <f t="shared" si="33"/>
        <v>-3.7306662215027711E-3</v>
      </c>
      <c r="N510" s="180">
        <f t="shared" si="34"/>
        <v>3.903840338675537E-2</v>
      </c>
      <c r="O510" s="180">
        <f t="shared" si="35"/>
        <v>1.3125772104241358E-2</v>
      </c>
    </row>
    <row r="511" spans="9:15" x14ac:dyDescent="0.35">
      <c r="I511" s="408" t="s">
        <v>793</v>
      </c>
      <c r="J511" s="409">
        <v>33070</v>
      </c>
      <c r="K511" s="409">
        <v>1359.92</v>
      </c>
      <c r="L511" s="41">
        <f t="shared" si="32"/>
        <v>3.903840338675537E-2</v>
      </c>
      <c r="M511" s="41">
        <f t="shared" si="33"/>
        <v>1.3125772104241358E-2</v>
      </c>
      <c r="N511" s="180">
        <f t="shared" si="34"/>
        <v>6.7890522726580813E-3</v>
      </c>
      <c r="O511" s="180">
        <f t="shared" si="35"/>
        <v>2.5064134697609258E-3</v>
      </c>
    </row>
    <row r="512" spans="9:15" x14ac:dyDescent="0.35">
      <c r="I512" s="408" t="s">
        <v>794</v>
      </c>
      <c r="J512" s="409">
        <v>32847</v>
      </c>
      <c r="K512" s="409">
        <v>1356.52</v>
      </c>
      <c r="L512" s="41">
        <f t="shared" si="32"/>
        <v>6.7890522726580813E-3</v>
      </c>
      <c r="M512" s="41">
        <f t="shared" si="33"/>
        <v>2.5064134697609258E-3</v>
      </c>
      <c r="N512" s="180">
        <f t="shared" si="34"/>
        <v>-5.3898561695685087E-3</v>
      </c>
      <c r="O512" s="180">
        <f t="shared" si="35"/>
        <v>-7.9276854668850327E-3</v>
      </c>
    </row>
    <row r="513" spans="9:15" x14ac:dyDescent="0.35">
      <c r="I513" s="408" t="s">
        <v>795</v>
      </c>
      <c r="J513" s="409">
        <v>33025</v>
      </c>
      <c r="K513" s="409">
        <v>1367.36</v>
      </c>
      <c r="L513" s="41">
        <f t="shared" si="32"/>
        <v>-5.3898561695685087E-3</v>
      </c>
      <c r="M513" s="41">
        <f t="shared" si="33"/>
        <v>-7.9276854668850327E-3</v>
      </c>
      <c r="N513" s="180">
        <f t="shared" si="34"/>
        <v>-2.6876849670834087E-3</v>
      </c>
      <c r="O513" s="180">
        <f t="shared" si="35"/>
        <v>4.1418206386040247E-3</v>
      </c>
    </row>
    <row r="514" spans="9:15" x14ac:dyDescent="0.35">
      <c r="I514" s="408" t="s">
        <v>796</v>
      </c>
      <c r="J514" s="409">
        <v>33114</v>
      </c>
      <c r="K514" s="409">
        <v>1361.72</v>
      </c>
      <c r="L514" s="41">
        <f t="shared" si="32"/>
        <v>-2.6876849670834087E-3</v>
      </c>
      <c r="M514" s="41">
        <f t="shared" si="33"/>
        <v>4.1418206386040247E-3</v>
      </c>
      <c r="N514" s="180">
        <f t="shared" si="34"/>
        <v>-5.3466298209780124E-3</v>
      </c>
      <c r="O514" s="180">
        <f t="shared" si="35"/>
        <v>7.3830766271620416E-3</v>
      </c>
    </row>
    <row r="515" spans="9:15" x14ac:dyDescent="0.35">
      <c r="I515" s="408">
        <v>44506</v>
      </c>
      <c r="J515" s="409">
        <v>33292</v>
      </c>
      <c r="K515" s="409">
        <v>1351.74</v>
      </c>
      <c r="L515" s="41">
        <f t="shared" si="32"/>
        <v>-5.3466298209780124E-3</v>
      </c>
      <c r="M515" s="41">
        <f t="shared" si="33"/>
        <v>7.3830766271620416E-3</v>
      </c>
      <c r="N515" s="180">
        <f t="shared" si="34"/>
        <v>2.6804806794566757E-3</v>
      </c>
      <c r="O515" s="180">
        <f t="shared" si="35"/>
        <v>2.1275631242539238E-2</v>
      </c>
    </row>
    <row r="516" spans="9:15" x14ac:dyDescent="0.35">
      <c r="I516" s="408">
        <v>44475</v>
      </c>
      <c r="J516" s="409">
        <v>33203</v>
      </c>
      <c r="K516" s="409">
        <v>1323.58</v>
      </c>
      <c r="L516" s="41">
        <f t="shared" ref="L516:L579" si="36">(J515-J516)/J516</f>
        <v>2.6804806794566757E-3</v>
      </c>
      <c r="M516" s="41">
        <f t="shared" ref="M516:M579" si="37">(K515-K516)/K516</f>
        <v>2.1275631242539238E-2</v>
      </c>
      <c r="N516" s="180">
        <f t="shared" si="34"/>
        <v>-1.3534648700673725E-3</v>
      </c>
      <c r="O516" s="180">
        <f t="shared" si="35"/>
        <v>-6.9922724885589042E-3</v>
      </c>
    </row>
    <row r="517" spans="9:15" x14ac:dyDescent="0.35">
      <c r="I517" s="408">
        <v>44445</v>
      </c>
      <c r="J517" s="409">
        <v>33248</v>
      </c>
      <c r="K517" s="409">
        <v>1332.9</v>
      </c>
      <c r="L517" s="41">
        <f t="shared" si="36"/>
        <v>-1.3534648700673725E-3</v>
      </c>
      <c r="M517" s="41">
        <f t="shared" si="37"/>
        <v>-6.9922724885589042E-3</v>
      </c>
      <c r="N517" s="180">
        <f t="shared" si="34"/>
        <v>-6.6328054974604126E-3</v>
      </c>
      <c r="O517" s="180">
        <f t="shared" si="35"/>
        <v>9.8645331393762917E-3</v>
      </c>
    </row>
    <row r="518" spans="9:15" x14ac:dyDescent="0.35">
      <c r="I518" s="408">
        <v>44414</v>
      </c>
      <c r="J518" s="409">
        <v>33470</v>
      </c>
      <c r="K518" s="409">
        <v>1319.88</v>
      </c>
      <c r="L518" s="41">
        <f t="shared" si="36"/>
        <v>-6.6328054974604126E-3</v>
      </c>
      <c r="M518" s="41">
        <f t="shared" si="37"/>
        <v>9.8645331393762917E-3</v>
      </c>
      <c r="N518" s="180">
        <f t="shared" si="34"/>
        <v>-1.3426823810234224E-3</v>
      </c>
      <c r="O518" s="180">
        <f t="shared" si="35"/>
        <v>-2.8628622735100504E-2</v>
      </c>
    </row>
    <row r="519" spans="9:15" x14ac:dyDescent="0.35">
      <c r="I519" s="408">
        <v>44383</v>
      </c>
      <c r="J519" s="409">
        <v>33515</v>
      </c>
      <c r="K519" s="409">
        <v>1358.78</v>
      </c>
      <c r="L519" s="41">
        <f t="shared" si="36"/>
        <v>-1.3426823810234224E-3</v>
      </c>
      <c r="M519" s="41">
        <f t="shared" si="37"/>
        <v>-2.8628622735100504E-2</v>
      </c>
      <c r="N519" s="180">
        <f t="shared" si="34"/>
        <v>-1.3111236926010906E-3</v>
      </c>
      <c r="O519" s="180">
        <f t="shared" si="35"/>
        <v>-1.1113132709872263E-2</v>
      </c>
    </row>
    <row r="520" spans="9:15" x14ac:dyDescent="0.35">
      <c r="I520" s="408">
        <v>44292</v>
      </c>
      <c r="J520" s="409">
        <v>33559</v>
      </c>
      <c r="K520" s="409">
        <v>1374.05</v>
      </c>
      <c r="L520" s="41">
        <f t="shared" si="36"/>
        <v>-1.3111236926010906E-3</v>
      </c>
      <c r="M520" s="41">
        <f t="shared" si="37"/>
        <v>-1.1113132709872263E-2</v>
      </c>
      <c r="N520" s="180">
        <f t="shared" si="34"/>
        <v>-7.9226653265143231E-3</v>
      </c>
      <c r="O520" s="180">
        <f t="shared" si="35"/>
        <v>7.161286539420047E-3</v>
      </c>
    </row>
    <row r="521" spans="9:15" x14ac:dyDescent="0.35">
      <c r="I521" s="408">
        <v>44261</v>
      </c>
      <c r="J521" s="409">
        <v>33827</v>
      </c>
      <c r="K521" s="409">
        <v>1364.28</v>
      </c>
      <c r="L521" s="41">
        <f t="shared" si="36"/>
        <v>-7.9226653265143231E-3</v>
      </c>
      <c r="M521" s="41">
        <f t="shared" si="37"/>
        <v>7.161286539420047E-3</v>
      </c>
      <c r="N521" s="180">
        <f t="shared" si="34"/>
        <v>-1.2984360410831E-2</v>
      </c>
      <c r="O521" s="180">
        <f t="shared" si="35"/>
        <v>1.752711108459255E-2</v>
      </c>
    </row>
    <row r="522" spans="9:15" x14ac:dyDescent="0.35">
      <c r="I522" s="408">
        <v>44233</v>
      </c>
      <c r="J522" s="409">
        <v>34272</v>
      </c>
      <c r="K522" s="409">
        <v>1340.78</v>
      </c>
      <c r="L522" s="41">
        <f t="shared" si="36"/>
        <v>-1.2984360410831E-2</v>
      </c>
      <c r="M522" s="41">
        <f t="shared" si="37"/>
        <v>1.752711108459255E-2</v>
      </c>
      <c r="N522" s="180">
        <f t="shared" si="34"/>
        <v>3.4970103279579633E-2</v>
      </c>
      <c r="O522" s="180">
        <f t="shared" si="35"/>
        <v>2.2425211918252626E-3</v>
      </c>
    </row>
    <row r="523" spans="9:15" x14ac:dyDescent="0.35">
      <c r="I523" s="408">
        <v>44202</v>
      </c>
      <c r="J523" s="409">
        <v>33114</v>
      </c>
      <c r="K523" s="409">
        <v>1337.78</v>
      </c>
      <c r="L523" s="41">
        <f t="shared" si="36"/>
        <v>3.4970103279579633E-2</v>
      </c>
      <c r="M523" s="41">
        <f t="shared" si="37"/>
        <v>2.2425211918252626E-3</v>
      </c>
      <c r="N523" s="180">
        <f t="shared" si="34"/>
        <v>-1.063639079772931E-2</v>
      </c>
      <c r="O523" s="180">
        <f t="shared" si="35"/>
        <v>7.3265313805956243E-3</v>
      </c>
    </row>
    <row r="524" spans="9:15" x14ac:dyDescent="0.35">
      <c r="I524" s="408" t="s">
        <v>797</v>
      </c>
      <c r="J524" s="409">
        <v>33470</v>
      </c>
      <c r="K524" s="409">
        <v>1328.05</v>
      </c>
      <c r="L524" s="41">
        <f t="shared" si="36"/>
        <v>-1.063639079772931E-2</v>
      </c>
      <c r="M524" s="41">
        <f t="shared" si="37"/>
        <v>7.3265313805956243E-3</v>
      </c>
      <c r="N524" s="180">
        <f t="shared" si="34"/>
        <v>-3.5919002217933579E-2</v>
      </c>
      <c r="O524" s="180">
        <f t="shared" si="35"/>
        <v>5.7479969101676071E-3</v>
      </c>
    </row>
    <row r="525" spans="9:15" x14ac:dyDescent="0.35">
      <c r="I525" s="408" t="s">
        <v>798</v>
      </c>
      <c r="J525" s="409">
        <v>34717</v>
      </c>
      <c r="K525" s="409">
        <v>1320.46</v>
      </c>
      <c r="L525" s="41">
        <f t="shared" si="36"/>
        <v>-3.5919002217933579E-2</v>
      </c>
      <c r="M525" s="41">
        <f t="shared" si="37"/>
        <v>5.7479969101676071E-3</v>
      </c>
      <c r="N525" s="180">
        <f t="shared" si="34"/>
        <v>0</v>
      </c>
      <c r="O525" s="180">
        <f t="shared" si="35"/>
        <v>1.2956726527919561E-2</v>
      </c>
    </row>
    <row r="526" spans="9:15" x14ac:dyDescent="0.35">
      <c r="I526" s="408" t="s">
        <v>799</v>
      </c>
      <c r="J526" s="409">
        <v>34717</v>
      </c>
      <c r="K526" s="409">
        <v>1303.57</v>
      </c>
      <c r="L526" s="41">
        <f t="shared" si="36"/>
        <v>0</v>
      </c>
      <c r="M526" s="41">
        <f t="shared" si="37"/>
        <v>1.2956726527919561E-2</v>
      </c>
      <c r="N526" s="180">
        <f t="shared" si="34"/>
        <v>0</v>
      </c>
      <c r="O526" s="180">
        <f t="shared" si="35"/>
        <v>-9.9718994455837394E-3</v>
      </c>
    </row>
    <row r="527" spans="9:15" x14ac:dyDescent="0.35">
      <c r="I527" s="408" t="s">
        <v>800</v>
      </c>
      <c r="J527" s="409">
        <v>34717</v>
      </c>
      <c r="K527" s="409">
        <v>1316.7</v>
      </c>
      <c r="L527" s="41">
        <f t="shared" si="36"/>
        <v>0</v>
      </c>
      <c r="M527" s="41">
        <f t="shared" si="37"/>
        <v>-9.9718994455837394E-3</v>
      </c>
      <c r="N527" s="180">
        <f t="shared" si="34"/>
        <v>5.4074568860820987E-2</v>
      </c>
      <c r="O527" s="180">
        <f t="shared" si="35"/>
        <v>6.2051995292608164E-3</v>
      </c>
    </row>
    <row r="528" spans="9:15" x14ac:dyDescent="0.35">
      <c r="I528" s="408" t="s">
        <v>801</v>
      </c>
      <c r="J528" s="409">
        <v>32936</v>
      </c>
      <c r="K528" s="409">
        <v>1308.58</v>
      </c>
      <c r="L528" s="41">
        <f t="shared" si="36"/>
        <v>5.4074568860820987E-2</v>
      </c>
      <c r="M528" s="41">
        <f t="shared" si="37"/>
        <v>6.2051995292608164E-3</v>
      </c>
      <c r="N528" s="180">
        <f t="shared" si="34"/>
        <v>-8.041442038370027E-3</v>
      </c>
      <c r="O528" s="180">
        <f t="shared" si="35"/>
        <v>8.1665356939243355E-3</v>
      </c>
    </row>
    <row r="529" spans="9:15" x14ac:dyDescent="0.35">
      <c r="I529" s="408" t="s">
        <v>802</v>
      </c>
      <c r="J529" s="409">
        <v>33203</v>
      </c>
      <c r="K529" s="409">
        <v>1297.98</v>
      </c>
      <c r="L529" s="41">
        <f t="shared" si="36"/>
        <v>-8.041442038370027E-3</v>
      </c>
      <c r="M529" s="41">
        <f t="shared" si="37"/>
        <v>8.1665356939243355E-3</v>
      </c>
      <c r="N529" s="180">
        <f t="shared" si="34"/>
        <v>0</v>
      </c>
      <c r="O529" s="180">
        <f t="shared" si="35"/>
        <v>1.0942964180290166E-2</v>
      </c>
    </row>
    <row r="530" spans="9:15" x14ac:dyDescent="0.35">
      <c r="I530" s="408" t="s">
        <v>803</v>
      </c>
      <c r="J530" s="409">
        <v>33203</v>
      </c>
      <c r="K530" s="409">
        <v>1283.93</v>
      </c>
      <c r="L530" s="41">
        <f t="shared" si="36"/>
        <v>0</v>
      </c>
      <c r="M530" s="41">
        <f t="shared" si="37"/>
        <v>1.0942964180290166E-2</v>
      </c>
      <c r="N530" s="180">
        <f t="shared" si="34"/>
        <v>6.8754627096275792E-2</v>
      </c>
      <c r="O530" s="180">
        <f t="shared" si="35"/>
        <v>4.4671496299541836E-3</v>
      </c>
    </row>
    <row r="531" spans="9:15" x14ac:dyDescent="0.35">
      <c r="I531" s="408" t="s">
        <v>804</v>
      </c>
      <c r="J531" s="409">
        <v>31067</v>
      </c>
      <c r="K531" s="409">
        <v>1278.22</v>
      </c>
      <c r="L531" s="41">
        <f t="shared" si="36"/>
        <v>6.8754627096275792E-2</v>
      </c>
      <c r="M531" s="41">
        <f t="shared" si="37"/>
        <v>4.4671496299541836E-3</v>
      </c>
      <c r="N531" s="180">
        <f t="shared" si="34"/>
        <v>0</v>
      </c>
      <c r="O531" s="180">
        <f t="shared" si="35"/>
        <v>1.2459504629739656E-2</v>
      </c>
    </row>
    <row r="532" spans="9:15" x14ac:dyDescent="0.35">
      <c r="I532" s="408" t="s">
        <v>805</v>
      </c>
      <c r="J532" s="409">
        <v>31067</v>
      </c>
      <c r="K532" s="409">
        <v>1262.49</v>
      </c>
      <c r="L532" s="41">
        <f t="shared" si="36"/>
        <v>0</v>
      </c>
      <c r="M532" s="41">
        <f t="shared" si="37"/>
        <v>1.2459504629739656E-2</v>
      </c>
      <c r="N532" s="180">
        <f t="shared" si="34"/>
        <v>-1.4463872460786834E-3</v>
      </c>
      <c r="O532" s="180">
        <f t="shared" si="35"/>
        <v>7.8312098860043623E-3</v>
      </c>
    </row>
    <row r="533" spans="9:15" x14ac:dyDescent="0.35">
      <c r="I533" s="408" t="s">
        <v>806</v>
      </c>
      <c r="J533" s="409">
        <v>31112</v>
      </c>
      <c r="K533" s="409">
        <v>1252.68</v>
      </c>
      <c r="L533" s="41">
        <f t="shared" si="36"/>
        <v>-1.4463872460786834E-3</v>
      </c>
      <c r="M533" s="41">
        <f t="shared" si="37"/>
        <v>7.8312098860043623E-3</v>
      </c>
      <c r="N533" s="180">
        <f t="shared" si="34"/>
        <v>-9.8972090506953513E-3</v>
      </c>
      <c r="O533" s="180">
        <f t="shared" si="35"/>
        <v>-4.7827123222372141E-3</v>
      </c>
    </row>
    <row r="534" spans="9:15" x14ac:dyDescent="0.35">
      <c r="I534" s="408" t="s">
        <v>807</v>
      </c>
      <c r="J534" s="409">
        <v>31423</v>
      </c>
      <c r="K534" s="409">
        <v>1258.7</v>
      </c>
      <c r="L534" s="41">
        <f t="shared" si="36"/>
        <v>-9.8972090506953513E-3</v>
      </c>
      <c r="M534" s="41">
        <f t="shared" si="37"/>
        <v>-4.7827123222372141E-3</v>
      </c>
      <c r="N534" s="180">
        <f t="shared" si="34"/>
        <v>2.8403650986149232E-3</v>
      </c>
      <c r="O534" s="180">
        <f t="shared" si="35"/>
        <v>-6.0488328753275965E-3</v>
      </c>
    </row>
    <row r="535" spans="9:15" x14ac:dyDescent="0.35">
      <c r="I535" s="408" t="s">
        <v>808</v>
      </c>
      <c r="J535" s="409">
        <v>31334</v>
      </c>
      <c r="K535" s="409">
        <v>1266.3599999999999</v>
      </c>
      <c r="L535" s="41">
        <f t="shared" si="36"/>
        <v>2.8403650986149232E-3</v>
      </c>
      <c r="M535" s="41">
        <f t="shared" si="37"/>
        <v>-6.0488328753275965E-3</v>
      </c>
      <c r="N535" s="180">
        <f t="shared" si="34"/>
        <v>5.7131852612658874E-3</v>
      </c>
      <c r="O535" s="180">
        <f t="shared" si="35"/>
        <v>3.4627849666002829E-3</v>
      </c>
    </row>
    <row r="536" spans="9:15" x14ac:dyDescent="0.35">
      <c r="I536" s="408" t="s">
        <v>809</v>
      </c>
      <c r="J536" s="409">
        <v>31156</v>
      </c>
      <c r="K536" s="409">
        <v>1261.99</v>
      </c>
      <c r="L536" s="41">
        <f t="shared" si="36"/>
        <v>5.7131852612658874E-3</v>
      </c>
      <c r="M536" s="41">
        <f t="shared" si="37"/>
        <v>3.4627849666002829E-3</v>
      </c>
      <c r="N536" s="180">
        <f t="shared" si="34"/>
        <v>-1.6850741558851374E-2</v>
      </c>
      <c r="O536" s="180">
        <f t="shared" si="35"/>
        <v>-5.594559881489815E-3</v>
      </c>
    </row>
    <row r="537" spans="9:15" x14ac:dyDescent="0.35">
      <c r="I537" s="408">
        <v>44535</v>
      </c>
      <c r="J537" s="409">
        <v>31690</v>
      </c>
      <c r="K537" s="409">
        <v>1269.0899999999999</v>
      </c>
      <c r="L537" s="41">
        <f t="shared" si="36"/>
        <v>-1.6850741558851374E-2</v>
      </c>
      <c r="M537" s="41">
        <f t="shared" si="37"/>
        <v>-5.594559881489815E-3</v>
      </c>
      <c r="N537" s="180">
        <f t="shared" si="34"/>
        <v>5.6486417872556489E-3</v>
      </c>
      <c r="O537" s="180">
        <f t="shared" si="35"/>
        <v>1.0389796503296038E-2</v>
      </c>
    </row>
    <row r="538" spans="9:15" x14ac:dyDescent="0.35">
      <c r="I538" s="408">
        <v>44505</v>
      </c>
      <c r="J538" s="409">
        <v>31512</v>
      </c>
      <c r="K538" s="409">
        <v>1256.04</v>
      </c>
      <c r="L538" s="41">
        <f t="shared" si="36"/>
        <v>5.6486417872556489E-3</v>
      </c>
      <c r="M538" s="41">
        <f t="shared" si="37"/>
        <v>1.0389796503296038E-2</v>
      </c>
      <c r="N538" s="180">
        <f t="shared" si="34"/>
        <v>-4.2343424129431843E-3</v>
      </c>
      <c r="O538" s="180">
        <f t="shared" si="35"/>
        <v>-2.8104606297336921E-3</v>
      </c>
    </row>
    <row r="539" spans="9:15" x14ac:dyDescent="0.35">
      <c r="I539" s="408">
        <v>44474</v>
      </c>
      <c r="J539" s="409">
        <v>31646</v>
      </c>
      <c r="K539" s="409">
        <v>1259.58</v>
      </c>
      <c r="L539" s="41">
        <f t="shared" si="36"/>
        <v>-4.2343424129431843E-3</v>
      </c>
      <c r="M539" s="41">
        <f t="shared" si="37"/>
        <v>-2.8104606297336921E-3</v>
      </c>
      <c r="N539" s="180">
        <f t="shared" si="34"/>
        <v>-1.3884506153360682E-3</v>
      </c>
      <c r="O539" s="180">
        <f t="shared" si="35"/>
        <v>1.4309757531345361E-2</v>
      </c>
    </row>
    <row r="540" spans="9:15" x14ac:dyDescent="0.35">
      <c r="I540" s="408">
        <v>44382</v>
      </c>
      <c r="J540" s="409">
        <v>31690</v>
      </c>
      <c r="K540" s="409">
        <v>1241.81</v>
      </c>
      <c r="L540" s="41">
        <f t="shared" si="36"/>
        <v>-1.3884506153360682E-3</v>
      </c>
      <c r="M540" s="41">
        <f t="shared" si="37"/>
        <v>1.4309757531345361E-2</v>
      </c>
      <c r="N540" s="180">
        <f t="shared" si="34"/>
        <v>-5.5855403539600851E-3</v>
      </c>
      <c r="O540" s="180">
        <f t="shared" si="35"/>
        <v>-7.0048058085512939E-3</v>
      </c>
    </row>
    <row r="541" spans="9:15" x14ac:dyDescent="0.35">
      <c r="I541" s="408">
        <v>44352</v>
      </c>
      <c r="J541" s="409">
        <v>31868</v>
      </c>
      <c r="K541" s="409">
        <v>1250.57</v>
      </c>
      <c r="L541" s="41">
        <f t="shared" si="36"/>
        <v>-5.5855403539600851E-3</v>
      </c>
      <c r="M541" s="41">
        <f t="shared" si="37"/>
        <v>-7.0048058085512939E-3</v>
      </c>
      <c r="N541" s="180">
        <f t="shared" si="34"/>
        <v>-1.1047666335650446E-2</v>
      </c>
      <c r="O541" s="180">
        <f t="shared" si="35"/>
        <v>-4.6640083410935161E-3</v>
      </c>
    </row>
    <row r="542" spans="9:15" x14ac:dyDescent="0.35">
      <c r="I542" s="408">
        <v>44321</v>
      </c>
      <c r="J542" s="409">
        <v>32224</v>
      </c>
      <c r="K542" s="409">
        <v>1256.43</v>
      </c>
      <c r="L542" s="41">
        <f t="shared" si="36"/>
        <v>-1.1047666335650446E-2</v>
      </c>
      <c r="M542" s="41">
        <f t="shared" si="37"/>
        <v>-4.6640083410935161E-3</v>
      </c>
      <c r="N542" s="180">
        <f t="shared" si="34"/>
        <v>-8.2176602751531189E-3</v>
      </c>
      <c r="O542" s="180">
        <f t="shared" si="35"/>
        <v>1.1455482208984074E-2</v>
      </c>
    </row>
    <row r="543" spans="9:15" x14ac:dyDescent="0.35">
      <c r="I543" s="408">
        <v>44291</v>
      </c>
      <c r="J543" s="409">
        <v>32491</v>
      </c>
      <c r="K543" s="409">
        <v>1242.2</v>
      </c>
      <c r="L543" s="41">
        <f t="shared" si="36"/>
        <v>-8.2176602751531189E-3</v>
      </c>
      <c r="M543" s="41">
        <f t="shared" si="37"/>
        <v>1.1455482208984074E-2</v>
      </c>
      <c r="N543" s="180">
        <f t="shared" si="34"/>
        <v>-1.3511051736701482E-2</v>
      </c>
      <c r="O543" s="180">
        <f t="shared" si="35"/>
        <v>2.2672443702143356E-3</v>
      </c>
    </row>
    <row r="544" spans="9:15" x14ac:dyDescent="0.35">
      <c r="I544" s="408" t="s">
        <v>810</v>
      </c>
      <c r="J544" s="409">
        <v>32936</v>
      </c>
      <c r="K544" s="409">
        <v>1239.3900000000001</v>
      </c>
      <c r="L544" s="41">
        <f t="shared" si="36"/>
        <v>-1.3511051736701482E-2</v>
      </c>
      <c r="M544" s="41">
        <f t="shared" si="37"/>
        <v>2.2672443702143356E-3</v>
      </c>
      <c r="N544" s="180">
        <f t="shared" si="34"/>
        <v>1.3696100458588533E-2</v>
      </c>
      <c r="O544" s="180">
        <f t="shared" si="35"/>
        <v>8.0029279004515032E-3</v>
      </c>
    </row>
    <row r="545" spans="9:15" x14ac:dyDescent="0.35">
      <c r="I545" s="408" t="s">
        <v>811</v>
      </c>
      <c r="J545" s="409">
        <v>32491</v>
      </c>
      <c r="K545" s="409">
        <v>1229.55</v>
      </c>
      <c r="L545" s="41">
        <f t="shared" si="36"/>
        <v>1.3696100458588533E-2</v>
      </c>
      <c r="M545" s="41">
        <f t="shared" si="37"/>
        <v>8.0029279004515032E-3</v>
      </c>
      <c r="N545" s="180">
        <f t="shared" si="34"/>
        <v>4.5836418064183863E-2</v>
      </c>
      <c r="O545" s="180">
        <f t="shared" si="35"/>
        <v>8.0344332855092886E-3</v>
      </c>
    </row>
    <row r="546" spans="9:15" x14ac:dyDescent="0.35">
      <c r="I546" s="408" t="s">
        <v>812</v>
      </c>
      <c r="J546" s="409">
        <v>31067</v>
      </c>
      <c r="K546" s="409">
        <v>1219.75</v>
      </c>
      <c r="L546" s="41">
        <f t="shared" si="36"/>
        <v>4.5836418064183863E-2</v>
      </c>
      <c r="M546" s="41">
        <f t="shared" si="37"/>
        <v>8.0344332855092886E-3</v>
      </c>
      <c r="N546" s="180">
        <f t="shared" ref="N546:N609" si="38">(J546-J547)/J547</f>
        <v>-2.2404732685106517E-2</v>
      </c>
      <c r="O546" s="180">
        <f t="shared" si="35"/>
        <v>3.2736455086077288E-3</v>
      </c>
    </row>
    <row r="547" spans="9:15" x14ac:dyDescent="0.35">
      <c r="I547" s="408" t="s">
        <v>813</v>
      </c>
      <c r="J547" s="409">
        <v>31779</v>
      </c>
      <c r="K547" s="409">
        <v>1215.77</v>
      </c>
      <c r="L547" s="41">
        <f t="shared" si="36"/>
        <v>-2.2404732685106517E-2</v>
      </c>
      <c r="M547" s="41">
        <f t="shared" si="37"/>
        <v>3.2736455086077288E-3</v>
      </c>
      <c r="N547" s="180">
        <f t="shared" si="38"/>
        <v>-2.1913760733741652E-2</v>
      </c>
      <c r="O547" s="180">
        <f t="shared" si="35"/>
        <v>-2.6238856895709348E-2</v>
      </c>
    </row>
    <row r="548" spans="9:15" x14ac:dyDescent="0.35">
      <c r="I548" s="408" t="s">
        <v>814</v>
      </c>
      <c r="J548" s="409">
        <v>32491</v>
      </c>
      <c r="K548" s="409">
        <v>1248.53</v>
      </c>
      <c r="L548" s="41">
        <f t="shared" si="36"/>
        <v>-2.1913760733741652E-2</v>
      </c>
      <c r="M548" s="41">
        <f t="shared" si="37"/>
        <v>-2.6238856895709348E-2</v>
      </c>
      <c r="N548" s="180">
        <f t="shared" si="38"/>
        <v>-3.0119402985074626E-2</v>
      </c>
      <c r="O548" s="180">
        <f t="shared" si="35"/>
        <v>1.6867293251453825E-2</v>
      </c>
    </row>
    <row r="549" spans="9:15" x14ac:dyDescent="0.35">
      <c r="I549" s="408" t="s">
        <v>815</v>
      </c>
      <c r="J549" s="409">
        <v>33500</v>
      </c>
      <c r="K549" s="409">
        <v>1227.82</v>
      </c>
      <c r="L549" s="41">
        <f t="shared" si="36"/>
        <v>-3.0119402985074626E-2</v>
      </c>
      <c r="M549" s="41">
        <f t="shared" si="37"/>
        <v>1.6867293251453825E-2</v>
      </c>
      <c r="N549" s="180">
        <f t="shared" si="38"/>
        <v>-1.3516299066521393E-2</v>
      </c>
      <c r="O549" s="180">
        <f t="shared" si="35"/>
        <v>-3.1901472860882484E-2</v>
      </c>
    </row>
    <row r="550" spans="9:15" x14ac:dyDescent="0.35">
      <c r="I550" s="408" t="s">
        <v>816</v>
      </c>
      <c r="J550" s="409">
        <v>33959</v>
      </c>
      <c r="K550" s="409">
        <v>1268.28</v>
      </c>
      <c r="L550" s="41">
        <f t="shared" si="36"/>
        <v>-1.3516299066521393E-2</v>
      </c>
      <c r="M550" s="41">
        <f t="shared" si="37"/>
        <v>-3.1901472860882484E-2</v>
      </c>
      <c r="N550" s="180">
        <f t="shared" si="38"/>
        <v>0</v>
      </c>
      <c r="O550" s="180">
        <f t="shared" ref="O550:O613" si="39">(K550-K551)/K551</f>
        <v>6.1082993542655329E-3</v>
      </c>
    </row>
    <row r="551" spans="9:15" x14ac:dyDescent="0.35">
      <c r="I551" s="408" t="s">
        <v>817</v>
      </c>
      <c r="J551" s="409">
        <v>33959</v>
      </c>
      <c r="K551" s="409">
        <v>1260.58</v>
      </c>
      <c r="L551" s="41">
        <f t="shared" si="36"/>
        <v>0</v>
      </c>
      <c r="M551" s="41">
        <f t="shared" si="37"/>
        <v>6.1082993542655329E-3</v>
      </c>
      <c r="N551" s="180">
        <f t="shared" si="38"/>
        <v>-2.7018296085283837E-3</v>
      </c>
      <c r="O551" s="180">
        <f t="shared" si="39"/>
        <v>1.7655464152222789E-2</v>
      </c>
    </row>
    <row r="552" spans="9:15" x14ac:dyDescent="0.35">
      <c r="I552" s="408" t="s">
        <v>818</v>
      </c>
      <c r="J552" s="409">
        <v>34051</v>
      </c>
      <c r="K552" s="409">
        <v>1238.71</v>
      </c>
      <c r="L552" s="41">
        <f t="shared" si="36"/>
        <v>-2.7018296085283837E-3</v>
      </c>
      <c r="M552" s="41">
        <f t="shared" si="37"/>
        <v>1.7655464152222789E-2</v>
      </c>
      <c r="N552" s="180">
        <f t="shared" si="38"/>
        <v>-1.0663025161252834E-2</v>
      </c>
      <c r="O552" s="180">
        <f t="shared" si="39"/>
        <v>-6.8470635397875033E-3</v>
      </c>
    </row>
    <row r="553" spans="9:15" x14ac:dyDescent="0.35">
      <c r="I553" s="408" t="s">
        <v>819</v>
      </c>
      <c r="J553" s="409">
        <v>34418</v>
      </c>
      <c r="K553" s="409">
        <v>1247.25</v>
      </c>
      <c r="L553" s="41">
        <f t="shared" si="36"/>
        <v>-1.0663025161252834E-2</v>
      </c>
      <c r="M553" s="41">
        <f t="shared" si="37"/>
        <v>-6.8470635397875033E-3</v>
      </c>
      <c r="N553" s="180">
        <f t="shared" si="38"/>
        <v>-1.7049835784663715E-2</v>
      </c>
      <c r="O553" s="180">
        <f t="shared" si="39"/>
        <v>-6.8637677466615908E-3</v>
      </c>
    </row>
    <row r="554" spans="9:15" x14ac:dyDescent="0.35">
      <c r="I554" s="408" t="s">
        <v>820</v>
      </c>
      <c r="J554" s="409">
        <v>35015</v>
      </c>
      <c r="K554" s="409">
        <v>1255.8699999999999</v>
      </c>
      <c r="L554" s="41">
        <f t="shared" si="36"/>
        <v>-1.7049835784663715E-2</v>
      </c>
      <c r="M554" s="41">
        <f t="shared" si="37"/>
        <v>-6.8637677466615908E-3</v>
      </c>
      <c r="N554" s="180">
        <f t="shared" si="38"/>
        <v>-1.3119990873049828E-3</v>
      </c>
      <c r="O554" s="180">
        <f t="shared" si="39"/>
        <v>6.0400695328959204E-3</v>
      </c>
    </row>
    <row r="555" spans="9:15" x14ac:dyDescent="0.35">
      <c r="I555" s="408" t="s">
        <v>821</v>
      </c>
      <c r="J555" s="409">
        <v>35061</v>
      </c>
      <c r="K555" s="409">
        <v>1248.33</v>
      </c>
      <c r="L555" s="41">
        <f t="shared" si="36"/>
        <v>-1.3119990873049828E-3</v>
      </c>
      <c r="M555" s="41">
        <f t="shared" si="37"/>
        <v>6.0400695328959204E-3</v>
      </c>
      <c r="N555" s="180">
        <f t="shared" si="38"/>
        <v>0</v>
      </c>
      <c r="O555" s="180">
        <f t="shared" si="39"/>
        <v>-3.2895524771448903E-3</v>
      </c>
    </row>
    <row r="556" spans="9:15" x14ac:dyDescent="0.35">
      <c r="I556" s="408">
        <v>44534</v>
      </c>
      <c r="J556" s="409">
        <v>35061</v>
      </c>
      <c r="K556" s="409">
        <v>1252.45</v>
      </c>
      <c r="L556" s="41">
        <f t="shared" si="36"/>
        <v>0</v>
      </c>
      <c r="M556" s="41">
        <f t="shared" si="37"/>
        <v>-3.2895524771448903E-3</v>
      </c>
      <c r="N556" s="180">
        <f t="shared" si="38"/>
        <v>2.6309016557522378E-3</v>
      </c>
      <c r="O556" s="180">
        <f t="shared" si="39"/>
        <v>1.6879658347271131E-2</v>
      </c>
    </row>
    <row r="557" spans="9:15" x14ac:dyDescent="0.35">
      <c r="I557" s="408">
        <v>44443</v>
      </c>
      <c r="J557" s="409">
        <v>34969</v>
      </c>
      <c r="K557" s="409">
        <v>1231.6600000000001</v>
      </c>
      <c r="L557" s="41">
        <f t="shared" si="36"/>
        <v>2.6309016557522378E-3</v>
      </c>
      <c r="M557" s="41">
        <f t="shared" si="37"/>
        <v>1.6879658347271131E-2</v>
      </c>
      <c r="N557" s="180">
        <f t="shared" si="38"/>
        <v>1.3171835180253702E-3</v>
      </c>
      <c r="O557" s="180">
        <f t="shared" si="39"/>
        <v>-2.6156175853719911E-3</v>
      </c>
    </row>
    <row r="558" spans="9:15" x14ac:dyDescent="0.35">
      <c r="I558" s="408">
        <v>44412</v>
      </c>
      <c r="J558" s="409">
        <v>34923</v>
      </c>
      <c r="K558" s="409">
        <v>1234.8900000000001</v>
      </c>
      <c r="L558" s="41">
        <f t="shared" si="36"/>
        <v>1.3171835180253702E-3</v>
      </c>
      <c r="M558" s="41">
        <f t="shared" si="37"/>
        <v>-2.6156175853719911E-3</v>
      </c>
      <c r="N558" s="180">
        <f t="shared" si="38"/>
        <v>-7.8129439172680264E-3</v>
      </c>
      <c r="O558" s="180">
        <f t="shared" si="39"/>
        <v>-6.0287512677280773E-3</v>
      </c>
    </row>
    <row r="559" spans="9:15" x14ac:dyDescent="0.35">
      <c r="I559" s="408">
        <v>44381</v>
      </c>
      <c r="J559" s="409">
        <v>35198</v>
      </c>
      <c r="K559" s="409">
        <v>1242.3800000000001</v>
      </c>
      <c r="L559" s="41">
        <f t="shared" si="36"/>
        <v>-7.8129439172680264E-3</v>
      </c>
      <c r="M559" s="41">
        <f t="shared" si="37"/>
        <v>-6.0287512677280773E-3</v>
      </c>
      <c r="N559" s="180">
        <f t="shared" si="38"/>
        <v>-2.6069708132615472E-3</v>
      </c>
      <c r="O559" s="180">
        <f t="shared" si="39"/>
        <v>1.9516758605116881E-3</v>
      </c>
    </row>
    <row r="560" spans="9:15" x14ac:dyDescent="0.35">
      <c r="I560" s="408">
        <v>44351</v>
      </c>
      <c r="J560" s="409">
        <v>35290</v>
      </c>
      <c r="K560" s="409">
        <v>1239.96</v>
      </c>
      <c r="L560" s="41">
        <f t="shared" si="36"/>
        <v>-2.6069708132615472E-3</v>
      </c>
      <c r="M560" s="41">
        <f t="shared" si="37"/>
        <v>1.9516758605116881E-3</v>
      </c>
      <c r="N560" s="180">
        <f t="shared" si="38"/>
        <v>-7.7323211022072265E-3</v>
      </c>
      <c r="O560" s="180">
        <f t="shared" si="39"/>
        <v>3.1633024554023558E-3</v>
      </c>
    </row>
    <row r="561" spans="9:15" x14ac:dyDescent="0.35">
      <c r="I561" s="408">
        <v>44320</v>
      </c>
      <c r="J561" s="409">
        <v>35565</v>
      </c>
      <c r="K561" s="409">
        <v>1236.05</v>
      </c>
      <c r="L561" s="41">
        <f t="shared" si="36"/>
        <v>-7.7323211022072265E-3</v>
      </c>
      <c r="M561" s="41">
        <f t="shared" si="37"/>
        <v>3.1633024554023558E-3</v>
      </c>
      <c r="N561" s="180">
        <f t="shared" si="38"/>
        <v>0</v>
      </c>
      <c r="O561" s="180">
        <f t="shared" si="39"/>
        <v>9.4736412266731261E-3</v>
      </c>
    </row>
    <row r="562" spans="9:15" x14ac:dyDescent="0.35">
      <c r="I562" s="408">
        <v>44231</v>
      </c>
      <c r="J562" s="409">
        <v>35565</v>
      </c>
      <c r="K562" s="409">
        <v>1224.45</v>
      </c>
      <c r="L562" s="41">
        <f t="shared" si="36"/>
        <v>0</v>
      </c>
      <c r="M562" s="41">
        <f t="shared" si="37"/>
        <v>9.4736412266731261E-3</v>
      </c>
      <c r="N562" s="180">
        <f t="shared" si="38"/>
        <v>6.4806429703418607E-3</v>
      </c>
      <c r="O562" s="180">
        <f t="shared" si="39"/>
        <v>6.8662116602254235E-3</v>
      </c>
    </row>
    <row r="563" spans="9:15" x14ac:dyDescent="0.35">
      <c r="I563" s="408">
        <v>44200</v>
      </c>
      <c r="J563" s="409">
        <v>35336</v>
      </c>
      <c r="K563" s="409">
        <v>1216.0999999999999</v>
      </c>
      <c r="L563" s="41">
        <f t="shared" si="36"/>
        <v>6.4806429703418607E-3</v>
      </c>
      <c r="M563" s="41">
        <f t="shared" si="37"/>
        <v>6.8662116602254235E-3</v>
      </c>
      <c r="N563" s="180">
        <f t="shared" si="38"/>
        <v>1.3034854066307736E-3</v>
      </c>
      <c r="O563" s="180">
        <f t="shared" si="39"/>
        <v>2.0697643188074811E-2</v>
      </c>
    </row>
    <row r="564" spans="9:15" x14ac:dyDescent="0.35">
      <c r="I564" s="408" t="s">
        <v>822</v>
      </c>
      <c r="J564" s="409">
        <v>35290</v>
      </c>
      <c r="K564" s="409">
        <v>1191.44</v>
      </c>
      <c r="L564" s="41">
        <f t="shared" si="36"/>
        <v>1.3034854066307736E-3</v>
      </c>
      <c r="M564" s="41">
        <f t="shared" si="37"/>
        <v>2.0697643188074811E-2</v>
      </c>
      <c r="N564" s="180">
        <f t="shared" si="38"/>
        <v>6.5314737172356748E-3</v>
      </c>
      <c r="O564" s="180">
        <f t="shared" si="39"/>
        <v>4.2820054620858385E-3</v>
      </c>
    </row>
    <row r="565" spans="9:15" x14ac:dyDescent="0.35">
      <c r="I565" s="408" t="s">
        <v>823</v>
      </c>
      <c r="J565" s="409">
        <v>35061</v>
      </c>
      <c r="K565" s="409">
        <v>1186.3599999999999</v>
      </c>
      <c r="L565" s="41">
        <f t="shared" si="36"/>
        <v>6.5314737172356748E-3</v>
      </c>
      <c r="M565" s="41">
        <f t="shared" si="37"/>
        <v>4.2820054620858385E-3</v>
      </c>
      <c r="N565" s="180">
        <f t="shared" si="38"/>
        <v>2.6309016557522378E-3</v>
      </c>
      <c r="O565" s="180">
        <f t="shared" si="39"/>
        <v>9.0841045182361146E-3</v>
      </c>
    </row>
    <row r="566" spans="9:15" x14ac:dyDescent="0.35">
      <c r="I566" s="408" t="s">
        <v>824</v>
      </c>
      <c r="J566" s="409">
        <v>34969</v>
      </c>
      <c r="K566" s="409">
        <v>1175.68</v>
      </c>
      <c r="L566" s="41">
        <f t="shared" si="36"/>
        <v>2.6309016557522378E-3</v>
      </c>
      <c r="M566" s="41">
        <f t="shared" si="37"/>
        <v>9.0841045182361146E-3</v>
      </c>
      <c r="N566" s="180">
        <f t="shared" si="38"/>
        <v>0</v>
      </c>
      <c r="O566" s="180">
        <f t="shared" si="39"/>
        <v>1.1589988040027213E-2</v>
      </c>
    </row>
    <row r="567" spans="9:15" x14ac:dyDescent="0.35">
      <c r="I567" s="408" t="s">
        <v>825</v>
      </c>
      <c r="J567" s="409">
        <v>34969</v>
      </c>
      <c r="K567" s="409">
        <v>1162.21</v>
      </c>
      <c r="L567" s="41">
        <f t="shared" si="36"/>
        <v>0</v>
      </c>
      <c r="M567" s="41">
        <f t="shared" si="37"/>
        <v>1.1589988040027213E-2</v>
      </c>
      <c r="N567" s="180">
        <f t="shared" si="38"/>
        <v>-7.8027465667915106E-3</v>
      </c>
      <c r="O567" s="180">
        <f t="shared" si="39"/>
        <v>-7.651964577421312E-4</v>
      </c>
    </row>
    <row r="568" spans="9:15" x14ac:dyDescent="0.35">
      <c r="I568" s="408" t="s">
        <v>826</v>
      </c>
      <c r="J568" s="409">
        <v>35244</v>
      </c>
      <c r="K568" s="409">
        <v>1163.0999999999999</v>
      </c>
      <c r="L568" s="41">
        <f t="shared" si="36"/>
        <v>-7.8027465667915106E-3</v>
      </c>
      <c r="M568" s="41">
        <f t="shared" si="37"/>
        <v>-7.651964577421312E-4</v>
      </c>
      <c r="N568" s="180">
        <f t="shared" si="38"/>
        <v>-2.6035770885216212E-3</v>
      </c>
      <c r="O568" s="180">
        <f t="shared" si="39"/>
        <v>1.1103364577684507E-3</v>
      </c>
    </row>
    <row r="569" spans="9:15" x14ac:dyDescent="0.35">
      <c r="I569" s="408" t="s">
        <v>827</v>
      </c>
      <c r="J569" s="409">
        <v>35336</v>
      </c>
      <c r="K569" s="409">
        <v>1161.81</v>
      </c>
      <c r="L569" s="41">
        <f t="shared" si="36"/>
        <v>-2.6035770885216212E-3</v>
      </c>
      <c r="M569" s="41">
        <f t="shared" si="37"/>
        <v>1.1103364577684507E-3</v>
      </c>
      <c r="N569" s="180">
        <f t="shared" si="38"/>
        <v>-2.5968160776786721E-3</v>
      </c>
      <c r="O569" s="180">
        <f t="shared" si="39"/>
        <v>-1.8285521145802612E-2</v>
      </c>
    </row>
    <row r="570" spans="9:15" x14ac:dyDescent="0.35">
      <c r="I570" s="408" t="s">
        <v>828</v>
      </c>
      <c r="J570" s="409">
        <v>35428</v>
      </c>
      <c r="K570" s="409">
        <v>1183.45</v>
      </c>
      <c r="L570" s="41">
        <f t="shared" si="36"/>
        <v>-2.5968160776786721E-3</v>
      </c>
      <c r="M570" s="41">
        <f t="shared" si="37"/>
        <v>-1.8285521145802612E-2</v>
      </c>
      <c r="N570" s="180">
        <f t="shared" si="38"/>
        <v>-1.4053933709960205E-2</v>
      </c>
      <c r="O570" s="180">
        <f t="shared" si="39"/>
        <v>-9.192669306698608E-3</v>
      </c>
    </row>
    <row r="571" spans="9:15" x14ac:dyDescent="0.35">
      <c r="I571" s="408" t="s">
        <v>829</v>
      </c>
      <c r="J571" s="409">
        <v>35933</v>
      </c>
      <c r="K571" s="409">
        <v>1194.43</v>
      </c>
      <c r="L571" s="41">
        <f t="shared" si="36"/>
        <v>-1.4053933709960205E-2</v>
      </c>
      <c r="M571" s="41">
        <f t="shared" si="37"/>
        <v>-9.192669306698608E-3</v>
      </c>
      <c r="N571" s="180">
        <f t="shared" si="38"/>
        <v>0</v>
      </c>
      <c r="O571" s="180">
        <f t="shared" si="39"/>
        <v>3.1824462962196657E-4</v>
      </c>
    </row>
    <row r="572" spans="9:15" x14ac:dyDescent="0.35">
      <c r="I572" s="408" t="s">
        <v>830</v>
      </c>
      <c r="J572" s="409">
        <v>35933</v>
      </c>
      <c r="K572" s="409">
        <v>1194.05</v>
      </c>
      <c r="L572" s="41">
        <f t="shared" si="36"/>
        <v>0</v>
      </c>
      <c r="M572" s="41">
        <f t="shared" si="37"/>
        <v>3.1824462962196657E-4</v>
      </c>
      <c r="N572" s="180">
        <f t="shared" si="38"/>
        <v>3.8552870512641429E-3</v>
      </c>
      <c r="O572" s="180">
        <f t="shared" si="39"/>
        <v>-5.7371725481706829E-3</v>
      </c>
    </row>
    <row r="573" spans="9:15" x14ac:dyDescent="0.35">
      <c r="I573" s="408" t="s">
        <v>831</v>
      </c>
      <c r="J573" s="409">
        <v>35795</v>
      </c>
      <c r="K573" s="409">
        <v>1200.94</v>
      </c>
      <c r="L573" s="41">
        <f t="shared" si="36"/>
        <v>3.8552870512641429E-3</v>
      </c>
      <c r="M573" s="41">
        <f t="shared" si="37"/>
        <v>-5.7371725481706829E-3</v>
      </c>
      <c r="N573" s="180">
        <f t="shared" si="38"/>
        <v>5.1669427985734746E-3</v>
      </c>
      <c r="O573" s="180">
        <f t="shared" si="39"/>
        <v>1.2520129163891558E-2</v>
      </c>
    </row>
    <row r="574" spans="9:15" x14ac:dyDescent="0.35">
      <c r="I574" s="408" t="s">
        <v>832</v>
      </c>
      <c r="J574" s="409">
        <v>35611</v>
      </c>
      <c r="K574" s="409">
        <v>1186.0899999999999</v>
      </c>
      <c r="L574" s="41">
        <f t="shared" si="36"/>
        <v>5.1669427985734746E-3</v>
      </c>
      <c r="M574" s="41">
        <f t="shared" si="37"/>
        <v>1.2520129163891558E-2</v>
      </c>
      <c r="N574" s="180">
        <f t="shared" si="38"/>
        <v>1.2934064389146633E-3</v>
      </c>
      <c r="O574" s="180">
        <f t="shared" si="39"/>
        <v>5.2462073057037263E-3</v>
      </c>
    </row>
    <row r="575" spans="9:15" x14ac:dyDescent="0.35">
      <c r="I575" s="408" t="s">
        <v>833</v>
      </c>
      <c r="J575" s="409">
        <v>35565</v>
      </c>
      <c r="K575" s="409">
        <v>1179.9000000000001</v>
      </c>
      <c r="L575" s="41">
        <f t="shared" si="36"/>
        <v>1.2934064389146633E-3</v>
      </c>
      <c r="M575" s="41">
        <f t="shared" si="37"/>
        <v>5.2462073057037263E-3</v>
      </c>
      <c r="N575" s="180">
        <f t="shared" si="38"/>
        <v>-8.9726084654610308E-3</v>
      </c>
      <c r="O575" s="180">
        <f t="shared" si="39"/>
        <v>-3.933950158708596E-3</v>
      </c>
    </row>
    <row r="576" spans="9:15" x14ac:dyDescent="0.35">
      <c r="I576" s="408" t="s">
        <v>834</v>
      </c>
      <c r="J576" s="409">
        <v>35887</v>
      </c>
      <c r="K576" s="409">
        <v>1184.56</v>
      </c>
      <c r="L576" s="41">
        <f t="shared" si="36"/>
        <v>-8.9726084654610308E-3</v>
      </c>
      <c r="M576" s="41">
        <f t="shared" si="37"/>
        <v>-3.933950158708596E-3</v>
      </c>
      <c r="N576" s="180">
        <f t="shared" si="38"/>
        <v>-1.2801602983330087E-3</v>
      </c>
      <c r="O576" s="180">
        <f t="shared" si="39"/>
        <v>2.5390162158502321E-3</v>
      </c>
    </row>
    <row r="577" spans="9:15" x14ac:dyDescent="0.35">
      <c r="I577" s="408">
        <v>44533</v>
      </c>
      <c r="J577" s="409">
        <v>35933</v>
      </c>
      <c r="K577" s="409">
        <v>1181.56</v>
      </c>
      <c r="L577" s="41">
        <f t="shared" si="36"/>
        <v>-1.2801602983330087E-3</v>
      </c>
      <c r="M577" s="41">
        <f t="shared" si="37"/>
        <v>2.5390162158502321E-3</v>
      </c>
      <c r="N577" s="180">
        <f t="shared" si="38"/>
        <v>-2.5260937153009106E-3</v>
      </c>
      <c r="O577" s="180">
        <f t="shared" si="39"/>
        <v>-1.4385688778322694E-4</v>
      </c>
    </row>
    <row r="578" spans="9:15" x14ac:dyDescent="0.35">
      <c r="I578" s="408">
        <v>44503</v>
      </c>
      <c r="J578" s="409">
        <v>36024</v>
      </c>
      <c r="K578" s="409">
        <v>1181.73</v>
      </c>
      <c r="L578" s="41">
        <f t="shared" si="36"/>
        <v>-2.5260937153009106E-3</v>
      </c>
      <c r="M578" s="41">
        <f t="shared" si="37"/>
        <v>-1.4385688778322694E-4</v>
      </c>
      <c r="N578" s="180">
        <f t="shared" si="38"/>
        <v>8.9908411057894287E-3</v>
      </c>
      <c r="O578" s="180">
        <f t="shared" si="39"/>
        <v>9.9565841651853646E-3</v>
      </c>
    </row>
    <row r="579" spans="9:15" x14ac:dyDescent="0.35">
      <c r="I579" s="408">
        <v>44472</v>
      </c>
      <c r="J579" s="409">
        <v>35703</v>
      </c>
      <c r="K579" s="409">
        <v>1170.08</v>
      </c>
      <c r="L579" s="41">
        <f t="shared" si="36"/>
        <v>8.9908411057894287E-3</v>
      </c>
      <c r="M579" s="41">
        <f t="shared" si="37"/>
        <v>9.9565841651853646E-3</v>
      </c>
      <c r="N579" s="180">
        <f t="shared" si="38"/>
        <v>5.1520270270270273E-3</v>
      </c>
      <c r="O579" s="180">
        <f t="shared" si="39"/>
        <v>6.9795261495562708E-3</v>
      </c>
    </row>
    <row r="580" spans="9:15" x14ac:dyDescent="0.35">
      <c r="I580" s="408">
        <v>44442</v>
      </c>
      <c r="J580" s="409">
        <v>35520</v>
      </c>
      <c r="K580" s="409">
        <v>1161.97</v>
      </c>
      <c r="L580" s="41">
        <f t="shared" ref="L580:L643" si="40">(J579-J580)/J580</f>
        <v>5.1520270270270273E-3</v>
      </c>
      <c r="M580" s="41">
        <f t="shared" ref="M580:M643" si="41">(K579-K580)/K580</f>
        <v>6.9795261495562708E-3</v>
      </c>
      <c r="N580" s="180">
        <f t="shared" si="38"/>
        <v>-1.2730001667685807E-2</v>
      </c>
      <c r="O580" s="180">
        <f t="shared" si="39"/>
        <v>-5.3925890419166417E-3</v>
      </c>
    </row>
    <row r="581" spans="9:15" x14ac:dyDescent="0.35">
      <c r="I581" s="408">
        <v>44411</v>
      </c>
      <c r="J581" s="409">
        <v>35978</v>
      </c>
      <c r="K581" s="409">
        <v>1168.27</v>
      </c>
      <c r="L581" s="41">
        <f t="shared" si="40"/>
        <v>-1.2730001667685807E-2</v>
      </c>
      <c r="M581" s="41">
        <f t="shared" si="41"/>
        <v>-5.3925890419166417E-3</v>
      </c>
      <c r="N581" s="180">
        <f t="shared" si="38"/>
        <v>0</v>
      </c>
      <c r="O581" s="180">
        <f t="shared" si="39"/>
        <v>-3.5937673805720315E-4</v>
      </c>
    </row>
    <row r="582" spans="9:15" x14ac:dyDescent="0.35">
      <c r="I582" s="408">
        <v>44319</v>
      </c>
      <c r="J582" s="409">
        <v>35978</v>
      </c>
      <c r="K582" s="409">
        <v>1168.69</v>
      </c>
      <c r="L582" s="41">
        <f t="shared" si="40"/>
        <v>0</v>
      </c>
      <c r="M582" s="41">
        <f t="shared" si="41"/>
        <v>-3.5937673805720315E-4</v>
      </c>
      <c r="N582" s="180">
        <f t="shared" si="38"/>
        <v>-2.0020156347887671E-2</v>
      </c>
      <c r="O582" s="180">
        <f t="shared" si="39"/>
        <v>1.4548317529873068E-4</v>
      </c>
    </row>
    <row r="583" spans="9:15" x14ac:dyDescent="0.35">
      <c r="I583" s="408">
        <v>44289</v>
      </c>
      <c r="J583" s="409">
        <v>36713</v>
      </c>
      <c r="K583" s="409">
        <v>1168.52</v>
      </c>
      <c r="L583" s="41">
        <f t="shared" si="40"/>
        <v>-2.0020156347887671E-2</v>
      </c>
      <c r="M583" s="41">
        <f t="shared" si="41"/>
        <v>1.4548317529873068E-4</v>
      </c>
      <c r="N583" s="180">
        <f t="shared" si="38"/>
        <v>7.5747180064220437E-3</v>
      </c>
      <c r="O583" s="180">
        <f t="shared" si="39"/>
        <v>-1.5527191541345518E-2</v>
      </c>
    </row>
    <row r="584" spans="9:15" x14ac:dyDescent="0.35">
      <c r="I584" s="408">
        <v>44258</v>
      </c>
      <c r="J584" s="409">
        <v>36437</v>
      </c>
      <c r="K584" s="409">
        <v>1186.95</v>
      </c>
      <c r="L584" s="41">
        <f t="shared" si="40"/>
        <v>7.5747180064220437E-3</v>
      </c>
      <c r="M584" s="41">
        <f t="shared" si="41"/>
        <v>-1.5527191541345518E-2</v>
      </c>
      <c r="N584" s="180">
        <f t="shared" si="38"/>
        <v>1.7935465847185361E-2</v>
      </c>
      <c r="O584" s="180">
        <f t="shared" si="39"/>
        <v>2.8653053657068926E-4</v>
      </c>
    </row>
    <row r="585" spans="9:15" x14ac:dyDescent="0.35">
      <c r="I585" s="408">
        <v>44230</v>
      </c>
      <c r="J585" s="409">
        <v>35795</v>
      </c>
      <c r="K585" s="409">
        <v>1186.6099999999999</v>
      </c>
      <c r="L585" s="41">
        <f t="shared" si="40"/>
        <v>1.7935465847185361E-2</v>
      </c>
      <c r="M585" s="41">
        <f t="shared" si="41"/>
        <v>2.8653053657068926E-4</v>
      </c>
      <c r="N585" s="180">
        <f t="shared" si="38"/>
        <v>0</v>
      </c>
      <c r="O585" s="180">
        <f t="shared" si="39"/>
        <v>3.7094177057236922E-4</v>
      </c>
    </row>
    <row r="586" spans="9:15" x14ac:dyDescent="0.35">
      <c r="I586" s="408">
        <v>44199</v>
      </c>
      <c r="J586" s="409">
        <v>35795</v>
      </c>
      <c r="K586" s="409">
        <v>1186.17</v>
      </c>
      <c r="L586" s="41">
        <f t="shared" si="40"/>
        <v>0</v>
      </c>
      <c r="M586" s="41">
        <f t="shared" si="41"/>
        <v>3.7094177057236922E-4</v>
      </c>
      <c r="N586" s="180">
        <f t="shared" si="38"/>
        <v>5.1669427985734746E-3</v>
      </c>
      <c r="O586" s="180">
        <f t="shared" si="39"/>
        <v>1.5148014069680903E-2</v>
      </c>
    </row>
    <row r="587" spans="9:15" x14ac:dyDescent="0.35">
      <c r="I587" s="408" t="s">
        <v>835</v>
      </c>
      <c r="J587" s="409">
        <v>35611</v>
      </c>
      <c r="K587" s="409">
        <v>1168.47</v>
      </c>
      <c r="L587" s="41">
        <f t="shared" si="40"/>
        <v>5.1669427985734746E-3</v>
      </c>
      <c r="M587" s="41">
        <f t="shared" si="41"/>
        <v>1.5148014069680903E-2</v>
      </c>
      <c r="N587" s="180">
        <f t="shared" si="38"/>
        <v>2.5619369369369368E-3</v>
      </c>
      <c r="O587" s="180">
        <f t="shared" si="39"/>
        <v>2.6084792737444233E-3</v>
      </c>
    </row>
    <row r="588" spans="9:15" x14ac:dyDescent="0.35">
      <c r="I588" s="408" t="s">
        <v>836</v>
      </c>
      <c r="J588" s="409">
        <v>35520</v>
      </c>
      <c r="K588" s="409">
        <v>1165.43</v>
      </c>
      <c r="L588" s="41">
        <f t="shared" si="40"/>
        <v>2.5619369369369368E-3</v>
      </c>
      <c r="M588" s="41">
        <f t="shared" si="41"/>
        <v>2.6084792737444233E-3</v>
      </c>
      <c r="N588" s="180">
        <f t="shared" si="38"/>
        <v>6.5174270331538678E-3</v>
      </c>
      <c r="O588" s="180">
        <f t="shared" si="39"/>
        <v>2.9431760483989576E-3</v>
      </c>
    </row>
    <row r="589" spans="9:15" x14ac:dyDescent="0.35">
      <c r="I589" s="408" t="s">
        <v>837</v>
      </c>
      <c r="J589" s="409">
        <v>35290</v>
      </c>
      <c r="K589" s="409">
        <v>1162.01</v>
      </c>
      <c r="L589" s="41">
        <f t="shared" si="40"/>
        <v>6.5174270331538678E-3</v>
      </c>
      <c r="M589" s="41">
        <f t="shared" si="41"/>
        <v>2.9431760483989576E-3</v>
      </c>
      <c r="N589" s="180">
        <f t="shared" si="38"/>
        <v>-9.0140686866417678E-3</v>
      </c>
      <c r="O589" s="180">
        <f t="shared" si="39"/>
        <v>-1.3272307326517534E-2</v>
      </c>
    </row>
    <row r="590" spans="9:15" x14ac:dyDescent="0.35">
      <c r="I590" s="408" t="s">
        <v>838</v>
      </c>
      <c r="J590" s="409">
        <v>35611</v>
      </c>
      <c r="K590" s="409">
        <v>1177.6400000000001</v>
      </c>
      <c r="L590" s="41">
        <f t="shared" si="40"/>
        <v>-9.0140686866417678E-3</v>
      </c>
      <c r="M590" s="41">
        <f t="shared" si="41"/>
        <v>-1.3272307326517534E-2</v>
      </c>
      <c r="N590" s="180">
        <f t="shared" si="38"/>
        <v>-1.1464579169442594E-2</v>
      </c>
      <c r="O590" s="180">
        <f t="shared" si="39"/>
        <v>2.2126906318083949E-3</v>
      </c>
    </row>
    <row r="591" spans="9:15" x14ac:dyDescent="0.35">
      <c r="I591" s="408" t="s">
        <v>839</v>
      </c>
      <c r="J591" s="409">
        <v>36024</v>
      </c>
      <c r="K591" s="409">
        <v>1175.04</v>
      </c>
      <c r="L591" s="41">
        <f t="shared" si="40"/>
        <v>-1.1464579169442594E-2</v>
      </c>
      <c r="M591" s="41">
        <f t="shared" si="41"/>
        <v>2.2126906318083949E-3</v>
      </c>
      <c r="N591" s="180">
        <f t="shared" si="38"/>
        <v>-1.3824632483780011E-2</v>
      </c>
      <c r="O591" s="180">
        <f t="shared" si="39"/>
        <v>1.3123135918193128E-3</v>
      </c>
    </row>
    <row r="592" spans="9:15" x14ac:dyDescent="0.35">
      <c r="I592" s="408" t="s">
        <v>840</v>
      </c>
      <c r="J592" s="409">
        <v>36529</v>
      </c>
      <c r="K592" s="409">
        <v>1173.5</v>
      </c>
      <c r="L592" s="41">
        <f t="shared" si="40"/>
        <v>-1.3824632483780011E-2</v>
      </c>
      <c r="M592" s="41">
        <f t="shared" si="41"/>
        <v>1.3123135918193128E-3</v>
      </c>
      <c r="N592" s="180">
        <f t="shared" si="38"/>
        <v>-1.2409430085433113E-2</v>
      </c>
      <c r="O592" s="180">
        <f t="shared" si="39"/>
        <v>-7.4933156218609737E-4</v>
      </c>
    </row>
    <row r="593" spans="9:15" x14ac:dyDescent="0.35">
      <c r="I593" s="408" t="s">
        <v>841</v>
      </c>
      <c r="J593" s="409">
        <v>36988</v>
      </c>
      <c r="K593" s="409">
        <v>1174.3800000000001</v>
      </c>
      <c r="L593" s="41">
        <f t="shared" si="40"/>
        <v>-1.2409430085433113E-2</v>
      </c>
      <c r="M593" s="41">
        <f t="shared" si="41"/>
        <v>-7.4933156218609737E-4</v>
      </c>
      <c r="N593" s="180">
        <f t="shared" si="38"/>
        <v>7.4905346879851828E-3</v>
      </c>
      <c r="O593" s="180">
        <f t="shared" si="39"/>
        <v>1.6093028084929777E-2</v>
      </c>
    </row>
    <row r="594" spans="9:15" x14ac:dyDescent="0.35">
      <c r="I594" s="408" t="s">
        <v>842</v>
      </c>
      <c r="J594" s="409">
        <v>36713</v>
      </c>
      <c r="K594" s="409">
        <v>1155.78</v>
      </c>
      <c r="L594" s="41">
        <f t="shared" si="40"/>
        <v>7.4905346879851828E-3</v>
      </c>
      <c r="M594" s="41">
        <f t="shared" si="41"/>
        <v>1.6093028084929777E-2</v>
      </c>
      <c r="N594" s="180">
        <f t="shared" si="38"/>
        <v>-2.4368854637257506E-2</v>
      </c>
      <c r="O594" s="180">
        <f t="shared" si="39"/>
        <v>3.663907151121587E-2</v>
      </c>
    </row>
    <row r="595" spans="9:15" x14ac:dyDescent="0.35">
      <c r="I595" s="408">
        <v>44441</v>
      </c>
      <c r="J595" s="409">
        <v>37630</v>
      </c>
      <c r="K595" s="409">
        <v>1114.93</v>
      </c>
      <c r="L595" s="41">
        <f t="shared" si="40"/>
        <v>-2.4368854637257506E-2</v>
      </c>
      <c r="M595" s="41">
        <f t="shared" si="41"/>
        <v>3.663907151121587E-2</v>
      </c>
      <c r="N595" s="180">
        <f t="shared" si="38"/>
        <v>6.2154228294004743E-2</v>
      </c>
      <c r="O595" s="180">
        <f t="shared" si="39"/>
        <v>2.9311841060580879E-2</v>
      </c>
    </row>
    <row r="596" spans="9:15" x14ac:dyDescent="0.35">
      <c r="I596" s="408">
        <v>44410</v>
      </c>
      <c r="J596" s="409">
        <v>35428</v>
      </c>
      <c r="K596" s="409">
        <v>1083.18</v>
      </c>
      <c r="L596" s="41">
        <f t="shared" si="40"/>
        <v>6.2154228294004743E-2</v>
      </c>
      <c r="M596" s="41">
        <f t="shared" si="41"/>
        <v>2.9311841060580879E-2</v>
      </c>
      <c r="N596" s="180">
        <f t="shared" si="38"/>
        <v>-1.9049728652120942E-2</v>
      </c>
      <c r="O596" s="180">
        <f t="shared" si="39"/>
        <v>-3.8805228456575962E-2</v>
      </c>
    </row>
    <row r="597" spans="9:15" x14ac:dyDescent="0.35">
      <c r="I597" s="408">
        <v>44318</v>
      </c>
      <c r="J597" s="409">
        <v>36116</v>
      </c>
      <c r="K597" s="409">
        <v>1126.9100000000001</v>
      </c>
      <c r="L597" s="41">
        <f t="shared" si="40"/>
        <v>-1.9049728652120942E-2</v>
      </c>
      <c r="M597" s="41">
        <f t="shared" si="41"/>
        <v>-3.8805228456575962E-2</v>
      </c>
      <c r="N597" s="180">
        <f t="shared" si="38"/>
        <v>1.2752980316052122E-3</v>
      </c>
      <c r="O597" s="180">
        <f t="shared" si="39"/>
        <v>1.3235148670640831E-2</v>
      </c>
    </row>
    <row r="598" spans="9:15" x14ac:dyDescent="0.35">
      <c r="I598" s="408">
        <v>44288</v>
      </c>
      <c r="J598" s="409">
        <v>36070</v>
      </c>
      <c r="K598" s="409">
        <v>1112.19</v>
      </c>
      <c r="L598" s="41">
        <f t="shared" si="40"/>
        <v>1.2752980316052122E-3</v>
      </c>
      <c r="M598" s="41">
        <f t="shared" si="41"/>
        <v>1.3235148670640831E-2</v>
      </c>
      <c r="N598" s="180">
        <f t="shared" si="38"/>
        <v>-1.2736737180197143E-3</v>
      </c>
      <c r="O598" s="180">
        <f t="shared" si="39"/>
        <v>8.0986961099271211E-4</v>
      </c>
    </row>
    <row r="599" spans="9:15" x14ac:dyDescent="0.35">
      <c r="I599" s="408">
        <v>44257</v>
      </c>
      <c r="J599" s="409">
        <v>36116</v>
      </c>
      <c r="K599" s="409">
        <v>1111.29</v>
      </c>
      <c r="L599" s="41">
        <f t="shared" si="40"/>
        <v>-1.2736737180197143E-3</v>
      </c>
      <c r="M599" s="41">
        <f t="shared" si="41"/>
        <v>8.0986961099271211E-4</v>
      </c>
      <c r="N599" s="180">
        <f t="shared" si="38"/>
        <v>-3.8064765267280852E-3</v>
      </c>
      <c r="O599" s="180">
        <f t="shared" si="39"/>
        <v>3.3248723884968336E-2</v>
      </c>
    </row>
    <row r="600" spans="9:15" x14ac:dyDescent="0.35">
      <c r="I600" s="408">
        <v>44229</v>
      </c>
      <c r="J600" s="409">
        <v>36254</v>
      </c>
      <c r="K600" s="409">
        <v>1075.53</v>
      </c>
      <c r="L600" s="41">
        <f t="shared" si="40"/>
        <v>-3.8064765267280852E-3</v>
      </c>
      <c r="M600" s="41">
        <f t="shared" si="41"/>
        <v>3.3248723884968336E-2</v>
      </c>
      <c r="N600" s="180">
        <f t="shared" si="38"/>
        <v>2.5979171383291828E-2</v>
      </c>
      <c r="O600" s="180">
        <f t="shared" si="39"/>
        <v>3.8647622910449909E-2</v>
      </c>
    </row>
    <row r="601" spans="9:15" x14ac:dyDescent="0.35">
      <c r="I601" s="408">
        <v>44198</v>
      </c>
      <c r="J601" s="409">
        <v>35336</v>
      </c>
      <c r="K601" s="409">
        <v>1035.51</v>
      </c>
      <c r="L601" s="41">
        <f t="shared" si="40"/>
        <v>2.5979171383291828E-2</v>
      </c>
      <c r="M601" s="41">
        <f t="shared" si="41"/>
        <v>3.8647622910449909E-2</v>
      </c>
      <c r="N601" s="180">
        <f t="shared" si="38"/>
        <v>-1.155277070687292E-2</v>
      </c>
      <c r="O601" s="180">
        <f t="shared" si="39"/>
        <v>-1.996952517958368E-2</v>
      </c>
    </row>
    <row r="602" spans="9:15" x14ac:dyDescent="0.35">
      <c r="I602" s="408" t="s">
        <v>843</v>
      </c>
      <c r="J602" s="409">
        <v>35749</v>
      </c>
      <c r="K602" s="409">
        <v>1056.6099999999999</v>
      </c>
      <c r="L602" s="41">
        <f t="shared" si="40"/>
        <v>-1.155277070687292E-2</v>
      </c>
      <c r="M602" s="41">
        <f t="shared" si="41"/>
        <v>-1.996952517958368E-2</v>
      </c>
      <c r="N602" s="180">
        <f t="shared" si="38"/>
        <v>4.4223747626697826E-2</v>
      </c>
      <c r="O602" s="180">
        <f t="shared" si="39"/>
        <v>3.1906166376935996E-2</v>
      </c>
    </row>
    <row r="603" spans="9:15" x14ac:dyDescent="0.35">
      <c r="I603" s="408" t="s">
        <v>844</v>
      </c>
      <c r="J603" s="409">
        <v>34235</v>
      </c>
      <c r="K603" s="409">
        <v>1023.94</v>
      </c>
      <c r="L603" s="41">
        <f t="shared" si="40"/>
        <v>4.4223747626697826E-2</v>
      </c>
      <c r="M603" s="41">
        <f t="shared" si="41"/>
        <v>3.1906166376935996E-2</v>
      </c>
      <c r="N603" s="180">
        <f t="shared" si="38"/>
        <v>-6.9802195413542004E-2</v>
      </c>
      <c r="O603" s="180">
        <f t="shared" si="39"/>
        <v>-6.6744442520302247E-2</v>
      </c>
    </row>
    <row r="604" spans="9:15" x14ac:dyDescent="0.35">
      <c r="I604" s="408" t="s">
        <v>845</v>
      </c>
      <c r="J604" s="409">
        <v>36804</v>
      </c>
      <c r="K604" s="409">
        <v>1097.17</v>
      </c>
      <c r="L604" s="41">
        <f t="shared" si="40"/>
        <v>-6.9802195413542004E-2</v>
      </c>
      <c r="M604" s="41">
        <f t="shared" si="41"/>
        <v>-6.6744442520302247E-2</v>
      </c>
      <c r="N604" s="180">
        <f t="shared" si="38"/>
        <v>2.4786860240241875E-3</v>
      </c>
      <c r="O604" s="180">
        <f t="shared" si="39"/>
        <v>-3.4283350350314948E-2</v>
      </c>
    </row>
    <row r="605" spans="9:15" x14ac:dyDescent="0.35">
      <c r="I605" s="408" t="s">
        <v>846</v>
      </c>
      <c r="J605" s="409">
        <v>36713</v>
      </c>
      <c r="K605" s="409">
        <v>1136.1199999999999</v>
      </c>
      <c r="L605" s="41">
        <f t="shared" si="40"/>
        <v>2.4786860240241875E-3</v>
      </c>
      <c r="M605" s="41">
        <f t="shared" si="41"/>
        <v>-3.4283350350314948E-2</v>
      </c>
      <c r="N605" s="180">
        <f t="shared" si="38"/>
        <v>-2.4368854637257506E-2</v>
      </c>
      <c r="O605" s="180">
        <f t="shared" si="39"/>
        <v>-2.566785300801858E-2</v>
      </c>
    </row>
    <row r="606" spans="9:15" x14ac:dyDescent="0.35">
      <c r="I606" s="408" t="s">
        <v>847</v>
      </c>
      <c r="J606" s="409">
        <v>37630</v>
      </c>
      <c r="K606" s="409">
        <v>1166.05</v>
      </c>
      <c r="L606" s="41">
        <f t="shared" si="40"/>
        <v>-2.4368854637257506E-2</v>
      </c>
      <c r="M606" s="41">
        <f t="shared" si="41"/>
        <v>-2.566785300801858E-2</v>
      </c>
      <c r="N606" s="180">
        <f t="shared" si="38"/>
        <v>2.4241455552891657E-3</v>
      </c>
      <c r="O606" s="180">
        <f t="shared" si="39"/>
        <v>-6.2565350794495812E-4</v>
      </c>
    </row>
    <row r="607" spans="9:15" x14ac:dyDescent="0.35">
      <c r="I607" s="408" t="s">
        <v>848</v>
      </c>
      <c r="J607" s="409">
        <v>37539</v>
      </c>
      <c r="K607" s="409">
        <v>1166.78</v>
      </c>
      <c r="L607" s="41">
        <f t="shared" si="40"/>
        <v>2.4241455552891657E-3</v>
      </c>
      <c r="M607" s="41">
        <f t="shared" si="41"/>
        <v>-6.2565350794495812E-4</v>
      </c>
      <c r="N607" s="180">
        <f t="shared" si="38"/>
        <v>7.406811045809516E-3</v>
      </c>
      <c r="O607" s="180">
        <f t="shared" si="39"/>
        <v>2.2075055187637423E-3</v>
      </c>
    </row>
    <row r="608" spans="9:15" x14ac:dyDescent="0.35">
      <c r="I608" s="408" t="s">
        <v>849</v>
      </c>
      <c r="J608" s="409">
        <v>37263</v>
      </c>
      <c r="K608" s="409">
        <v>1164.21</v>
      </c>
      <c r="L608" s="41">
        <f t="shared" si="40"/>
        <v>7.406811045809516E-3</v>
      </c>
      <c r="M608" s="41">
        <f t="shared" si="41"/>
        <v>2.2075055187637423E-3</v>
      </c>
      <c r="N608" s="180">
        <f t="shared" si="38"/>
        <v>1.753092487916769E-2</v>
      </c>
      <c r="O608" s="180">
        <f t="shared" si="39"/>
        <v>2.6024958578630072E-2</v>
      </c>
    </row>
    <row r="609" spans="9:15" x14ac:dyDescent="0.35">
      <c r="I609" s="408" t="s">
        <v>850</v>
      </c>
      <c r="J609" s="409">
        <v>36621</v>
      </c>
      <c r="K609" s="409">
        <v>1134.68</v>
      </c>
      <c r="L609" s="41">
        <f t="shared" si="40"/>
        <v>1.753092487916769E-2</v>
      </c>
      <c r="M609" s="41">
        <f t="shared" si="41"/>
        <v>2.6024958578630072E-2</v>
      </c>
      <c r="N609" s="180">
        <f t="shared" si="38"/>
        <v>2.8362022970430487E-2</v>
      </c>
      <c r="O609" s="180">
        <f t="shared" si="39"/>
        <v>3.2537577365164133E-3</v>
      </c>
    </row>
    <row r="610" spans="9:15" x14ac:dyDescent="0.35">
      <c r="I610" s="408" t="s">
        <v>851</v>
      </c>
      <c r="J610" s="409">
        <v>35611</v>
      </c>
      <c r="K610" s="409">
        <v>1131</v>
      </c>
      <c r="L610" s="41">
        <f t="shared" si="40"/>
        <v>2.8362022970430487E-2</v>
      </c>
      <c r="M610" s="41">
        <f t="shared" si="41"/>
        <v>3.2537577365164133E-3</v>
      </c>
      <c r="N610" s="180">
        <f t="shared" ref="N610:N673" si="42">(J610-J611)/J611</f>
        <v>-6.9552948553810778E-2</v>
      </c>
      <c r="O610" s="180">
        <f t="shared" si="39"/>
        <v>-5.1126734567176244E-2</v>
      </c>
    </row>
    <row r="611" spans="9:15" x14ac:dyDescent="0.35">
      <c r="I611" s="408" t="s">
        <v>852</v>
      </c>
      <c r="J611" s="409">
        <v>38273</v>
      </c>
      <c r="K611" s="409">
        <v>1191.94</v>
      </c>
      <c r="L611" s="41">
        <f t="shared" si="40"/>
        <v>-6.9552948553810778E-2</v>
      </c>
      <c r="M611" s="41">
        <f t="shared" si="41"/>
        <v>-5.1126734567176244E-2</v>
      </c>
      <c r="N611" s="180">
        <f t="shared" si="42"/>
        <v>-2.3980190277596769E-3</v>
      </c>
      <c r="O611" s="180">
        <f t="shared" si="39"/>
        <v>-1.8924803215541709E-3</v>
      </c>
    </row>
    <row r="612" spans="9:15" x14ac:dyDescent="0.35">
      <c r="I612" s="408" t="s">
        <v>853</v>
      </c>
      <c r="J612" s="409">
        <v>38365</v>
      </c>
      <c r="K612" s="409">
        <v>1194.2</v>
      </c>
      <c r="L612" s="41">
        <f t="shared" si="40"/>
        <v>-2.3980190277596769E-3</v>
      </c>
      <c r="M612" s="41">
        <f t="shared" si="41"/>
        <v>-1.8924803215541709E-3</v>
      </c>
      <c r="N612" s="180">
        <f t="shared" si="42"/>
        <v>-8.2975753502559074E-3</v>
      </c>
      <c r="O612" s="180">
        <f t="shared" si="39"/>
        <v>5.7267980461512165E-3</v>
      </c>
    </row>
    <row r="613" spans="9:15" x14ac:dyDescent="0.35">
      <c r="I613" s="408" t="s">
        <v>854</v>
      </c>
      <c r="J613" s="409">
        <v>38686</v>
      </c>
      <c r="K613" s="409">
        <v>1187.4000000000001</v>
      </c>
      <c r="L613" s="41">
        <f t="shared" si="40"/>
        <v>-8.2975753502559074E-3</v>
      </c>
      <c r="M613" s="41">
        <f t="shared" si="41"/>
        <v>5.7267980461512165E-3</v>
      </c>
      <c r="N613" s="180">
        <f t="shared" si="42"/>
        <v>-1.1876484560570072E-3</v>
      </c>
      <c r="O613" s="180">
        <f t="shared" si="39"/>
        <v>1.1382319463767434E-3</v>
      </c>
    </row>
    <row r="614" spans="9:15" x14ac:dyDescent="0.35">
      <c r="I614" s="408" t="s">
        <v>855</v>
      </c>
      <c r="J614" s="409">
        <v>38732</v>
      </c>
      <c r="K614" s="409">
        <v>1186.05</v>
      </c>
      <c r="L614" s="41">
        <f t="shared" si="40"/>
        <v>-1.1876484560570072E-3</v>
      </c>
      <c r="M614" s="41">
        <f t="shared" si="41"/>
        <v>1.1382319463767434E-3</v>
      </c>
      <c r="N614" s="180">
        <f t="shared" si="42"/>
        <v>1.1992788649962114E-2</v>
      </c>
      <c r="O614" s="180">
        <f t="shared" ref="O614:O677" si="43">(K614-K615)/K615</f>
        <v>-5.2252826517261196E-3</v>
      </c>
    </row>
    <row r="615" spans="9:15" x14ac:dyDescent="0.35">
      <c r="I615" s="408">
        <v>44531</v>
      </c>
      <c r="J615" s="409">
        <v>38273</v>
      </c>
      <c r="K615" s="409">
        <v>1192.28</v>
      </c>
      <c r="L615" s="41">
        <f t="shared" si="40"/>
        <v>1.1992788649962114E-2</v>
      </c>
      <c r="M615" s="41">
        <f t="shared" si="41"/>
        <v>-5.2252826517261196E-3</v>
      </c>
      <c r="N615" s="180">
        <f t="shared" si="42"/>
        <v>7.2372230117374601E-3</v>
      </c>
      <c r="O615" s="180">
        <f t="shared" si="43"/>
        <v>6.2368658694054906E-3</v>
      </c>
    </row>
    <row r="616" spans="9:15" x14ac:dyDescent="0.35">
      <c r="I616" s="408">
        <v>44501</v>
      </c>
      <c r="J616" s="409">
        <v>37998</v>
      </c>
      <c r="K616" s="409">
        <v>1184.8900000000001</v>
      </c>
      <c r="L616" s="41">
        <f t="shared" si="40"/>
        <v>7.2372230117374601E-3</v>
      </c>
      <c r="M616" s="41">
        <f t="shared" si="41"/>
        <v>6.2368658694054906E-3</v>
      </c>
      <c r="N616" s="180">
        <f t="shared" si="42"/>
        <v>-2.3367553233386721E-3</v>
      </c>
      <c r="O616" s="180">
        <f t="shared" si="43"/>
        <v>1.4729936883933275E-2</v>
      </c>
    </row>
    <row r="617" spans="9:15" x14ac:dyDescent="0.35">
      <c r="I617" s="408">
        <v>44409</v>
      </c>
      <c r="J617" s="409">
        <v>38087</v>
      </c>
      <c r="K617" s="409">
        <v>1167.69</v>
      </c>
      <c r="L617" s="41">
        <f t="shared" si="40"/>
        <v>-2.3367553233386721E-3</v>
      </c>
      <c r="M617" s="41">
        <f t="shared" si="41"/>
        <v>1.4729936883933275E-2</v>
      </c>
      <c r="N617" s="180">
        <f t="shared" si="42"/>
        <v>-7.0132443424757536E-3</v>
      </c>
      <c r="O617" s="180">
        <f t="shared" si="43"/>
        <v>9.6844763032970845E-3</v>
      </c>
    </row>
    <row r="618" spans="9:15" x14ac:dyDescent="0.35">
      <c r="I618" s="408">
        <v>44378</v>
      </c>
      <c r="J618" s="409">
        <v>38356</v>
      </c>
      <c r="K618" s="409">
        <v>1156.49</v>
      </c>
      <c r="L618" s="41">
        <f t="shared" si="40"/>
        <v>-7.0132443424757536E-3</v>
      </c>
      <c r="M618" s="41">
        <f t="shared" si="41"/>
        <v>9.6844763032970845E-3</v>
      </c>
      <c r="N618" s="180">
        <f t="shared" si="42"/>
        <v>3.1324782877577909E-2</v>
      </c>
      <c r="O618" s="180">
        <f t="shared" si="43"/>
        <v>1.1616413432352736E-2</v>
      </c>
    </row>
    <row r="619" spans="9:15" x14ac:dyDescent="0.35">
      <c r="I619" s="408">
        <v>44348</v>
      </c>
      <c r="J619" s="409">
        <v>37191</v>
      </c>
      <c r="K619" s="409">
        <v>1143.21</v>
      </c>
      <c r="L619" s="41">
        <f t="shared" si="40"/>
        <v>3.1324782877577909E-2</v>
      </c>
      <c r="M619" s="41">
        <f t="shared" si="41"/>
        <v>1.1616413432352736E-2</v>
      </c>
      <c r="N619" s="180">
        <f t="shared" si="42"/>
        <v>1.965783846027307E-2</v>
      </c>
      <c r="O619" s="180">
        <f t="shared" si="43"/>
        <v>9.4123879740409533E-3</v>
      </c>
    </row>
    <row r="620" spans="9:15" x14ac:dyDescent="0.35">
      <c r="I620" s="408">
        <v>44317</v>
      </c>
      <c r="J620" s="409">
        <v>36474</v>
      </c>
      <c r="K620" s="409">
        <v>1132.55</v>
      </c>
      <c r="L620" s="41">
        <f t="shared" si="40"/>
        <v>1.965783846027307E-2</v>
      </c>
      <c r="M620" s="41">
        <f t="shared" si="41"/>
        <v>9.4123879740409533E-3</v>
      </c>
      <c r="N620" s="180">
        <f t="shared" si="42"/>
        <v>2.7784039675383228E-2</v>
      </c>
      <c r="O620" s="180">
        <f t="shared" si="43"/>
        <v>1.0781190036323978E-2</v>
      </c>
    </row>
    <row r="621" spans="9:15" x14ac:dyDescent="0.35">
      <c r="I621" s="408">
        <v>44287</v>
      </c>
      <c r="J621" s="409">
        <v>35488</v>
      </c>
      <c r="K621" s="409">
        <v>1120.47</v>
      </c>
      <c r="L621" s="41">
        <f t="shared" si="40"/>
        <v>2.7784039675383228E-2</v>
      </c>
      <c r="M621" s="41">
        <f t="shared" si="41"/>
        <v>1.0781190036323978E-2</v>
      </c>
      <c r="N621" s="180">
        <f t="shared" si="42"/>
        <v>1.5364367257016967E-2</v>
      </c>
      <c r="O621" s="180">
        <f t="shared" si="43"/>
        <v>1.5038002663357223E-2</v>
      </c>
    </row>
    <row r="622" spans="9:15" x14ac:dyDescent="0.35">
      <c r="I622" s="408" t="s">
        <v>856</v>
      </c>
      <c r="J622" s="409">
        <v>34951</v>
      </c>
      <c r="K622" s="409">
        <v>1103.8699999999999</v>
      </c>
      <c r="L622" s="41">
        <f t="shared" si="40"/>
        <v>1.5364367257016967E-2</v>
      </c>
      <c r="M622" s="41">
        <f t="shared" si="41"/>
        <v>1.5038002663357223E-2</v>
      </c>
      <c r="N622" s="180">
        <f t="shared" si="42"/>
        <v>0</v>
      </c>
      <c r="O622" s="180">
        <f t="shared" si="43"/>
        <v>5.7674435555878853E-3</v>
      </c>
    </row>
    <row r="623" spans="9:15" x14ac:dyDescent="0.35">
      <c r="I623" s="408" t="s">
        <v>857</v>
      </c>
      <c r="J623" s="409">
        <v>34951</v>
      </c>
      <c r="K623" s="409">
        <v>1097.54</v>
      </c>
      <c r="L623" s="41">
        <f t="shared" si="40"/>
        <v>0</v>
      </c>
      <c r="M623" s="41">
        <f t="shared" si="41"/>
        <v>5.7674435555878853E-3</v>
      </c>
      <c r="N623" s="180">
        <f t="shared" si="42"/>
        <v>0</v>
      </c>
      <c r="O623" s="180">
        <f t="shared" si="43"/>
        <v>-1.7735495547936274E-3</v>
      </c>
    </row>
    <row r="624" spans="9:15" x14ac:dyDescent="0.35">
      <c r="I624" s="408" t="s">
        <v>858</v>
      </c>
      <c r="J624" s="409">
        <v>34951</v>
      </c>
      <c r="K624" s="409">
        <v>1099.49</v>
      </c>
      <c r="L624" s="41">
        <f t="shared" si="40"/>
        <v>0</v>
      </c>
      <c r="M624" s="41">
        <f t="shared" si="41"/>
        <v>-1.7735495547936274E-3</v>
      </c>
      <c r="N624" s="180">
        <f t="shared" si="42"/>
        <v>1.0378122109158186E-2</v>
      </c>
      <c r="O624" s="180">
        <f t="shared" si="43"/>
        <v>7.4771150797651332E-3</v>
      </c>
    </row>
    <row r="625" spans="9:15" x14ac:dyDescent="0.35">
      <c r="I625" s="408" t="s">
        <v>859</v>
      </c>
      <c r="J625" s="409">
        <v>34592</v>
      </c>
      <c r="K625" s="409">
        <v>1091.33</v>
      </c>
      <c r="L625" s="41">
        <f t="shared" si="40"/>
        <v>1.0378122109158186E-2</v>
      </c>
      <c r="M625" s="41">
        <f t="shared" si="41"/>
        <v>7.4771150797651332E-3</v>
      </c>
      <c r="N625" s="180">
        <f t="shared" si="42"/>
        <v>9.1309548119840132E-3</v>
      </c>
      <c r="O625" s="180">
        <f t="shared" si="43"/>
        <v>6.3720698622303663E-3</v>
      </c>
    </row>
    <row r="626" spans="9:15" x14ac:dyDescent="0.35">
      <c r="I626" s="408" t="s">
        <v>860</v>
      </c>
      <c r="J626" s="409">
        <v>34279</v>
      </c>
      <c r="K626" s="409">
        <v>1084.42</v>
      </c>
      <c r="L626" s="41">
        <f t="shared" si="40"/>
        <v>9.1309548119840132E-3</v>
      </c>
      <c r="M626" s="41">
        <f t="shared" si="41"/>
        <v>6.3720698622303663E-3</v>
      </c>
      <c r="N626" s="180">
        <f t="shared" si="42"/>
        <v>1.314482678039376E-3</v>
      </c>
      <c r="O626" s="180">
        <f t="shared" si="43"/>
        <v>1.583108513189457E-2</v>
      </c>
    </row>
    <row r="627" spans="9:15" x14ac:dyDescent="0.35">
      <c r="I627" s="408" t="s">
        <v>861</v>
      </c>
      <c r="J627" s="409">
        <v>34234</v>
      </c>
      <c r="K627" s="409">
        <v>1067.52</v>
      </c>
      <c r="L627" s="41">
        <f t="shared" si="40"/>
        <v>1.314482678039376E-3</v>
      </c>
      <c r="M627" s="41">
        <f t="shared" si="41"/>
        <v>1.583108513189457E-2</v>
      </c>
      <c r="N627" s="180">
        <f t="shared" si="42"/>
        <v>-1.925170457800951E-2</v>
      </c>
      <c r="O627" s="180">
        <f t="shared" si="43"/>
        <v>-1.0547780146445553E-2</v>
      </c>
    </row>
    <row r="628" spans="9:15" x14ac:dyDescent="0.35">
      <c r="I628" s="408" t="s">
        <v>862</v>
      </c>
      <c r="J628" s="409">
        <v>34906</v>
      </c>
      <c r="K628" s="409">
        <v>1078.9000000000001</v>
      </c>
      <c r="L628" s="41">
        <f t="shared" si="40"/>
        <v>-1.925170457800951E-2</v>
      </c>
      <c r="M628" s="41">
        <f t="shared" si="41"/>
        <v>-1.0547780146445553E-2</v>
      </c>
      <c r="N628" s="180">
        <f t="shared" si="42"/>
        <v>-1.7645568907775869E-2</v>
      </c>
      <c r="O628" s="180">
        <f t="shared" si="43"/>
        <v>-4.1995477410124646E-3</v>
      </c>
    </row>
    <row r="629" spans="9:15" x14ac:dyDescent="0.35">
      <c r="I629" s="408" t="s">
        <v>863</v>
      </c>
      <c r="J629" s="409">
        <v>35533</v>
      </c>
      <c r="K629" s="409">
        <v>1083.45</v>
      </c>
      <c r="L629" s="41">
        <f t="shared" si="40"/>
        <v>-1.7645568907775869E-2</v>
      </c>
      <c r="M629" s="41">
        <f t="shared" si="41"/>
        <v>-4.1995477410124646E-3</v>
      </c>
      <c r="N629" s="180">
        <f t="shared" si="42"/>
        <v>-3.784905237187395E-3</v>
      </c>
      <c r="O629" s="180">
        <f t="shared" si="43"/>
        <v>2.1922521922523018E-3</v>
      </c>
    </row>
    <row r="630" spans="9:15" x14ac:dyDescent="0.35">
      <c r="I630" s="408" t="s">
        <v>864</v>
      </c>
      <c r="J630" s="409">
        <v>35668</v>
      </c>
      <c r="K630" s="409">
        <v>1081.08</v>
      </c>
      <c r="L630" s="41">
        <f t="shared" si="40"/>
        <v>-3.784905237187395E-3</v>
      </c>
      <c r="M630" s="41">
        <f t="shared" si="41"/>
        <v>2.1922521922523018E-3</v>
      </c>
      <c r="N630" s="180">
        <f t="shared" si="42"/>
        <v>1.0167379421677192E-2</v>
      </c>
      <c r="O630" s="180">
        <f t="shared" si="43"/>
        <v>1.275926030015166E-2</v>
      </c>
    </row>
    <row r="631" spans="9:15" x14ac:dyDescent="0.35">
      <c r="I631" s="408" t="s">
        <v>865</v>
      </c>
      <c r="J631" s="409">
        <v>35309</v>
      </c>
      <c r="K631" s="409">
        <v>1067.46</v>
      </c>
      <c r="L631" s="41">
        <f t="shared" si="40"/>
        <v>1.0167379421677192E-2</v>
      </c>
      <c r="M631" s="41">
        <f t="shared" si="41"/>
        <v>1.275926030015166E-2</v>
      </c>
      <c r="N631" s="180">
        <f t="shared" si="42"/>
        <v>1.2851036975416655E-2</v>
      </c>
      <c r="O631" s="180">
        <f t="shared" si="43"/>
        <v>1.4917710145754352E-2</v>
      </c>
    </row>
    <row r="632" spans="9:15" x14ac:dyDescent="0.35">
      <c r="I632" s="408" t="s">
        <v>866</v>
      </c>
      <c r="J632" s="409">
        <v>34861</v>
      </c>
      <c r="K632" s="409">
        <v>1051.77</v>
      </c>
      <c r="L632" s="41">
        <f t="shared" si="40"/>
        <v>1.2851036975416655E-2</v>
      </c>
      <c r="M632" s="41">
        <f t="shared" si="41"/>
        <v>1.4917710145754352E-2</v>
      </c>
      <c r="N632" s="180">
        <f t="shared" si="42"/>
        <v>-1.2687983233736442E-2</v>
      </c>
      <c r="O632" s="180">
        <f t="shared" si="43"/>
        <v>-1.4264426095839723E-2</v>
      </c>
    </row>
    <row r="633" spans="9:15" x14ac:dyDescent="0.35">
      <c r="I633" s="408" t="s">
        <v>867</v>
      </c>
      <c r="J633" s="409">
        <v>35309</v>
      </c>
      <c r="K633" s="409">
        <v>1066.99</v>
      </c>
      <c r="L633" s="41">
        <f t="shared" si="40"/>
        <v>-1.2687983233736442E-2</v>
      </c>
      <c r="M633" s="41">
        <f t="shared" si="41"/>
        <v>-1.4264426095839723E-2</v>
      </c>
      <c r="N633" s="180">
        <f t="shared" si="42"/>
        <v>3.8095238095238095E-3</v>
      </c>
      <c r="O633" s="180">
        <f t="shared" si="43"/>
        <v>1.1106162403934564E-2</v>
      </c>
    </row>
    <row r="634" spans="9:15" x14ac:dyDescent="0.35">
      <c r="I634" s="408" t="s">
        <v>868</v>
      </c>
      <c r="J634" s="409">
        <v>35175</v>
      </c>
      <c r="K634" s="409">
        <v>1055.27</v>
      </c>
      <c r="L634" s="41">
        <f t="shared" si="40"/>
        <v>3.8095238095238095E-3</v>
      </c>
      <c r="M634" s="41">
        <f t="shared" si="41"/>
        <v>1.1106162403934564E-2</v>
      </c>
      <c r="N634" s="180">
        <f t="shared" si="42"/>
        <v>1.2809564474807857E-3</v>
      </c>
      <c r="O634" s="180">
        <f t="shared" si="43"/>
        <v>-8.2887725662302413E-3</v>
      </c>
    </row>
    <row r="635" spans="9:15" x14ac:dyDescent="0.35">
      <c r="I635" s="408" t="s">
        <v>869</v>
      </c>
      <c r="J635" s="409">
        <v>35130</v>
      </c>
      <c r="K635" s="409">
        <v>1064.0899999999999</v>
      </c>
      <c r="L635" s="41">
        <f t="shared" si="40"/>
        <v>1.2809564474807857E-3</v>
      </c>
      <c r="M635" s="41">
        <f t="shared" si="41"/>
        <v>-8.2887725662302413E-3</v>
      </c>
      <c r="N635" s="180">
        <f t="shared" si="42"/>
        <v>1.55527289546716E-2</v>
      </c>
      <c r="O635" s="180">
        <f t="shared" si="43"/>
        <v>1.7333358828253358E-2</v>
      </c>
    </row>
    <row r="636" spans="9:15" x14ac:dyDescent="0.35">
      <c r="I636" s="408">
        <v>44147</v>
      </c>
      <c r="J636" s="409">
        <v>34592</v>
      </c>
      <c r="K636" s="409">
        <v>1045.96</v>
      </c>
      <c r="L636" s="41">
        <f t="shared" si="40"/>
        <v>1.55527289546716E-2</v>
      </c>
      <c r="M636" s="41">
        <f t="shared" si="41"/>
        <v>1.7333358828253358E-2</v>
      </c>
      <c r="N636" s="180">
        <f t="shared" si="42"/>
        <v>5.2015226803824137E-3</v>
      </c>
      <c r="O636" s="180">
        <f t="shared" si="43"/>
        <v>1.4598752558419215E-2</v>
      </c>
    </row>
    <row r="637" spans="9:15" x14ac:dyDescent="0.35">
      <c r="I637" s="408">
        <v>44116</v>
      </c>
      <c r="J637" s="409">
        <v>34413</v>
      </c>
      <c r="K637" s="409">
        <v>1030.9100000000001</v>
      </c>
      <c r="L637" s="41">
        <f t="shared" si="40"/>
        <v>5.2015226803824137E-3</v>
      </c>
      <c r="M637" s="41">
        <f t="shared" si="41"/>
        <v>1.4598752558419215E-2</v>
      </c>
      <c r="N637" s="180">
        <f t="shared" si="42"/>
        <v>-3.637432795698925E-2</v>
      </c>
      <c r="O637" s="180">
        <f t="shared" si="43"/>
        <v>-7.9104635608634403E-3</v>
      </c>
    </row>
    <row r="638" spans="9:15" x14ac:dyDescent="0.35">
      <c r="I638" s="408">
        <v>44086</v>
      </c>
      <c r="J638" s="409">
        <v>35712</v>
      </c>
      <c r="K638" s="409">
        <v>1039.1300000000001</v>
      </c>
      <c r="L638" s="41">
        <f t="shared" si="40"/>
        <v>-3.637432795698925E-2</v>
      </c>
      <c r="M638" s="41">
        <f t="shared" si="41"/>
        <v>-7.9104635608634403E-3</v>
      </c>
      <c r="N638" s="180">
        <f t="shared" si="42"/>
        <v>1.7870884993587004E-2</v>
      </c>
      <c r="O638" s="180">
        <f t="shared" si="43"/>
        <v>9.5894137535706414E-3</v>
      </c>
    </row>
    <row r="639" spans="9:15" x14ac:dyDescent="0.35">
      <c r="I639" s="408">
        <v>44055</v>
      </c>
      <c r="J639" s="409">
        <v>35085</v>
      </c>
      <c r="K639" s="409">
        <v>1029.26</v>
      </c>
      <c r="L639" s="41">
        <f t="shared" si="40"/>
        <v>1.7870884993587004E-2</v>
      </c>
      <c r="M639" s="41">
        <f t="shared" si="41"/>
        <v>9.5894137535706414E-3</v>
      </c>
      <c r="N639" s="180">
        <f t="shared" si="42"/>
        <v>1.9527504140876995E-2</v>
      </c>
      <c r="O639" s="180">
        <f t="shared" si="43"/>
        <v>-6.9904269985827613E-4</v>
      </c>
    </row>
    <row r="640" spans="9:15" x14ac:dyDescent="0.35">
      <c r="I640" s="408">
        <v>44024</v>
      </c>
      <c r="J640" s="409">
        <v>34413</v>
      </c>
      <c r="K640" s="409">
        <v>1029.98</v>
      </c>
      <c r="L640" s="41">
        <f t="shared" si="40"/>
        <v>1.9527504140876995E-2</v>
      </c>
      <c r="M640" s="41">
        <f t="shared" si="41"/>
        <v>-6.9904269985827613E-4</v>
      </c>
      <c r="N640" s="180">
        <f t="shared" si="42"/>
        <v>-1.0295936268729688E-2</v>
      </c>
      <c r="O640" s="180">
        <f t="shared" si="43"/>
        <v>8.3113882661602252E-3</v>
      </c>
    </row>
    <row r="641" spans="9:15" x14ac:dyDescent="0.35">
      <c r="I641" s="408">
        <v>43933</v>
      </c>
      <c r="J641" s="409">
        <v>34771</v>
      </c>
      <c r="K641" s="409">
        <v>1021.49</v>
      </c>
      <c r="L641" s="41">
        <f t="shared" si="40"/>
        <v>-1.0295936268729688E-2</v>
      </c>
      <c r="M641" s="41">
        <f t="shared" si="41"/>
        <v>8.3113882661602252E-3</v>
      </c>
      <c r="N641" s="180">
        <f t="shared" si="42"/>
        <v>-1.148542999289268E-2</v>
      </c>
      <c r="O641" s="180">
        <f t="shared" si="43"/>
        <v>1.6571876838596339E-3</v>
      </c>
    </row>
    <row r="642" spans="9:15" x14ac:dyDescent="0.35">
      <c r="I642" s="408">
        <v>43902</v>
      </c>
      <c r="J642" s="409">
        <v>35175</v>
      </c>
      <c r="K642" s="409">
        <v>1019.8</v>
      </c>
      <c r="L642" s="41">
        <f t="shared" si="40"/>
        <v>-1.148542999289268E-2</v>
      </c>
      <c r="M642" s="41">
        <f t="shared" si="41"/>
        <v>1.6571876838596339E-3</v>
      </c>
      <c r="N642" s="180">
        <f t="shared" si="42"/>
        <v>0</v>
      </c>
      <c r="O642" s="180">
        <f t="shared" si="43"/>
        <v>5.4026342771511006E-3</v>
      </c>
    </row>
    <row r="643" spans="9:15" x14ac:dyDescent="0.35">
      <c r="I643" s="408">
        <v>43873</v>
      </c>
      <c r="J643" s="409">
        <v>35175</v>
      </c>
      <c r="K643" s="409">
        <v>1014.32</v>
      </c>
      <c r="L643" s="41">
        <f t="shared" si="40"/>
        <v>0</v>
      </c>
      <c r="M643" s="41">
        <f t="shared" si="41"/>
        <v>5.4026342771511006E-3</v>
      </c>
      <c r="N643" s="180">
        <f t="shared" si="42"/>
        <v>4.6688091412247813E-2</v>
      </c>
      <c r="O643" s="180">
        <f t="shared" si="43"/>
        <v>5.4020835191848759E-3</v>
      </c>
    </row>
    <row r="644" spans="9:15" x14ac:dyDescent="0.35">
      <c r="I644" s="408">
        <v>43842</v>
      </c>
      <c r="J644" s="409">
        <v>33606</v>
      </c>
      <c r="K644" s="409">
        <v>1008.87</v>
      </c>
      <c r="L644" s="41">
        <f t="shared" ref="L644:L707" si="44">(J643-J644)/J644</f>
        <v>4.6688091412247813E-2</v>
      </c>
      <c r="M644" s="41">
        <f t="shared" ref="M644:M707" si="45">(K643-K644)/K644</f>
        <v>5.4020835191848759E-3</v>
      </c>
      <c r="N644" s="180">
        <f t="shared" si="42"/>
        <v>4.0033460803059273E-3</v>
      </c>
      <c r="O644" s="180">
        <f t="shared" si="43"/>
        <v>5.7722215576025476E-3</v>
      </c>
    </row>
    <row r="645" spans="9:15" x14ac:dyDescent="0.35">
      <c r="I645" s="408" t="s">
        <v>870</v>
      </c>
      <c r="J645" s="409">
        <v>33472</v>
      </c>
      <c r="K645" s="409">
        <v>1003.08</v>
      </c>
      <c r="L645" s="41">
        <f t="shared" si="44"/>
        <v>4.0033460803059273E-3</v>
      </c>
      <c r="M645" s="41">
        <f t="shared" si="45"/>
        <v>5.7722215576025476E-3</v>
      </c>
      <c r="N645" s="180">
        <f t="shared" si="42"/>
        <v>-3.9873832053799914E-3</v>
      </c>
      <c r="O645" s="180">
        <f t="shared" si="43"/>
        <v>-7.067767416998264E-3</v>
      </c>
    </row>
    <row r="646" spans="9:15" x14ac:dyDescent="0.35">
      <c r="I646" s="408" t="s">
        <v>871</v>
      </c>
      <c r="J646" s="409">
        <v>33606</v>
      </c>
      <c r="K646" s="409">
        <v>1010.22</v>
      </c>
      <c r="L646" s="41">
        <f t="shared" si="44"/>
        <v>-3.9873832053799914E-3</v>
      </c>
      <c r="M646" s="41">
        <f t="shared" si="45"/>
        <v>-7.067767416998264E-3</v>
      </c>
      <c r="N646" s="180">
        <f t="shared" si="42"/>
        <v>1.0767564966313764E-2</v>
      </c>
      <c r="O646" s="180">
        <f t="shared" si="43"/>
        <v>4.224778074892889E-3</v>
      </c>
    </row>
    <row r="647" spans="9:15" x14ac:dyDescent="0.35">
      <c r="I647" s="408" t="s">
        <v>872</v>
      </c>
      <c r="J647" s="409">
        <v>33248</v>
      </c>
      <c r="K647" s="409">
        <v>1005.97</v>
      </c>
      <c r="L647" s="41">
        <f t="shared" si="44"/>
        <v>1.0767564966313764E-2</v>
      </c>
      <c r="M647" s="41">
        <f t="shared" si="45"/>
        <v>4.224778074892889E-3</v>
      </c>
      <c r="N647" s="180">
        <f t="shared" si="42"/>
        <v>-5.3549525832410922E-3</v>
      </c>
      <c r="O647" s="180">
        <f t="shared" si="43"/>
        <v>6.030361821709275E-3</v>
      </c>
    </row>
    <row r="648" spans="9:15" x14ac:dyDescent="0.35">
      <c r="I648" s="408" t="s">
        <v>873</v>
      </c>
      <c r="J648" s="409">
        <v>33427</v>
      </c>
      <c r="K648" s="407">
        <v>999.94</v>
      </c>
      <c r="L648" s="41">
        <f t="shared" si="44"/>
        <v>-5.3549525832410922E-3</v>
      </c>
      <c r="M648" s="41">
        <f t="shared" si="45"/>
        <v>6.030361821709275E-3</v>
      </c>
      <c r="N648" s="180">
        <f t="shared" si="42"/>
        <v>-1.0625702953886224E-2</v>
      </c>
      <c r="O648" s="180">
        <f t="shared" si="43"/>
        <v>4.1977986663453678E-3</v>
      </c>
    </row>
    <row r="649" spans="9:15" x14ac:dyDescent="0.35">
      <c r="I649" s="408" t="s">
        <v>874</v>
      </c>
      <c r="J649" s="409">
        <v>33786</v>
      </c>
      <c r="K649" s="407">
        <v>995.76</v>
      </c>
      <c r="L649" s="41">
        <f t="shared" si="44"/>
        <v>-1.0625702953886224E-2</v>
      </c>
      <c r="M649" s="41">
        <f t="shared" si="45"/>
        <v>4.1977986663453678E-3</v>
      </c>
      <c r="N649" s="180">
        <f t="shared" si="42"/>
        <v>-5.2701310172236122E-3</v>
      </c>
      <c r="O649" s="180">
        <f t="shared" si="43"/>
        <v>1.5791750067893826E-3</v>
      </c>
    </row>
    <row r="650" spans="9:15" x14ac:dyDescent="0.35">
      <c r="I650" s="408" t="s">
        <v>875</v>
      </c>
      <c r="J650" s="409">
        <v>33965</v>
      </c>
      <c r="K650" s="407">
        <v>994.19</v>
      </c>
      <c r="L650" s="41">
        <f t="shared" si="44"/>
        <v>-5.2701310172236122E-3</v>
      </c>
      <c r="M650" s="41">
        <f t="shared" si="45"/>
        <v>1.5791750067893826E-3</v>
      </c>
      <c r="N650" s="180">
        <f t="shared" si="42"/>
        <v>1.0682616199488187E-2</v>
      </c>
      <c r="O650" s="180">
        <f t="shared" si="43"/>
        <v>4.2323232323232879E-3</v>
      </c>
    </row>
    <row r="651" spans="9:15" x14ac:dyDescent="0.35">
      <c r="I651" s="408" t="s">
        <v>876</v>
      </c>
      <c r="J651" s="409">
        <v>33606</v>
      </c>
      <c r="K651" s="407">
        <v>990</v>
      </c>
      <c r="L651" s="41">
        <f t="shared" si="44"/>
        <v>1.0682616199488187E-2</v>
      </c>
      <c r="M651" s="41">
        <f t="shared" si="45"/>
        <v>4.2323232323232879E-3</v>
      </c>
      <c r="N651" s="180">
        <f t="shared" si="42"/>
        <v>3.5911346752566194E-2</v>
      </c>
      <c r="O651" s="180">
        <f t="shared" si="43"/>
        <v>6.8547484897178868E-3</v>
      </c>
    </row>
    <row r="652" spans="9:15" x14ac:dyDescent="0.35">
      <c r="I652" s="408" t="s">
        <v>877</v>
      </c>
      <c r="J652" s="409">
        <v>32441</v>
      </c>
      <c r="K652" s="407">
        <v>983.26</v>
      </c>
      <c r="L652" s="41">
        <f t="shared" si="44"/>
        <v>3.5911346752566194E-2</v>
      </c>
      <c r="M652" s="41">
        <f t="shared" si="45"/>
        <v>6.8547484897178868E-3</v>
      </c>
      <c r="N652" s="180">
        <f t="shared" si="42"/>
        <v>-2.7665918662199132E-3</v>
      </c>
      <c r="O652" s="180">
        <f t="shared" si="43"/>
        <v>9.9945558945281794E-3</v>
      </c>
    </row>
    <row r="653" spans="9:15" x14ac:dyDescent="0.35">
      <c r="I653" s="408" t="s">
        <v>878</v>
      </c>
      <c r="J653" s="409">
        <v>32531</v>
      </c>
      <c r="K653" s="407">
        <v>973.53</v>
      </c>
      <c r="L653" s="41">
        <f t="shared" si="44"/>
        <v>-2.7665918662199132E-3</v>
      </c>
      <c r="M653" s="41">
        <f t="shared" si="45"/>
        <v>9.9945558945281794E-3</v>
      </c>
      <c r="N653" s="180">
        <f t="shared" si="42"/>
        <v>1.8248403655940906E-2</v>
      </c>
      <c r="O653" s="180">
        <f t="shared" si="43"/>
        <v>4.7786149241407739E-3</v>
      </c>
    </row>
    <row r="654" spans="9:15" x14ac:dyDescent="0.35">
      <c r="I654" s="408" t="s">
        <v>879</v>
      </c>
      <c r="J654" s="409">
        <v>31948</v>
      </c>
      <c r="K654" s="407">
        <v>968.9</v>
      </c>
      <c r="L654" s="41">
        <f t="shared" si="44"/>
        <v>1.8248403655940906E-2</v>
      </c>
      <c r="M654" s="41">
        <f t="shared" si="45"/>
        <v>4.7786149241407739E-3</v>
      </c>
      <c r="N654" s="180">
        <f t="shared" si="42"/>
        <v>1.5640895218718209E-2</v>
      </c>
      <c r="O654" s="180">
        <f t="shared" si="43"/>
        <v>1.9047318545630489E-2</v>
      </c>
    </row>
    <row r="655" spans="9:15" x14ac:dyDescent="0.35">
      <c r="I655" s="408" t="s">
        <v>880</v>
      </c>
      <c r="J655" s="409">
        <v>31456</v>
      </c>
      <c r="K655" s="407">
        <v>950.79</v>
      </c>
      <c r="L655" s="41">
        <f t="shared" si="44"/>
        <v>1.5640895218718209E-2</v>
      </c>
      <c r="M655" s="41">
        <f t="shared" si="45"/>
        <v>1.9047318545630489E-2</v>
      </c>
      <c r="N655" s="180">
        <f t="shared" si="42"/>
        <v>-7.0707070707070711E-3</v>
      </c>
      <c r="O655" s="180">
        <f t="shared" si="43"/>
        <v>-1.6040733113247576E-2</v>
      </c>
    </row>
    <row r="656" spans="9:15" x14ac:dyDescent="0.35">
      <c r="I656" s="408" t="s">
        <v>881</v>
      </c>
      <c r="J656" s="409">
        <v>31680</v>
      </c>
      <c r="K656" s="407">
        <v>966.29</v>
      </c>
      <c r="L656" s="41">
        <f t="shared" si="44"/>
        <v>-7.0707070707070711E-3</v>
      </c>
      <c r="M656" s="41">
        <f t="shared" si="45"/>
        <v>-1.6040733113247576E-2</v>
      </c>
      <c r="N656" s="180">
        <f t="shared" si="42"/>
        <v>0</v>
      </c>
      <c r="O656" s="180">
        <f t="shared" si="43"/>
        <v>7.3075640063380775E-3</v>
      </c>
    </row>
    <row r="657" spans="9:15" x14ac:dyDescent="0.35">
      <c r="I657" s="408">
        <v>44176</v>
      </c>
      <c r="J657" s="409">
        <v>31680</v>
      </c>
      <c r="K657" s="407">
        <v>959.28</v>
      </c>
      <c r="L657" s="41">
        <f t="shared" si="44"/>
        <v>0</v>
      </c>
      <c r="M657" s="41">
        <f t="shared" si="45"/>
        <v>7.3075640063380775E-3</v>
      </c>
      <c r="N657" s="180">
        <f t="shared" si="42"/>
        <v>2.8490028490028491E-3</v>
      </c>
      <c r="O657" s="180">
        <f t="shared" si="43"/>
        <v>7.4142530087584228E-3</v>
      </c>
    </row>
    <row r="658" spans="9:15" x14ac:dyDescent="0.35">
      <c r="I658" s="408">
        <v>44146</v>
      </c>
      <c r="J658" s="409">
        <v>31590</v>
      </c>
      <c r="K658" s="407">
        <v>952.22</v>
      </c>
      <c r="L658" s="41">
        <f t="shared" si="44"/>
        <v>2.8490028490028491E-3</v>
      </c>
      <c r="M658" s="41">
        <f t="shared" si="45"/>
        <v>7.4142530087584228E-3</v>
      </c>
      <c r="N658" s="180">
        <f t="shared" si="42"/>
        <v>1.4265335235378032E-3</v>
      </c>
      <c r="O658" s="180">
        <f t="shared" si="43"/>
        <v>3.3616976573174704E-4</v>
      </c>
    </row>
    <row r="659" spans="9:15" x14ac:dyDescent="0.35">
      <c r="I659" s="408">
        <v>44115</v>
      </c>
      <c r="J659" s="409">
        <v>31545</v>
      </c>
      <c r="K659" s="407">
        <v>951.9</v>
      </c>
      <c r="L659" s="41">
        <f t="shared" si="44"/>
        <v>1.4265335235378032E-3</v>
      </c>
      <c r="M659" s="41">
        <f t="shared" si="45"/>
        <v>3.3616976573174704E-4</v>
      </c>
      <c r="N659" s="180">
        <f t="shared" si="42"/>
        <v>-1.6769005392263815E-2</v>
      </c>
      <c r="O659" s="180">
        <f t="shared" si="43"/>
        <v>-9.4538808180791639E-5</v>
      </c>
    </row>
    <row r="660" spans="9:15" x14ac:dyDescent="0.35">
      <c r="I660" s="408">
        <v>44085</v>
      </c>
      <c r="J660" s="409">
        <v>32083</v>
      </c>
      <c r="K660" s="407">
        <v>951.99</v>
      </c>
      <c r="L660" s="41">
        <f t="shared" si="44"/>
        <v>-1.6769005392263815E-2</v>
      </c>
      <c r="M660" s="41">
        <f t="shared" si="45"/>
        <v>-9.4538808180791639E-5</v>
      </c>
      <c r="N660" s="180">
        <f t="shared" si="42"/>
        <v>1.9932604272634793E-2</v>
      </c>
      <c r="O660" s="180">
        <f t="shared" si="43"/>
        <v>1.4601029532447374E-2</v>
      </c>
    </row>
    <row r="661" spans="9:15" x14ac:dyDescent="0.35">
      <c r="I661" s="408">
        <v>43993</v>
      </c>
      <c r="J661" s="409">
        <v>31456</v>
      </c>
      <c r="K661" s="407">
        <v>938.29</v>
      </c>
      <c r="L661" s="41">
        <f t="shared" si="44"/>
        <v>1.9932604272634793E-2</v>
      </c>
      <c r="M661" s="41">
        <f t="shared" si="45"/>
        <v>1.4601029532447374E-2</v>
      </c>
      <c r="N661" s="180">
        <f t="shared" si="42"/>
        <v>2.869348976598865E-3</v>
      </c>
      <c r="O661" s="180">
        <f t="shared" si="43"/>
        <v>5.7584644094904147E-4</v>
      </c>
    </row>
    <row r="662" spans="9:15" x14ac:dyDescent="0.35">
      <c r="I662" s="408">
        <v>43962</v>
      </c>
      <c r="J662" s="409">
        <v>31366</v>
      </c>
      <c r="K662" s="407">
        <v>937.75</v>
      </c>
      <c r="L662" s="41">
        <f t="shared" si="44"/>
        <v>2.869348976598865E-3</v>
      </c>
      <c r="M662" s="41">
        <f t="shared" si="45"/>
        <v>5.7584644094904147E-4</v>
      </c>
      <c r="N662" s="180">
        <f t="shared" si="42"/>
        <v>0</v>
      </c>
      <c r="O662" s="180">
        <f t="shared" si="43"/>
        <v>-2.138843960160031E-3</v>
      </c>
    </row>
    <row r="663" spans="9:15" x14ac:dyDescent="0.35">
      <c r="I663" s="408">
        <v>43932</v>
      </c>
      <c r="J663" s="409">
        <v>31366</v>
      </c>
      <c r="K663" s="407">
        <v>939.76</v>
      </c>
      <c r="L663" s="41">
        <f t="shared" si="44"/>
        <v>0</v>
      </c>
      <c r="M663" s="41">
        <f t="shared" si="45"/>
        <v>-2.138843960160031E-3</v>
      </c>
      <c r="N663" s="180">
        <f t="shared" si="42"/>
        <v>-5.6744333491837058E-3</v>
      </c>
      <c r="O663" s="180">
        <f t="shared" si="43"/>
        <v>4.6503672186528075E-3</v>
      </c>
    </row>
    <row r="664" spans="9:15" x14ac:dyDescent="0.35">
      <c r="I664" s="408">
        <v>43901</v>
      </c>
      <c r="J664" s="409">
        <v>31545</v>
      </c>
      <c r="K664" s="407">
        <v>935.41</v>
      </c>
      <c r="L664" s="41">
        <f t="shared" si="44"/>
        <v>-5.6744333491837058E-3</v>
      </c>
      <c r="M664" s="41">
        <f t="shared" si="45"/>
        <v>4.6503672186528075E-3</v>
      </c>
      <c r="N664" s="180">
        <f t="shared" si="42"/>
        <v>1.4406534392385118E-2</v>
      </c>
      <c r="O664" s="180">
        <f t="shared" si="43"/>
        <v>1.8528832148059489E-3</v>
      </c>
    </row>
    <row r="665" spans="9:15" x14ac:dyDescent="0.35">
      <c r="I665" s="408">
        <v>43872</v>
      </c>
      <c r="J665" s="409">
        <v>31097</v>
      </c>
      <c r="K665" s="407">
        <v>933.68</v>
      </c>
      <c r="L665" s="41">
        <f t="shared" si="44"/>
        <v>1.4406534392385118E-2</v>
      </c>
      <c r="M665" s="41">
        <f t="shared" si="45"/>
        <v>1.8528832148059489E-3</v>
      </c>
      <c r="N665" s="180">
        <f t="shared" si="42"/>
        <v>-7.1517512212253762E-3</v>
      </c>
      <c r="O665" s="180">
        <f t="shared" si="43"/>
        <v>8.8711681632034772E-3</v>
      </c>
    </row>
    <row r="666" spans="9:15" x14ac:dyDescent="0.35">
      <c r="I666" s="408" t="s">
        <v>882</v>
      </c>
      <c r="J666" s="409">
        <v>31321</v>
      </c>
      <c r="K666" s="407">
        <v>925.47</v>
      </c>
      <c r="L666" s="41">
        <f t="shared" si="44"/>
        <v>-7.1517512212253762E-3</v>
      </c>
      <c r="M666" s="41">
        <f t="shared" si="45"/>
        <v>8.8711681632034772E-3</v>
      </c>
      <c r="N666" s="180">
        <f t="shared" si="42"/>
        <v>1.4388029159739097E-3</v>
      </c>
      <c r="O666" s="180">
        <f t="shared" si="43"/>
        <v>6.9526047786917199E-3</v>
      </c>
    </row>
    <row r="667" spans="9:15" x14ac:dyDescent="0.35">
      <c r="I667" s="408" t="s">
        <v>883</v>
      </c>
      <c r="J667" s="409">
        <v>31276</v>
      </c>
      <c r="K667" s="407">
        <v>919.08</v>
      </c>
      <c r="L667" s="41">
        <f t="shared" si="44"/>
        <v>1.4388029159739097E-3</v>
      </c>
      <c r="M667" s="41">
        <f t="shared" si="45"/>
        <v>6.9526047786917199E-3</v>
      </c>
      <c r="N667" s="180">
        <f t="shared" si="42"/>
        <v>2.3462809646912528E-2</v>
      </c>
      <c r="O667" s="180">
        <f t="shared" si="43"/>
        <v>-2.1388632538949176E-3</v>
      </c>
    </row>
    <row r="668" spans="9:15" x14ac:dyDescent="0.35">
      <c r="I668" s="408" t="s">
        <v>884</v>
      </c>
      <c r="J668" s="409">
        <v>30559</v>
      </c>
      <c r="K668" s="407">
        <v>921.05</v>
      </c>
      <c r="L668" s="41">
        <f t="shared" si="44"/>
        <v>2.3462809646912528E-2</v>
      </c>
      <c r="M668" s="41">
        <f t="shared" si="45"/>
        <v>-2.1388632538949176E-3</v>
      </c>
      <c r="N668" s="180">
        <f t="shared" si="42"/>
        <v>-1.1611359078853743E-2</v>
      </c>
      <c r="O668" s="180">
        <f t="shared" si="43"/>
        <v>-2.6857692267055557E-2</v>
      </c>
    </row>
    <row r="669" spans="9:15" x14ac:dyDescent="0.35">
      <c r="I669" s="408" t="s">
        <v>885</v>
      </c>
      <c r="J669" s="409">
        <v>30918</v>
      </c>
      <c r="K669" s="407">
        <v>946.47</v>
      </c>
      <c r="L669" s="41">
        <f t="shared" si="44"/>
        <v>-1.1611359078853743E-2</v>
      </c>
      <c r="M669" s="41">
        <f t="shared" si="45"/>
        <v>-2.6857692267055557E-2</v>
      </c>
      <c r="N669" s="180">
        <f t="shared" si="42"/>
        <v>-1.5695138645697368E-2</v>
      </c>
      <c r="O669" s="180">
        <f t="shared" si="43"/>
        <v>-4.5540597391669413E-3</v>
      </c>
    </row>
    <row r="670" spans="9:15" x14ac:dyDescent="0.35">
      <c r="I670" s="408" t="s">
        <v>886</v>
      </c>
      <c r="J670" s="409">
        <v>31411</v>
      </c>
      <c r="K670" s="407">
        <v>950.8</v>
      </c>
      <c r="L670" s="41">
        <f t="shared" si="44"/>
        <v>-1.5695138645697368E-2</v>
      </c>
      <c r="M670" s="41">
        <f t="shared" si="45"/>
        <v>-4.5540597391669413E-3</v>
      </c>
      <c r="N670" s="180">
        <f t="shared" si="42"/>
        <v>-7.080764975501818E-3</v>
      </c>
      <c r="O670" s="180">
        <f t="shared" si="43"/>
        <v>-1.0881551297255723E-2</v>
      </c>
    </row>
    <row r="671" spans="9:15" x14ac:dyDescent="0.35">
      <c r="I671" s="408" t="s">
        <v>887</v>
      </c>
      <c r="J671" s="409">
        <v>31635</v>
      </c>
      <c r="K671" s="407">
        <v>961.26</v>
      </c>
      <c r="L671" s="41">
        <f t="shared" si="44"/>
        <v>-7.080764975501818E-3</v>
      </c>
      <c r="M671" s="41">
        <f t="shared" si="45"/>
        <v>-1.0881551297255723E-2</v>
      </c>
      <c r="N671" s="180">
        <f t="shared" si="42"/>
        <v>0</v>
      </c>
      <c r="O671" s="180">
        <f t="shared" si="43"/>
        <v>1.1959153595115291E-2</v>
      </c>
    </row>
    <row r="672" spans="9:15" x14ac:dyDescent="0.35">
      <c r="I672" s="408" t="s">
        <v>888</v>
      </c>
      <c r="J672" s="409">
        <v>31635</v>
      </c>
      <c r="K672" s="407">
        <v>949.9</v>
      </c>
      <c r="L672" s="41">
        <f t="shared" si="44"/>
        <v>0</v>
      </c>
      <c r="M672" s="41">
        <f t="shared" si="45"/>
        <v>1.1959153595115291E-2</v>
      </c>
      <c r="N672" s="180">
        <f t="shared" si="42"/>
        <v>5.6904883011190234E-3</v>
      </c>
      <c r="O672" s="180">
        <f t="shared" si="43"/>
        <v>1.1575775001863631E-2</v>
      </c>
    </row>
    <row r="673" spans="9:15" x14ac:dyDescent="0.35">
      <c r="I673" s="408" t="s">
        <v>889</v>
      </c>
      <c r="J673" s="409">
        <v>31456</v>
      </c>
      <c r="K673" s="407">
        <v>939.03</v>
      </c>
      <c r="L673" s="41">
        <f t="shared" si="44"/>
        <v>5.6904883011190234E-3</v>
      </c>
      <c r="M673" s="41">
        <f t="shared" si="45"/>
        <v>1.1575775001863631E-2</v>
      </c>
      <c r="N673" s="180">
        <f t="shared" si="42"/>
        <v>-2.8213663021080995E-3</v>
      </c>
      <c r="O673" s="180">
        <f t="shared" si="43"/>
        <v>-5.7072065394633605E-3</v>
      </c>
    </row>
    <row r="674" spans="9:15" x14ac:dyDescent="0.35">
      <c r="I674" s="408" t="s">
        <v>890</v>
      </c>
      <c r="J674" s="409">
        <v>31545</v>
      </c>
      <c r="K674" s="407">
        <v>944.42</v>
      </c>
      <c r="L674" s="41">
        <f t="shared" si="44"/>
        <v>-2.8213663021080995E-3</v>
      </c>
      <c r="M674" s="41">
        <f t="shared" si="45"/>
        <v>-5.7072065394633605E-3</v>
      </c>
      <c r="N674" s="180">
        <f t="shared" ref="N674:N737" si="46">(J674-J675)/J675</f>
        <v>2.8293489318413022E-3</v>
      </c>
      <c r="O674" s="180">
        <f t="shared" si="43"/>
        <v>7.7355911369189503E-4</v>
      </c>
    </row>
    <row r="675" spans="9:15" x14ac:dyDescent="0.35">
      <c r="I675" s="408" t="s">
        <v>891</v>
      </c>
      <c r="J675" s="409">
        <v>31456</v>
      </c>
      <c r="K675" s="407">
        <v>943.69</v>
      </c>
      <c r="L675" s="41">
        <f t="shared" si="44"/>
        <v>2.8293489318413022E-3</v>
      </c>
      <c r="M675" s="41">
        <f t="shared" si="45"/>
        <v>7.7355911369189503E-4</v>
      </c>
      <c r="N675" s="180">
        <f t="shared" si="46"/>
        <v>-3.0362812490367128E-2</v>
      </c>
      <c r="O675" s="180">
        <f t="shared" si="43"/>
        <v>4.1344217110155841E-4</v>
      </c>
    </row>
    <row r="676" spans="9:15" x14ac:dyDescent="0.35">
      <c r="I676" s="408" t="s">
        <v>892</v>
      </c>
      <c r="J676" s="409">
        <v>32441</v>
      </c>
      <c r="K676" s="407">
        <v>943.3</v>
      </c>
      <c r="L676" s="41">
        <f t="shared" si="44"/>
        <v>-3.0362812490367128E-2</v>
      </c>
      <c r="M676" s="41">
        <f t="shared" si="45"/>
        <v>4.1344217110155841E-4</v>
      </c>
      <c r="N676" s="180">
        <f t="shared" si="46"/>
        <v>-2.7665918662199132E-3</v>
      </c>
      <c r="O676" s="180">
        <f t="shared" si="43"/>
        <v>5.7278628707196281E-4</v>
      </c>
    </row>
    <row r="677" spans="9:15" x14ac:dyDescent="0.35">
      <c r="I677" s="408" t="s">
        <v>893</v>
      </c>
      <c r="J677" s="409">
        <v>32531</v>
      </c>
      <c r="K677" s="407">
        <v>942.76</v>
      </c>
      <c r="L677" s="41">
        <f t="shared" si="44"/>
        <v>-2.7665918662199132E-3</v>
      </c>
      <c r="M677" s="41">
        <f t="shared" si="45"/>
        <v>5.7278628707196281E-4</v>
      </c>
      <c r="N677" s="180">
        <f t="shared" si="46"/>
        <v>-5.472332619993886E-3</v>
      </c>
      <c r="O677" s="180">
        <f t="shared" si="43"/>
        <v>2.7441553745027984E-3</v>
      </c>
    </row>
    <row r="678" spans="9:15" x14ac:dyDescent="0.35">
      <c r="I678" s="408" t="s">
        <v>894</v>
      </c>
      <c r="J678" s="409">
        <v>32710</v>
      </c>
      <c r="K678" s="407">
        <v>940.18</v>
      </c>
      <c r="L678" s="41">
        <f t="shared" si="44"/>
        <v>-5.472332619993886E-3</v>
      </c>
      <c r="M678" s="41">
        <f t="shared" si="45"/>
        <v>2.7441553745027984E-3</v>
      </c>
      <c r="N678" s="180">
        <f t="shared" si="46"/>
        <v>-5.4425491805770929E-3</v>
      </c>
      <c r="O678" s="180">
        <f t="shared" ref="O678:O741" si="47">(K678-K679)/K679</f>
        <v>1.1098444927193273E-2</v>
      </c>
    </row>
    <row r="679" spans="9:15" x14ac:dyDescent="0.35">
      <c r="I679" s="408" t="s">
        <v>895</v>
      </c>
      <c r="J679" s="409">
        <v>32889</v>
      </c>
      <c r="K679" s="407">
        <v>929.86</v>
      </c>
      <c r="L679" s="41">
        <f t="shared" si="44"/>
        <v>-5.4425491805770929E-3</v>
      </c>
      <c r="M679" s="41">
        <f t="shared" si="45"/>
        <v>1.1098444927193273E-2</v>
      </c>
      <c r="N679" s="180">
        <f t="shared" si="46"/>
        <v>4.090978476568463E-3</v>
      </c>
      <c r="O679" s="180">
        <f t="shared" si="47"/>
        <v>4.3528509553589457E-3</v>
      </c>
    </row>
    <row r="680" spans="9:15" x14ac:dyDescent="0.35">
      <c r="I680" s="408">
        <v>44175</v>
      </c>
      <c r="J680" s="409">
        <v>32755</v>
      </c>
      <c r="K680" s="407">
        <v>925.83</v>
      </c>
      <c r="L680" s="41">
        <f t="shared" si="44"/>
        <v>4.090978476568463E-3</v>
      </c>
      <c r="M680" s="41">
        <f t="shared" si="45"/>
        <v>4.3528509553589457E-3</v>
      </c>
      <c r="N680" s="180">
        <f t="shared" si="46"/>
        <v>0</v>
      </c>
      <c r="O680" s="180">
        <f t="shared" si="47"/>
        <v>1.9805194805195248E-3</v>
      </c>
    </row>
    <row r="681" spans="9:15" x14ac:dyDescent="0.35">
      <c r="I681" s="408">
        <v>44084</v>
      </c>
      <c r="J681" s="409">
        <v>32755</v>
      </c>
      <c r="K681" s="407">
        <v>924</v>
      </c>
      <c r="L681" s="41">
        <f t="shared" si="44"/>
        <v>0</v>
      </c>
      <c r="M681" s="41">
        <f t="shared" si="45"/>
        <v>1.9805194805195248E-3</v>
      </c>
      <c r="N681" s="180">
        <f t="shared" si="46"/>
        <v>-2.740143096361699E-3</v>
      </c>
      <c r="O681" s="180">
        <f t="shared" si="47"/>
        <v>5.6157764137390277E-3</v>
      </c>
    </row>
    <row r="682" spans="9:15" x14ac:dyDescent="0.35">
      <c r="I682" s="408">
        <v>44053</v>
      </c>
      <c r="J682" s="409">
        <v>32845</v>
      </c>
      <c r="K682" s="407">
        <v>918.84</v>
      </c>
      <c r="L682" s="41">
        <f t="shared" si="44"/>
        <v>-2.740143096361699E-3</v>
      </c>
      <c r="M682" s="41">
        <f t="shared" si="45"/>
        <v>5.6157764137390277E-3</v>
      </c>
      <c r="N682" s="180">
        <f t="shared" si="46"/>
        <v>2.7476721111280721E-3</v>
      </c>
      <c r="O682" s="180">
        <f t="shared" si="47"/>
        <v>-9.5681294306962492E-4</v>
      </c>
    </row>
    <row r="683" spans="9:15" x14ac:dyDescent="0.35">
      <c r="I683" s="408">
        <v>44022</v>
      </c>
      <c r="J683" s="409">
        <v>32755</v>
      </c>
      <c r="K683" s="407">
        <v>919.72</v>
      </c>
      <c r="L683" s="41">
        <f t="shared" si="44"/>
        <v>2.7476721111280721E-3</v>
      </c>
      <c r="M683" s="41">
        <f t="shared" si="45"/>
        <v>-9.5681294306962492E-4</v>
      </c>
      <c r="N683" s="180">
        <f t="shared" si="46"/>
        <v>-9.4952977108470164E-3</v>
      </c>
      <c r="O683" s="180">
        <f t="shared" si="47"/>
        <v>4.4229908154685294E-3</v>
      </c>
    </row>
    <row r="684" spans="9:15" x14ac:dyDescent="0.35">
      <c r="I684" s="408">
        <v>43992</v>
      </c>
      <c r="J684" s="409">
        <v>33069</v>
      </c>
      <c r="K684" s="407">
        <v>915.67</v>
      </c>
      <c r="L684" s="41">
        <f t="shared" si="44"/>
        <v>-9.4952977108470164E-3</v>
      </c>
      <c r="M684" s="41">
        <f t="shared" si="45"/>
        <v>4.4229908154685294E-3</v>
      </c>
      <c r="N684" s="180">
        <f t="shared" si="46"/>
        <v>0</v>
      </c>
      <c r="O684" s="180">
        <f t="shared" si="47"/>
        <v>1.0823457384003248E-3</v>
      </c>
    </row>
    <row r="685" spans="9:15" x14ac:dyDescent="0.35">
      <c r="I685" s="408">
        <v>43961</v>
      </c>
      <c r="J685" s="409">
        <v>33069</v>
      </c>
      <c r="K685" s="407">
        <v>914.68</v>
      </c>
      <c r="L685" s="41">
        <f t="shared" si="44"/>
        <v>0</v>
      </c>
      <c r="M685" s="41">
        <f t="shared" si="45"/>
        <v>1.0823457384003248E-3</v>
      </c>
      <c r="N685" s="180">
        <f t="shared" si="46"/>
        <v>2.0742661357533106E-2</v>
      </c>
      <c r="O685" s="180">
        <f t="shared" si="47"/>
        <v>5.2422767086854546E-3</v>
      </c>
    </row>
    <row r="686" spans="9:15" x14ac:dyDescent="0.35">
      <c r="I686" s="408">
        <v>43871</v>
      </c>
      <c r="J686" s="409">
        <v>32397</v>
      </c>
      <c r="K686" s="407">
        <v>909.91</v>
      </c>
      <c r="L686" s="41">
        <f t="shared" si="44"/>
        <v>2.0742661357533106E-2</v>
      </c>
      <c r="M686" s="41">
        <f t="shared" si="45"/>
        <v>5.2422767086854546E-3</v>
      </c>
      <c r="N686" s="180">
        <f t="shared" si="46"/>
        <v>2.8476190476190478E-2</v>
      </c>
      <c r="O686" s="180">
        <f t="shared" si="47"/>
        <v>-4.5728538765330146E-3</v>
      </c>
    </row>
    <row r="687" spans="9:15" x14ac:dyDescent="0.35">
      <c r="I687" s="408">
        <v>43840</v>
      </c>
      <c r="J687" s="409">
        <v>31500</v>
      </c>
      <c r="K687" s="407">
        <v>914.09</v>
      </c>
      <c r="L687" s="41">
        <f t="shared" si="44"/>
        <v>2.8476190476190478E-2</v>
      </c>
      <c r="M687" s="41">
        <f t="shared" si="45"/>
        <v>-4.5728538765330146E-3</v>
      </c>
      <c r="N687" s="180">
        <f t="shared" si="46"/>
        <v>4.2721418096027548E-3</v>
      </c>
      <c r="O687" s="180">
        <f t="shared" si="47"/>
        <v>9.8098783707647897E-3</v>
      </c>
    </row>
    <row r="688" spans="9:15" x14ac:dyDescent="0.35">
      <c r="I688" s="408" t="s">
        <v>896</v>
      </c>
      <c r="J688" s="409">
        <v>31366</v>
      </c>
      <c r="K688" s="407">
        <v>905.21</v>
      </c>
      <c r="L688" s="41">
        <f t="shared" si="44"/>
        <v>4.2721418096027548E-3</v>
      </c>
      <c r="M688" s="41">
        <f t="shared" si="45"/>
        <v>9.8098783707647897E-3</v>
      </c>
      <c r="N688" s="180">
        <f t="shared" si="46"/>
        <v>0</v>
      </c>
      <c r="O688" s="180">
        <f t="shared" si="47"/>
        <v>1.3606495718932036E-3</v>
      </c>
    </row>
    <row r="689" spans="9:15" x14ac:dyDescent="0.35">
      <c r="I689" s="408" t="s">
        <v>897</v>
      </c>
      <c r="J689" s="409">
        <v>31366</v>
      </c>
      <c r="K689" s="407">
        <v>903.98</v>
      </c>
      <c r="L689" s="41">
        <f t="shared" si="44"/>
        <v>0</v>
      </c>
      <c r="M689" s="41">
        <f t="shared" si="45"/>
        <v>1.3606495718932036E-3</v>
      </c>
      <c r="N689" s="180">
        <f t="shared" si="46"/>
        <v>-8.50324008218745E-3</v>
      </c>
      <c r="O689" s="180">
        <f t="shared" si="47"/>
        <v>-9.3369863013698425E-3</v>
      </c>
    </row>
    <row r="690" spans="9:15" x14ac:dyDescent="0.35">
      <c r="I690" s="408" t="s">
        <v>898</v>
      </c>
      <c r="J690" s="409">
        <v>31635</v>
      </c>
      <c r="K690" s="407">
        <v>912.5</v>
      </c>
      <c r="L690" s="41">
        <f t="shared" si="44"/>
        <v>-8.50324008218745E-3</v>
      </c>
      <c r="M690" s="41">
        <f t="shared" si="45"/>
        <v>-9.3369863013698425E-3</v>
      </c>
      <c r="N690" s="180">
        <f t="shared" si="46"/>
        <v>1.4245014245014246E-3</v>
      </c>
      <c r="O690" s="180">
        <f t="shared" si="47"/>
        <v>4.6572054565272641E-3</v>
      </c>
    </row>
    <row r="691" spans="9:15" x14ac:dyDescent="0.35">
      <c r="I691" s="408" t="s">
        <v>899</v>
      </c>
      <c r="J691" s="409">
        <v>31590</v>
      </c>
      <c r="K691" s="407">
        <v>908.27</v>
      </c>
      <c r="L691" s="41">
        <f t="shared" si="44"/>
        <v>1.4245014245014246E-3</v>
      </c>
      <c r="M691" s="41">
        <f t="shared" si="45"/>
        <v>4.6572054565272641E-3</v>
      </c>
      <c r="N691" s="180">
        <f t="shared" si="46"/>
        <v>1.4265335235378032E-3</v>
      </c>
      <c r="O691" s="180">
        <f t="shared" si="47"/>
        <v>-3.4119174976343208E-4</v>
      </c>
    </row>
    <row r="692" spans="9:15" x14ac:dyDescent="0.35">
      <c r="I692" s="408" t="s">
        <v>900</v>
      </c>
      <c r="J692" s="409">
        <v>31545</v>
      </c>
      <c r="K692" s="407">
        <v>908.58</v>
      </c>
      <c r="L692" s="41">
        <f t="shared" si="44"/>
        <v>1.4265335235378032E-3</v>
      </c>
      <c r="M692" s="41">
        <f t="shared" si="45"/>
        <v>-3.4119174976343208E-4</v>
      </c>
      <c r="N692" s="180">
        <f t="shared" si="46"/>
        <v>5.7068162979021873E-3</v>
      </c>
      <c r="O692" s="180">
        <f t="shared" si="47"/>
        <v>-4.2958904109588591E-3</v>
      </c>
    </row>
    <row r="693" spans="9:15" x14ac:dyDescent="0.35">
      <c r="I693" s="408" t="s">
        <v>901</v>
      </c>
      <c r="J693" s="409">
        <v>31366</v>
      </c>
      <c r="K693" s="407">
        <v>912.5</v>
      </c>
      <c r="L693" s="41">
        <f t="shared" si="44"/>
        <v>5.7068162979021873E-3</v>
      </c>
      <c r="M693" s="41">
        <f t="shared" si="45"/>
        <v>-4.2958904109588591E-3</v>
      </c>
      <c r="N693" s="180">
        <f t="shared" si="46"/>
        <v>1.4367357364068836E-3</v>
      </c>
      <c r="O693" s="180">
        <f t="shared" si="47"/>
        <v>6.9632196338515603E-3</v>
      </c>
    </row>
    <row r="694" spans="9:15" x14ac:dyDescent="0.35">
      <c r="I694" s="408" t="s">
        <v>902</v>
      </c>
      <c r="J694" s="409">
        <v>31321</v>
      </c>
      <c r="K694" s="407">
        <v>906.19</v>
      </c>
      <c r="L694" s="41">
        <f t="shared" si="44"/>
        <v>1.4367357364068836E-3</v>
      </c>
      <c r="M694" s="41">
        <f t="shared" si="45"/>
        <v>6.9632196338515603E-3</v>
      </c>
      <c r="N694" s="180">
        <f t="shared" si="46"/>
        <v>-5.6825396825396822E-3</v>
      </c>
      <c r="O694" s="180">
        <f t="shared" si="47"/>
        <v>-1.9274401392162476E-3</v>
      </c>
    </row>
    <row r="695" spans="9:15" x14ac:dyDescent="0.35">
      <c r="I695" s="408" t="s">
        <v>903</v>
      </c>
      <c r="J695" s="409">
        <v>31500</v>
      </c>
      <c r="K695" s="407">
        <v>907.94</v>
      </c>
      <c r="L695" s="41">
        <f t="shared" si="44"/>
        <v>-5.6825396825396822E-3</v>
      </c>
      <c r="M695" s="41">
        <f t="shared" si="45"/>
        <v>-1.9274401392162476E-3</v>
      </c>
      <c r="N695" s="180">
        <f t="shared" si="46"/>
        <v>-1.4265335235378032E-3</v>
      </c>
      <c r="O695" s="180">
        <f t="shared" si="47"/>
        <v>7.7584771629946262E-3</v>
      </c>
    </row>
    <row r="696" spans="9:15" x14ac:dyDescent="0.35">
      <c r="I696" s="408" t="s">
        <v>904</v>
      </c>
      <c r="J696" s="409">
        <v>31545</v>
      </c>
      <c r="K696" s="407">
        <v>900.95</v>
      </c>
      <c r="L696" s="41">
        <f t="shared" si="44"/>
        <v>-1.4265335235378032E-3</v>
      </c>
      <c r="M696" s="41">
        <f t="shared" si="45"/>
        <v>7.7584771629946262E-3</v>
      </c>
      <c r="N696" s="180">
        <f t="shared" si="46"/>
        <v>2.8293489318413022E-3</v>
      </c>
      <c r="O696" s="180">
        <f t="shared" si="47"/>
        <v>7.7289606729006336E-3</v>
      </c>
    </row>
    <row r="697" spans="9:15" x14ac:dyDescent="0.35">
      <c r="I697" s="408" t="s">
        <v>905</v>
      </c>
      <c r="J697" s="409">
        <v>31456</v>
      </c>
      <c r="K697" s="407">
        <v>894.04</v>
      </c>
      <c r="L697" s="41">
        <f t="shared" si="44"/>
        <v>2.8293489318413022E-3</v>
      </c>
      <c r="M697" s="41">
        <f t="shared" si="45"/>
        <v>7.7289606729006336E-3</v>
      </c>
      <c r="N697" s="180">
        <f t="shared" si="46"/>
        <v>-4.2418486862931312E-3</v>
      </c>
      <c r="O697" s="180">
        <f t="shared" si="47"/>
        <v>-3.8218547695188293E-3</v>
      </c>
    </row>
    <row r="698" spans="9:15" x14ac:dyDescent="0.35">
      <c r="I698" s="408" t="s">
        <v>906</v>
      </c>
      <c r="J698" s="409">
        <v>31590</v>
      </c>
      <c r="K698" s="407">
        <v>897.47</v>
      </c>
      <c r="L698" s="41">
        <f t="shared" si="44"/>
        <v>-4.2418486862931312E-3</v>
      </c>
      <c r="M698" s="41">
        <f t="shared" si="45"/>
        <v>-3.8218547695188293E-3</v>
      </c>
      <c r="N698" s="180">
        <f t="shared" si="46"/>
        <v>1.4265335235378032E-3</v>
      </c>
      <c r="O698" s="180">
        <f t="shared" si="47"/>
        <v>1.3500546716355036E-3</v>
      </c>
    </row>
    <row r="699" spans="9:15" x14ac:dyDescent="0.35">
      <c r="I699" s="408" t="s">
        <v>907</v>
      </c>
      <c r="J699" s="409">
        <v>31545</v>
      </c>
      <c r="K699" s="407">
        <v>896.26</v>
      </c>
      <c r="L699" s="41">
        <f t="shared" si="44"/>
        <v>1.4265335235378032E-3</v>
      </c>
      <c r="M699" s="41">
        <f t="shared" si="45"/>
        <v>1.3500546716355036E-3</v>
      </c>
      <c r="N699" s="180">
        <f t="shared" si="46"/>
        <v>-1.1252507522567703E-2</v>
      </c>
      <c r="O699" s="180">
        <f t="shared" si="47"/>
        <v>1.8891758051353619E-3</v>
      </c>
    </row>
    <row r="700" spans="9:15" x14ac:dyDescent="0.35">
      <c r="I700" s="408" t="s">
        <v>908</v>
      </c>
      <c r="J700" s="409">
        <v>31904</v>
      </c>
      <c r="K700" s="407">
        <v>894.57</v>
      </c>
      <c r="L700" s="41">
        <f t="shared" si="44"/>
        <v>-1.1252507522567703E-2</v>
      </c>
      <c r="M700" s="41">
        <f t="shared" si="45"/>
        <v>1.8891758051353619E-3</v>
      </c>
      <c r="N700" s="180">
        <f t="shared" si="46"/>
        <v>0</v>
      </c>
      <c r="O700" s="180">
        <f t="shared" si="47"/>
        <v>6.299425177452583E-3</v>
      </c>
    </row>
    <row r="701" spans="9:15" x14ac:dyDescent="0.35">
      <c r="I701" s="408">
        <v>44144</v>
      </c>
      <c r="J701" s="409">
        <v>31904</v>
      </c>
      <c r="K701" s="407">
        <v>888.97</v>
      </c>
      <c r="L701" s="41">
        <f t="shared" si="44"/>
        <v>0</v>
      </c>
      <c r="M701" s="41">
        <f t="shared" si="45"/>
        <v>6.299425177452583E-3</v>
      </c>
      <c r="N701" s="180">
        <f t="shared" si="46"/>
        <v>2.8289432325391338E-3</v>
      </c>
      <c r="O701" s="180">
        <f t="shared" si="47"/>
        <v>1.6876307913860766E-4</v>
      </c>
    </row>
    <row r="702" spans="9:15" x14ac:dyDescent="0.35">
      <c r="I702" s="408">
        <v>44113</v>
      </c>
      <c r="J702" s="409">
        <v>31814</v>
      </c>
      <c r="K702" s="407">
        <v>888.82</v>
      </c>
      <c r="L702" s="41">
        <f t="shared" si="44"/>
        <v>2.8289432325391338E-3</v>
      </c>
      <c r="M702" s="41">
        <f t="shared" si="45"/>
        <v>1.6876307913860766E-4</v>
      </c>
      <c r="N702" s="180">
        <f t="shared" si="46"/>
        <v>1.1380976602238047E-2</v>
      </c>
      <c r="O702" s="180">
        <f t="shared" si="47"/>
        <v>-5.6222731974992131E-4</v>
      </c>
    </row>
    <row r="703" spans="9:15" x14ac:dyDescent="0.35">
      <c r="I703" s="408">
        <v>44083</v>
      </c>
      <c r="J703" s="409">
        <v>31456</v>
      </c>
      <c r="K703" s="407">
        <v>889.32</v>
      </c>
      <c r="L703" s="41">
        <f t="shared" si="44"/>
        <v>1.1380976602238047E-2</v>
      </c>
      <c r="M703" s="41">
        <f t="shared" si="45"/>
        <v>-5.6222731974992131E-4</v>
      </c>
      <c r="N703" s="180">
        <f t="shared" si="46"/>
        <v>-2.8213663021080995E-3</v>
      </c>
      <c r="O703" s="180">
        <f t="shared" si="47"/>
        <v>-9.2120340620569386E-4</v>
      </c>
    </row>
    <row r="704" spans="9:15" x14ac:dyDescent="0.35">
      <c r="I704" s="408">
        <v>44052</v>
      </c>
      <c r="J704" s="409">
        <v>31545</v>
      </c>
      <c r="K704" s="407">
        <v>890.14</v>
      </c>
      <c r="L704" s="41">
        <f t="shared" si="44"/>
        <v>-2.8213663021080995E-3</v>
      </c>
      <c r="M704" s="41">
        <f t="shared" si="45"/>
        <v>-9.2120340620569386E-4</v>
      </c>
      <c r="N704" s="180">
        <f t="shared" si="46"/>
        <v>1.4285714285714286E-3</v>
      </c>
      <c r="O704" s="180">
        <f t="shared" si="47"/>
        <v>2.1277793414016173E-3</v>
      </c>
    </row>
    <row r="705" spans="9:15" x14ac:dyDescent="0.35">
      <c r="I705" s="408">
        <v>44021</v>
      </c>
      <c r="J705" s="409">
        <v>31500</v>
      </c>
      <c r="K705" s="407">
        <v>888.25</v>
      </c>
      <c r="L705" s="41">
        <f t="shared" si="44"/>
        <v>1.4285714285714286E-3</v>
      </c>
      <c r="M705" s="41">
        <f t="shared" si="45"/>
        <v>2.1277793414016173E-3</v>
      </c>
      <c r="N705" s="180">
        <f t="shared" si="46"/>
        <v>-1.5409620854561936E-2</v>
      </c>
      <c r="O705" s="180">
        <f t="shared" si="47"/>
        <v>-1.4741442420746683E-2</v>
      </c>
    </row>
    <row r="706" spans="9:15" x14ac:dyDescent="0.35">
      <c r="I706" s="408">
        <v>43930</v>
      </c>
      <c r="J706" s="409">
        <v>31993</v>
      </c>
      <c r="K706" s="407">
        <v>901.54</v>
      </c>
      <c r="L706" s="41">
        <f t="shared" si="44"/>
        <v>-1.5409620854561936E-2</v>
      </c>
      <c r="M706" s="41">
        <f t="shared" si="45"/>
        <v>-1.4741442420746683E-2</v>
      </c>
      <c r="N706" s="180">
        <f t="shared" si="46"/>
        <v>-2.8052239503787053E-3</v>
      </c>
      <c r="O706" s="180">
        <f t="shared" si="47"/>
        <v>-2.6881423056075572E-3</v>
      </c>
    </row>
    <row r="707" spans="9:15" x14ac:dyDescent="0.35">
      <c r="I707" s="408">
        <v>43899</v>
      </c>
      <c r="J707" s="409">
        <v>32083</v>
      </c>
      <c r="K707" s="407">
        <v>903.97</v>
      </c>
      <c r="L707" s="41">
        <f t="shared" si="44"/>
        <v>-2.8052239503787053E-3</v>
      </c>
      <c r="M707" s="41">
        <f t="shared" si="45"/>
        <v>-2.6881423056075572E-3</v>
      </c>
      <c r="N707" s="180">
        <f t="shared" si="46"/>
        <v>-2.7973766823112547E-3</v>
      </c>
      <c r="O707" s="180">
        <f t="shared" si="47"/>
        <v>1.372612786381529E-2</v>
      </c>
    </row>
    <row r="708" spans="9:15" x14ac:dyDescent="0.35">
      <c r="I708" s="408">
        <v>43839</v>
      </c>
      <c r="J708" s="409">
        <v>32173</v>
      </c>
      <c r="K708" s="407">
        <v>891.73</v>
      </c>
      <c r="L708" s="41">
        <f t="shared" ref="L708:L771" si="48">(J707-J708)/J708</f>
        <v>-2.7973766823112547E-3</v>
      </c>
      <c r="M708" s="41">
        <f t="shared" ref="M708:M771" si="49">(K707-K708)/K708</f>
        <v>1.372612786381529E-2</v>
      </c>
      <c r="N708" s="180">
        <f t="shared" si="46"/>
        <v>1.4006474103585658E-3</v>
      </c>
      <c r="O708" s="180">
        <f t="shared" si="47"/>
        <v>1.1433108376339865E-2</v>
      </c>
    </row>
    <row r="709" spans="9:15" x14ac:dyDescent="0.35">
      <c r="I709" s="408" t="s">
        <v>909</v>
      </c>
      <c r="J709" s="409">
        <v>32128</v>
      </c>
      <c r="K709" s="407">
        <v>881.65</v>
      </c>
      <c r="L709" s="41">
        <f t="shared" si="48"/>
        <v>1.4006474103585658E-3</v>
      </c>
      <c r="M709" s="41">
        <f t="shared" si="49"/>
        <v>1.1433108376339865E-2</v>
      </c>
      <c r="N709" s="180">
        <f t="shared" si="46"/>
        <v>-9.6482845781572703E-3</v>
      </c>
      <c r="O709" s="180">
        <f t="shared" si="47"/>
        <v>3.0376117772872636E-3</v>
      </c>
    </row>
    <row r="710" spans="9:15" x14ac:dyDescent="0.35">
      <c r="I710" s="408" t="s">
        <v>910</v>
      </c>
      <c r="J710" s="409">
        <v>32441</v>
      </c>
      <c r="K710" s="407">
        <v>878.98</v>
      </c>
      <c r="L710" s="41">
        <f t="shared" si="48"/>
        <v>-9.6482845781572703E-3</v>
      </c>
      <c r="M710" s="41">
        <f t="shared" si="49"/>
        <v>3.0376117772872636E-3</v>
      </c>
      <c r="N710" s="180">
        <f t="shared" si="46"/>
        <v>2.6938904716682494E-2</v>
      </c>
      <c r="O710" s="180">
        <f t="shared" si="47"/>
        <v>4.881617907649371E-3</v>
      </c>
    </row>
    <row r="711" spans="9:15" x14ac:dyDescent="0.35">
      <c r="I711" s="408" t="s">
        <v>911</v>
      </c>
      <c r="J711" s="409">
        <v>31590</v>
      </c>
      <c r="K711" s="407">
        <v>874.71</v>
      </c>
      <c r="L711" s="41">
        <f t="shared" si="48"/>
        <v>2.6938904716682494E-2</v>
      </c>
      <c r="M711" s="41">
        <f t="shared" si="49"/>
        <v>4.881617907649371E-3</v>
      </c>
      <c r="N711" s="180">
        <f t="shared" si="46"/>
        <v>1.0039647013684615E-2</v>
      </c>
      <c r="O711" s="180">
        <f t="shared" si="47"/>
        <v>1.4196251731599357E-3</v>
      </c>
    </row>
    <row r="712" spans="9:15" x14ac:dyDescent="0.35">
      <c r="I712" s="408" t="s">
        <v>912</v>
      </c>
      <c r="J712" s="409">
        <v>31276</v>
      </c>
      <c r="K712" s="407">
        <v>873.47</v>
      </c>
      <c r="L712" s="41">
        <f t="shared" si="48"/>
        <v>1.0039647013684615E-2</v>
      </c>
      <c r="M712" s="41">
        <f t="shared" si="49"/>
        <v>1.4196251731599357E-3</v>
      </c>
      <c r="N712" s="180">
        <f t="shared" si="46"/>
        <v>-9.5919274338483911E-6</v>
      </c>
      <c r="O712" s="180">
        <f t="shared" si="47"/>
        <v>-7.4360499702555395E-4</v>
      </c>
    </row>
    <row r="713" spans="9:15" x14ac:dyDescent="0.35">
      <c r="I713" s="408" t="s">
        <v>913</v>
      </c>
      <c r="J713" s="409">
        <v>31276.3</v>
      </c>
      <c r="K713" s="407">
        <v>874.12</v>
      </c>
      <c r="L713" s="41">
        <f t="shared" si="48"/>
        <v>-9.5919274338483911E-6</v>
      </c>
      <c r="M713" s="41">
        <f t="shared" si="49"/>
        <v>-7.4360499702555395E-4</v>
      </c>
      <c r="N713" s="180">
        <f t="shared" si="46"/>
        <v>-1.4303456775144959E-3</v>
      </c>
      <c r="O713" s="180">
        <f t="shared" si="47"/>
        <v>6.2623750978496743E-3</v>
      </c>
    </row>
    <row r="714" spans="9:15" x14ac:dyDescent="0.35">
      <c r="I714" s="408" t="s">
        <v>914</v>
      </c>
      <c r="J714" s="409">
        <v>31321.1</v>
      </c>
      <c r="K714" s="407">
        <v>868.68</v>
      </c>
      <c r="L714" s="41">
        <f t="shared" si="48"/>
        <v>-1.4303456775144959E-3</v>
      </c>
      <c r="M714" s="41">
        <f t="shared" si="49"/>
        <v>6.2623750978496743E-3</v>
      </c>
      <c r="N714" s="180">
        <f t="shared" si="46"/>
        <v>-9.9162947134168941E-3</v>
      </c>
      <c r="O714" s="180">
        <f t="shared" si="47"/>
        <v>1.6261494185638384E-2</v>
      </c>
    </row>
    <row r="715" spans="9:15" x14ac:dyDescent="0.35">
      <c r="I715" s="408" t="s">
        <v>915</v>
      </c>
      <c r="J715" s="409">
        <v>31634.799999999999</v>
      </c>
      <c r="K715" s="407">
        <v>854.78</v>
      </c>
      <c r="L715" s="41">
        <f t="shared" si="48"/>
        <v>-9.9162947134168941E-3</v>
      </c>
      <c r="M715" s="41">
        <f t="shared" si="49"/>
        <v>1.6261494185638384E-2</v>
      </c>
      <c r="N715" s="180">
        <f t="shared" si="46"/>
        <v>1.4368304437468489E-2</v>
      </c>
      <c r="O715" s="180">
        <f t="shared" si="47"/>
        <v>7.7457233468126241E-3</v>
      </c>
    </row>
    <row r="716" spans="9:15" x14ac:dyDescent="0.35">
      <c r="I716" s="408" t="s">
        <v>916</v>
      </c>
      <c r="J716" s="409">
        <v>31186.7</v>
      </c>
      <c r="K716" s="407">
        <v>848.21</v>
      </c>
      <c r="L716" s="41">
        <f t="shared" si="48"/>
        <v>1.4368304437468489E-2</v>
      </c>
      <c r="M716" s="41">
        <f t="shared" si="49"/>
        <v>7.7457233468126241E-3</v>
      </c>
      <c r="N716" s="180">
        <f t="shared" si="46"/>
        <v>-1.1364645017308496E-2</v>
      </c>
      <c r="O716" s="180">
        <f t="shared" si="47"/>
        <v>-3.5243946852128146E-3</v>
      </c>
    </row>
    <row r="717" spans="9:15" x14ac:dyDescent="0.35">
      <c r="I717" s="408" t="s">
        <v>917</v>
      </c>
      <c r="J717" s="409">
        <v>31545.200000000001</v>
      </c>
      <c r="K717" s="407">
        <v>851.21</v>
      </c>
      <c r="L717" s="41">
        <f t="shared" si="48"/>
        <v>-1.1364645017308496E-2</v>
      </c>
      <c r="M717" s="41">
        <f t="shared" si="49"/>
        <v>-3.5243946852128146E-3</v>
      </c>
      <c r="N717" s="180">
        <f t="shared" si="46"/>
        <v>8.5975642898936718E-3</v>
      </c>
      <c r="O717" s="180">
        <f t="shared" si="47"/>
        <v>5.6472478527463425E-3</v>
      </c>
    </row>
    <row r="718" spans="9:15" x14ac:dyDescent="0.35">
      <c r="I718" s="408" t="s">
        <v>918</v>
      </c>
      <c r="J718" s="409">
        <v>31276.3</v>
      </c>
      <c r="K718" s="407">
        <v>846.43</v>
      </c>
      <c r="L718" s="41">
        <f t="shared" si="48"/>
        <v>8.5975642898936718E-3</v>
      </c>
      <c r="M718" s="41">
        <f t="shared" si="49"/>
        <v>5.6472478527463425E-3</v>
      </c>
      <c r="N718" s="180">
        <f t="shared" si="46"/>
        <v>0</v>
      </c>
      <c r="O718" s="180">
        <f t="shared" si="47"/>
        <v>-4.3756984061636504E-3</v>
      </c>
    </row>
    <row r="719" spans="9:15" x14ac:dyDescent="0.35">
      <c r="I719" s="408" t="s">
        <v>919</v>
      </c>
      <c r="J719" s="409">
        <v>31276.3</v>
      </c>
      <c r="K719" s="407">
        <v>850.15</v>
      </c>
      <c r="L719" s="41">
        <f t="shared" si="48"/>
        <v>0</v>
      </c>
      <c r="M719" s="41">
        <f t="shared" si="49"/>
        <v>-4.3756984061636504E-3</v>
      </c>
      <c r="N719" s="180">
        <f t="shared" si="46"/>
        <v>-1.4124774621427109E-2</v>
      </c>
      <c r="O719" s="180">
        <f t="shared" si="47"/>
        <v>-6.9351388203215064E-4</v>
      </c>
    </row>
    <row r="720" spans="9:15" x14ac:dyDescent="0.35">
      <c r="I720" s="408" t="s">
        <v>920</v>
      </c>
      <c r="J720" s="409">
        <v>31724.400000000001</v>
      </c>
      <c r="K720" s="407">
        <v>850.74</v>
      </c>
      <c r="L720" s="41">
        <f t="shared" si="48"/>
        <v>-1.4124774621427109E-2</v>
      </c>
      <c r="M720" s="41">
        <f t="shared" si="49"/>
        <v>-6.9351388203215064E-4</v>
      </c>
      <c r="N720" s="180">
        <f t="shared" si="46"/>
        <v>-4.2186146370860739E-3</v>
      </c>
      <c r="O720" s="180">
        <f t="shared" si="47"/>
        <v>-5.0406408981930242E-3</v>
      </c>
    </row>
    <row r="721" spans="9:15" x14ac:dyDescent="0.35">
      <c r="I721" s="408" t="s">
        <v>921</v>
      </c>
      <c r="J721" s="409">
        <v>31858.799999999999</v>
      </c>
      <c r="K721" s="407">
        <v>855.05</v>
      </c>
      <c r="L721" s="41">
        <f t="shared" si="48"/>
        <v>-4.2186146370860739E-3</v>
      </c>
      <c r="M721" s="41">
        <f t="shared" si="49"/>
        <v>-5.0406408981930242E-3</v>
      </c>
      <c r="N721" s="180">
        <f t="shared" si="46"/>
        <v>-1.2500736157906624E-2</v>
      </c>
      <c r="O721" s="180">
        <f t="shared" si="47"/>
        <v>9.5994899164029614E-3</v>
      </c>
    </row>
    <row r="722" spans="9:15" x14ac:dyDescent="0.35">
      <c r="I722" s="408">
        <v>44173</v>
      </c>
      <c r="J722" s="409">
        <v>32262.1</v>
      </c>
      <c r="K722" s="407">
        <v>846.92</v>
      </c>
      <c r="L722" s="41">
        <f t="shared" si="48"/>
        <v>-1.2500736157906624E-2</v>
      </c>
      <c r="M722" s="41">
        <f t="shared" si="49"/>
        <v>9.5994899164029614E-3</v>
      </c>
      <c r="N722" s="180">
        <f t="shared" si="46"/>
        <v>6.0381265406737834E-2</v>
      </c>
      <c r="O722" s="180">
        <f t="shared" si="47"/>
        <v>4.5547279024528136E-3</v>
      </c>
    </row>
    <row r="723" spans="9:15" x14ac:dyDescent="0.35">
      <c r="I723" s="408">
        <v>44143</v>
      </c>
      <c r="J723" s="409">
        <v>30425</v>
      </c>
      <c r="K723" s="407">
        <v>843.08</v>
      </c>
      <c r="L723" s="41">
        <f t="shared" si="48"/>
        <v>6.0381265406737834E-2</v>
      </c>
      <c r="M723" s="41">
        <f t="shared" si="49"/>
        <v>4.5547279024528136E-3</v>
      </c>
      <c r="N723" s="180">
        <f t="shared" si="46"/>
        <v>-5.8554054672234762E-3</v>
      </c>
      <c r="O723" s="180">
        <f t="shared" si="47"/>
        <v>-1.4231499051233935E-4</v>
      </c>
    </row>
    <row r="724" spans="9:15" x14ac:dyDescent="0.35">
      <c r="I724" s="408">
        <v>44112</v>
      </c>
      <c r="J724" s="409">
        <v>30604.2</v>
      </c>
      <c r="K724" s="407">
        <v>843.2</v>
      </c>
      <c r="L724" s="41">
        <f t="shared" si="48"/>
        <v>-5.8554054672234762E-3</v>
      </c>
      <c r="M724" s="41">
        <f t="shared" si="49"/>
        <v>-1.4231499051233935E-4</v>
      </c>
      <c r="N724" s="180">
        <f t="shared" si="46"/>
        <v>5.8898931799507221E-3</v>
      </c>
      <c r="O724" s="180">
        <f t="shared" si="47"/>
        <v>2.0678344781689078E-3</v>
      </c>
    </row>
    <row r="725" spans="9:15" x14ac:dyDescent="0.35">
      <c r="I725" s="408">
        <v>44020</v>
      </c>
      <c r="J725" s="409">
        <v>30425</v>
      </c>
      <c r="K725" s="407">
        <v>841.46</v>
      </c>
      <c r="L725" s="41">
        <f t="shared" si="48"/>
        <v>5.8898931799507221E-3</v>
      </c>
      <c r="M725" s="41">
        <f t="shared" si="49"/>
        <v>2.0678344781689078E-3</v>
      </c>
      <c r="N725" s="180">
        <f t="shared" si="46"/>
        <v>-1.4703083052727381E-3</v>
      </c>
      <c r="O725" s="180">
        <f t="shared" si="47"/>
        <v>1.6903956954431609E-3</v>
      </c>
    </row>
    <row r="726" spans="9:15" x14ac:dyDescent="0.35">
      <c r="I726" s="408">
        <v>43990</v>
      </c>
      <c r="J726" s="409">
        <v>30469.8</v>
      </c>
      <c r="K726" s="407">
        <v>840.04</v>
      </c>
      <c r="L726" s="41">
        <f t="shared" si="48"/>
        <v>-1.4703083052727381E-3</v>
      </c>
      <c r="M726" s="41">
        <f t="shared" si="49"/>
        <v>1.6903956954431609E-3</v>
      </c>
      <c r="N726" s="180">
        <f t="shared" si="46"/>
        <v>0</v>
      </c>
      <c r="O726" s="180">
        <f t="shared" si="47"/>
        <v>2.6736691334447471E-3</v>
      </c>
    </row>
    <row r="727" spans="9:15" x14ac:dyDescent="0.35">
      <c r="I727" s="408">
        <v>43959</v>
      </c>
      <c r="J727" s="409">
        <v>30469.8</v>
      </c>
      <c r="K727" s="407">
        <v>837.8</v>
      </c>
      <c r="L727" s="41">
        <f t="shared" si="48"/>
        <v>0</v>
      </c>
      <c r="M727" s="41">
        <f t="shared" si="49"/>
        <v>2.6736691334447471E-3</v>
      </c>
      <c r="N727" s="180">
        <f t="shared" si="46"/>
        <v>0</v>
      </c>
      <c r="O727" s="180">
        <f t="shared" si="47"/>
        <v>1.2361492079219768E-2</v>
      </c>
    </row>
    <row r="728" spans="9:15" x14ac:dyDescent="0.35">
      <c r="I728" s="408">
        <v>43929</v>
      </c>
      <c r="J728" s="409">
        <v>30469.8</v>
      </c>
      <c r="K728" s="407">
        <v>827.57</v>
      </c>
      <c r="L728" s="41">
        <f t="shared" si="48"/>
        <v>0</v>
      </c>
      <c r="M728" s="41">
        <f t="shared" si="49"/>
        <v>1.2361492079219768E-2</v>
      </c>
      <c r="N728" s="180">
        <f t="shared" si="46"/>
        <v>1.4925870287158907E-2</v>
      </c>
      <c r="O728" s="180">
        <f t="shared" si="47"/>
        <v>1.5859571595163657E-2</v>
      </c>
    </row>
    <row r="729" spans="9:15" x14ac:dyDescent="0.35">
      <c r="I729" s="408">
        <v>43898</v>
      </c>
      <c r="J729" s="409">
        <v>30021.7</v>
      </c>
      <c r="K729" s="407">
        <v>814.65</v>
      </c>
      <c r="L729" s="41">
        <f t="shared" si="48"/>
        <v>1.4925870287158907E-2</v>
      </c>
      <c r="M729" s="41">
        <f t="shared" si="49"/>
        <v>1.5859571595163657E-2</v>
      </c>
      <c r="N729" s="180">
        <f t="shared" si="46"/>
        <v>1.0559445267268101E-2</v>
      </c>
      <c r="O729" s="180">
        <f t="shared" si="47"/>
        <v>2.0365986547927692E-2</v>
      </c>
    </row>
    <row r="730" spans="9:15" x14ac:dyDescent="0.35">
      <c r="I730" s="408" t="s">
        <v>922</v>
      </c>
      <c r="J730" s="409">
        <v>29708</v>
      </c>
      <c r="K730" s="407">
        <v>798.39</v>
      </c>
      <c r="L730" s="41">
        <f t="shared" si="48"/>
        <v>1.0559445267268101E-2</v>
      </c>
      <c r="M730" s="41">
        <f t="shared" si="49"/>
        <v>2.0365986547927692E-2</v>
      </c>
      <c r="N730" s="180">
        <f t="shared" si="46"/>
        <v>-1.4859348523184317E-2</v>
      </c>
      <c r="O730" s="180">
        <f t="shared" si="47"/>
        <v>-3.4201690112715902E-3</v>
      </c>
    </row>
    <row r="731" spans="9:15" x14ac:dyDescent="0.35">
      <c r="I731" s="408" t="s">
        <v>923</v>
      </c>
      <c r="J731" s="409">
        <v>30156.1</v>
      </c>
      <c r="K731" s="407">
        <v>801.13</v>
      </c>
      <c r="L731" s="41">
        <f t="shared" si="48"/>
        <v>-1.4859348523184317E-2</v>
      </c>
      <c r="M731" s="41">
        <f t="shared" si="49"/>
        <v>-3.4201690112715902E-3</v>
      </c>
      <c r="N731" s="180">
        <f t="shared" si="46"/>
        <v>2.9800608650823522E-3</v>
      </c>
      <c r="O731" s="180">
        <f t="shared" si="47"/>
        <v>1.3011481462748423E-2</v>
      </c>
    </row>
    <row r="732" spans="9:15" x14ac:dyDescent="0.35">
      <c r="I732" s="408" t="s">
        <v>924</v>
      </c>
      <c r="J732" s="409">
        <v>30066.5</v>
      </c>
      <c r="K732" s="407">
        <v>790.84</v>
      </c>
      <c r="L732" s="41">
        <f t="shared" si="48"/>
        <v>2.9800608650823522E-3</v>
      </c>
      <c r="M732" s="41">
        <f t="shared" si="49"/>
        <v>1.3011481462748423E-2</v>
      </c>
      <c r="N732" s="180">
        <f t="shared" si="46"/>
        <v>-2.1865016624049195E-2</v>
      </c>
      <c r="O732" s="180">
        <f t="shared" si="47"/>
        <v>-2.7687616799449175E-2</v>
      </c>
    </row>
    <row r="733" spans="9:15" x14ac:dyDescent="0.35">
      <c r="I733" s="408" t="s">
        <v>925</v>
      </c>
      <c r="J733" s="409">
        <v>30738.6</v>
      </c>
      <c r="K733" s="407">
        <v>813.36</v>
      </c>
      <c r="L733" s="41">
        <f t="shared" si="48"/>
        <v>-2.1865016624049195E-2</v>
      </c>
      <c r="M733" s="41">
        <f t="shared" si="49"/>
        <v>-2.7687616799449175E-2</v>
      </c>
      <c r="N733" s="180">
        <f t="shared" si="46"/>
        <v>5.3763588307285129E-2</v>
      </c>
      <c r="O733" s="180">
        <f t="shared" si="47"/>
        <v>3.5903052842059753E-2</v>
      </c>
    </row>
    <row r="734" spans="9:15" x14ac:dyDescent="0.35">
      <c r="I734" s="408" t="s">
        <v>926</v>
      </c>
      <c r="J734" s="409">
        <v>29170.3</v>
      </c>
      <c r="K734" s="407">
        <v>785.17</v>
      </c>
      <c r="L734" s="41">
        <f t="shared" si="48"/>
        <v>5.3763588307285129E-2</v>
      </c>
      <c r="M734" s="41">
        <f t="shared" si="49"/>
        <v>3.5903052842059753E-2</v>
      </c>
      <c r="N734" s="180">
        <f t="shared" si="46"/>
        <v>-6.9999585537159847E-2</v>
      </c>
      <c r="O734" s="180">
        <f t="shared" si="47"/>
        <v>-5.3053692894013231E-2</v>
      </c>
    </row>
    <row r="735" spans="9:15" x14ac:dyDescent="0.35">
      <c r="I735" s="408" t="s">
        <v>927</v>
      </c>
      <c r="J735" s="409">
        <v>31365.9</v>
      </c>
      <c r="K735" s="407">
        <v>829.16</v>
      </c>
      <c r="L735" s="41">
        <f t="shared" si="48"/>
        <v>-6.9999585537159847E-2</v>
      </c>
      <c r="M735" s="41">
        <f t="shared" si="49"/>
        <v>-5.3053692894013231E-2</v>
      </c>
      <c r="N735" s="180">
        <f t="shared" si="46"/>
        <v>-6.4207291604510969E-2</v>
      </c>
      <c r="O735" s="180">
        <f t="shared" si="47"/>
        <v>-3.2203093084330357E-2</v>
      </c>
    </row>
    <row r="736" spans="9:15" x14ac:dyDescent="0.35">
      <c r="I736" s="408" t="s">
        <v>928</v>
      </c>
      <c r="J736" s="409">
        <v>33518</v>
      </c>
      <c r="K736" s="407">
        <v>856.75</v>
      </c>
      <c r="L736" s="41">
        <f t="shared" si="48"/>
        <v>-6.4207291604510969E-2</v>
      </c>
      <c r="M736" s="41">
        <f t="shared" si="49"/>
        <v>-3.2203093084330357E-2</v>
      </c>
      <c r="N736" s="180">
        <f t="shared" si="46"/>
        <v>7.7722154572377813E-3</v>
      </c>
      <c r="O736" s="180">
        <f t="shared" si="47"/>
        <v>1.9530336342797854E-3</v>
      </c>
    </row>
    <row r="737" spans="9:15" x14ac:dyDescent="0.35">
      <c r="I737" s="408" t="s">
        <v>929</v>
      </c>
      <c r="J737" s="409">
        <v>33259.5</v>
      </c>
      <c r="K737" s="407">
        <v>855.08</v>
      </c>
      <c r="L737" s="41">
        <f t="shared" si="48"/>
        <v>7.7722154572377813E-3</v>
      </c>
      <c r="M737" s="41">
        <f t="shared" si="49"/>
        <v>1.9530336342797854E-3</v>
      </c>
      <c r="N737" s="180">
        <f t="shared" si="46"/>
        <v>-2.1546309561983928E-2</v>
      </c>
      <c r="O737" s="180">
        <f t="shared" si="47"/>
        <v>-7.6709721593612706E-3</v>
      </c>
    </row>
    <row r="738" spans="9:15" x14ac:dyDescent="0.35">
      <c r="I738" s="408" t="s">
        <v>930</v>
      </c>
      <c r="J738" s="409">
        <v>33991.9</v>
      </c>
      <c r="K738" s="407">
        <v>861.69</v>
      </c>
      <c r="L738" s="41">
        <f t="shared" si="48"/>
        <v>-2.1546309561983928E-2</v>
      </c>
      <c r="M738" s="41">
        <f t="shared" si="49"/>
        <v>-7.6709721593612706E-3</v>
      </c>
      <c r="N738" s="180">
        <f t="shared" ref="N738:N801" si="50">(J738-J739)/J739</f>
        <v>0</v>
      </c>
      <c r="O738" s="180">
        <f t="shared" si="47"/>
        <v>3.3666124912941413E-4</v>
      </c>
    </row>
    <row r="739" spans="9:15" x14ac:dyDescent="0.35">
      <c r="I739" s="408" t="s">
        <v>931</v>
      </c>
      <c r="J739" s="409">
        <v>33991.9</v>
      </c>
      <c r="K739" s="407">
        <v>861.4</v>
      </c>
      <c r="L739" s="41">
        <f t="shared" si="48"/>
        <v>0</v>
      </c>
      <c r="M739" s="41">
        <f t="shared" si="49"/>
        <v>3.3666124912941413E-4</v>
      </c>
      <c r="N739" s="180">
        <f t="shared" si="50"/>
        <v>-1.1279912273812618E-2</v>
      </c>
      <c r="O739" s="180">
        <f t="shared" si="47"/>
        <v>-1.217861975642761E-2</v>
      </c>
    </row>
    <row r="740" spans="9:15" x14ac:dyDescent="0.35">
      <c r="I740" s="408" t="s">
        <v>932</v>
      </c>
      <c r="J740" s="409">
        <v>34379.699999999997</v>
      </c>
      <c r="K740" s="407">
        <v>872.02</v>
      </c>
      <c r="L740" s="41">
        <f t="shared" si="48"/>
        <v>-1.1279912273812618E-2</v>
      </c>
      <c r="M740" s="41">
        <f t="shared" si="49"/>
        <v>-1.217861975642761E-2</v>
      </c>
      <c r="N740" s="180">
        <f t="shared" si="50"/>
        <v>2.5135958709375564E-3</v>
      </c>
      <c r="O740" s="180">
        <f t="shared" si="47"/>
        <v>-5.4856699702337496E-3</v>
      </c>
    </row>
    <row r="741" spans="9:15" x14ac:dyDescent="0.35">
      <c r="I741" s="408" t="s">
        <v>933</v>
      </c>
      <c r="J741" s="409">
        <v>34293.5</v>
      </c>
      <c r="K741" s="407">
        <v>876.83</v>
      </c>
      <c r="L741" s="41">
        <f t="shared" si="48"/>
        <v>2.5135958709375564E-3</v>
      </c>
      <c r="M741" s="41">
        <f t="shared" si="49"/>
        <v>-5.4856699702337496E-3</v>
      </c>
      <c r="N741" s="180">
        <f t="shared" si="50"/>
        <v>1.9205107096260235E-2</v>
      </c>
      <c r="O741" s="180">
        <f t="shared" si="47"/>
        <v>7.9548459035993068E-3</v>
      </c>
    </row>
    <row r="742" spans="9:15" x14ac:dyDescent="0.35">
      <c r="I742" s="408" t="s">
        <v>934</v>
      </c>
      <c r="J742" s="409">
        <v>33647.300000000003</v>
      </c>
      <c r="K742" s="407">
        <v>869.91</v>
      </c>
      <c r="L742" s="41">
        <f t="shared" si="48"/>
        <v>1.9205107096260235E-2</v>
      </c>
      <c r="M742" s="41">
        <f t="shared" si="49"/>
        <v>7.9548459035993068E-3</v>
      </c>
      <c r="N742" s="180">
        <f t="shared" si="50"/>
        <v>-1.1391214925811579E-2</v>
      </c>
      <c r="O742" s="180">
        <f t="shared" ref="O742:O805" si="51">(K742-K743)/K743</f>
        <v>2.0734699519645602E-3</v>
      </c>
    </row>
    <row r="743" spans="9:15" x14ac:dyDescent="0.35">
      <c r="I743" s="408" t="s">
        <v>935</v>
      </c>
      <c r="J743" s="409">
        <v>34035</v>
      </c>
      <c r="K743" s="407">
        <v>868.11</v>
      </c>
      <c r="L743" s="41">
        <f t="shared" si="48"/>
        <v>-1.1391214925811579E-2</v>
      </c>
      <c r="M743" s="41">
        <f t="shared" si="49"/>
        <v>2.0734699519645602E-3</v>
      </c>
      <c r="N743" s="180">
        <f t="shared" si="50"/>
        <v>5.3333622186390664E-2</v>
      </c>
      <c r="O743" s="180">
        <f t="shared" si="51"/>
        <v>-7.0218252141082704E-4</v>
      </c>
    </row>
    <row r="744" spans="9:15" x14ac:dyDescent="0.35">
      <c r="I744" s="408" t="s">
        <v>936</v>
      </c>
      <c r="J744" s="409">
        <v>32311.7</v>
      </c>
      <c r="K744" s="407">
        <v>868.72</v>
      </c>
      <c r="L744" s="41">
        <f t="shared" si="48"/>
        <v>5.3333622186390664E-2</v>
      </c>
      <c r="M744" s="41">
        <f t="shared" si="49"/>
        <v>-7.0218252141082704E-4</v>
      </c>
      <c r="N744" s="180">
        <f t="shared" si="50"/>
        <v>3.0219456126310797E-2</v>
      </c>
      <c r="O744" s="180">
        <f t="shared" si="51"/>
        <v>-2.8580939153591087E-3</v>
      </c>
    </row>
    <row r="745" spans="9:15" x14ac:dyDescent="0.35">
      <c r="I745" s="408">
        <v>44111</v>
      </c>
      <c r="J745" s="409">
        <v>31363.9</v>
      </c>
      <c r="K745" s="407">
        <v>871.21</v>
      </c>
      <c r="L745" s="41">
        <f t="shared" si="48"/>
        <v>3.0219456126310797E-2</v>
      </c>
      <c r="M745" s="41">
        <f t="shared" si="49"/>
        <v>-2.8580939153591087E-3</v>
      </c>
      <c r="N745" s="180">
        <f t="shared" si="50"/>
        <v>-9.5245614312105768E-3</v>
      </c>
      <c r="O745" s="180">
        <f t="shared" si="51"/>
        <v>-5.9900052483855505E-3</v>
      </c>
    </row>
    <row r="746" spans="9:15" x14ac:dyDescent="0.35">
      <c r="I746" s="408">
        <v>44081</v>
      </c>
      <c r="J746" s="409">
        <v>31665.5</v>
      </c>
      <c r="K746" s="407">
        <v>876.46</v>
      </c>
      <c r="L746" s="41">
        <f t="shared" si="48"/>
        <v>-9.5245614312105768E-3</v>
      </c>
      <c r="M746" s="41">
        <f t="shared" si="49"/>
        <v>-5.9900052483855505E-3</v>
      </c>
      <c r="N746" s="180">
        <f t="shared" si="50"/>
        <v>-0.13126200274348424</v>
      </c>
      <c r="O746" s="180">
        <f t="shared" si="51"/>
        <v>1.3834586466165456E-2</v>
      </c>
    </row>
    <row r="747" spans="9:15" x14ac:dyDescent="0.35">
      <c r="I747" s="408">
        <v>44050</v>
      </c>
      <c r="J747" s="409">
        <v>36450</v>
      </c>
      <c r="K747" s="407">
        <v>864.5</v>
      </c>
      <c r="L747" s="41">
        <f t="shared" si="48"/>
        <v>-0.13126200274348424</v>
      </c>
      <c r="M747" s="41">
        <f t="shared" si="49"/>
        <v>1.3834586466165456E-2</v>
      </c>
      <c r="N747" s="180">
        <f t="shared" si="50"/>
        <v>2.3876404494382022E-2</v>
      </c>
      <c r="O747" s="180">
        <f t="shared" si="51"/>
        <v>1.2508396840472088E-3</v>
      </c>
    </row>
    <row r="748" spans="9:15" x14ac:dyDescent="0.35">
      <c r="I748" s="408">
        <v>44019</v>
      </c>
      <c r="J748" s="409">
        <v>35600</v>
      </c>
      <c r="K748" s="407">
        <v>863.42</v>
      </c>
      <c r="L748" s="41">
        <f t="shared" si="48"/>
        <v>2.3876404494382022E-2</v>
      </c>
      <c r="M748" s="41">
        <f t="shared" si="49"/>
        <v>1.2508396840472088E-3</v>
      </c>
      <c r="N748" s="180">
        <f t="shared" si="50"/>
        <v>1.4064697609001407E-3</v>
      </c>
      <c r="O748" s="180">
        <f t="shared" si="51"/>
        <v>2.6243671327047134E-3</v>
      </c>
    </row>
    <row r="749" spans="9:15" x14ac:dyDescent="0.35">
      <c r="I749" s="408">
        <v>43989</v>
      </c>
      <c r="J749" s="409">
        <v>35550</v>
      </c>
      <c r="K749" s="407">
        <v>861.16</v>
      </c>
      <c r="L749" s="41">
        <f t="shared" si="48"/>
        <v>1.4064697609001407E-3</v>
      </c>
      <c r="M749" s="41">
        <f t="shared" si="49"/>
        <v>2.6243671327047134E-3</v>
      </c>
      <c r="N749" s="180">
        <f t="shared" si="50"/>
        <v>-6.9832402234636867E-3</v>
      </c>
      <c r="O749" s="180">
        <f t="shared" si="51"/>
        <v>1.5986125694600058E-2</v>
      </c>
    </row>
    <row r="750" spans="9:15" x14ac:dyDescent="0.35">
      <c r="I750" s="408">
        <v>43897</v>
      </c>
      <c r="J750" s="409">
        <v>35800</v>
      </c>
      <c r="K750" s="407">
        <v>847.61</v>
      </c>
      <c r="L750" s="41">
        <f t="shared" si="48"/>
        <v>-6.9832402234636867E-3</v>
      </c>
      <c r="M750" s="41">
        <f t="shared" si="49"/>
        <v>1.5986125694600058E-2</v>
      </c>
      <c r="N750" s="180">
        <f t="shared" si="50"/>
        <v>-5.5555555555555558E-3</v>
      </c>
      <c r="O750" s="180">
        <f t="shared" si="51"/>
        <v>6.208599444431276E-3</v>
      </c>
    </row>
    <row r="751" spans="9:15" x14ac:dyDescent="0.35">
      <c r="I751" s="408">
        <v>43868</v>
      </c>
      <c r="J751" s="409">
        <v>36000</v>
      </c>
      <c r="K751" s="407">
        <v>842.38</v>
      </c>
      <c r="L751" s="41">
        <f t="shared" si="48"/>
        <v>-5.5555555555555558E-3</v>
      </c>
      <c r="M751" s="41">
        <f t="shared" si="49"/>
        <v>6.208599444431276E-3</v>
      </c>
      <c r="N751" s="180">
        <f t="shared" si="50"/>
        <v>1.4084507042253521E-2</v>
      </c>
      <c r="O751" s="180">
        <f t="shared" si="51"/>
        <v>-1.3159610665212553E-3</v>
      </c>
    </row>
    <row r="752" spans="9:15" x14ac:dyDescent="0.35">
      <c r="I752" s="408">
        <v>43837</v>
      </c>
      <c r="J752" s="409">
        <v>35500</v>
      </c>
      <c r="K752" s="407">
        <v>843.49</v>
      </c>
      <c r="L752" s="41">
        <f t="shared" si="48"/>
        <v>1.4084507042253521E-2</v>
      </c>
      <c r="M752" s="41">
        <f t="shared" si="49"/>
        <v>-1.3159610665212553E-3</v>
      </c>
      <c r="N752" s="180">
        <f t="shared" si="50"/>
        <v>-1.1142061281337047E-2</v>
      </c>
      <c r="O752" s="180">
        <f t="shared" si="51"/>
        <v>2.2275817769751904E-2</v>
      </c>
    </row>
    <row r="753" spans="9:15" x14ac:dyDescent="0.35">
      <c r="I753" s="408" t="s">
        <v>937</v>
      </c>
      <c r="J753" s="409">
        <v>35900</v>
      </c>
      <c r="K753" s="407">
        <v>825.11</v>
      </c>
      <c r="L753" s="41">
        <f t="shared" si="48"/>
        <v>-1.1142061281337047E-2</v>
      </c>
      <c r="M753" s="41">
        <f t="shared" si="49"/>
        <v>2.2275817769751904E-2</v>
      </c>
      <c r="N753" s="180">
        <f t="shared" si="50"/>
        <v>6.6864784546805348E-2</v>
      </c>
      <c r="O753" s="180">
        <f t="shared" si="51"/>
        <v>-5.1244332979646957E-3</v>
      </c>
    </row>
    <row r="754" spans="9:15" x14ac:dyDescent="0.35">
      <c r="I754" s="408" t="s">
        <v>938</v>
      </c>
      <c r="J754" s="409">
        <v>33650</v>
      </c>
      <c r="K754" s="407">
        <v>829.36</v>
      </c>
      <c r="L754" s="41">
        <f t="shared" si="48"/>
        <v>6.6864784546805348E-2</v>
      </c>
      <c r="M754" s="41">
        <f t="shared" si="49"/>
        <v>-5.1244332979646957E-3</v>
      </c>
      <c r="N754" s="180">
        <f t="shared" si="50"/>
        <v>-1.3196480938416423E-2</v>
      </c>
      <c r="O754" s="180">
        <f t="shared" si="51"/>
        <v>-2.6549919012183388E-2</v>
      </c>
    </row>
    <row r="755" spans="9:15" x14ac:dyDescent="0.35">
      <c r="I755" s="408" t="s">
        <v>939</v>
      </c>
      <c r="J755" s="409">
        <v>34100</v>
      </c>
      <c r="K755" s="407">
        <v>851.98</v>
      </c>
      <c r="L755" s="41">
        <f t="shared" si="48"/>
        <v>-1.3196480938416423E-2</v>
      </c>
      <c r="M755" s="41">
        <f t="shared" si="49"/>
        <v>-2.6549919012183388E-2</v>
      </c>
      <c r="N755" s="180">
        <f t="shared" si="50"/>
        <v>1.7910447761194031E-2</v>
      </c>
      <c r="O755" s="180">
        <f t="shared" si="51"/>
        <v>-3.0540961162662957E-3</v>
      </c>
    </row>
    <row r="756" spans="9:15" x14ac:dyDescent="0.35">
      <c r="I756" s="408" t="s">
        <v>940</v>
      </c>
      <c r="J756" s="409">
        <v>33500</v>
      </c>
      <c r="K756" s="407">
        <v>854.59</v>
      </c>
      <c r="L756" s="41">
        <f t="shared" si="48"/>
        <v>1.7910447761194031E-2</v>
      </c>
      <c r="M756" s="41">
        <f t="shared" si="49"/>
        <v>-3.0540961162662957E-3</v>
      </c>
      <c r="N756" s="180">
        <f t="shared" si="50"/>
        <v>1.4947683109118087E-3</v>
      </c>
      <c r="O756" s="180">
        <f t="shared" si="51"/>
        <v>-5.9554966209535822E-3</v>
      </c>
    </row>
    <row r="757" spans="9:15" x14ac:dyDescent="0.35">
      <c r="I757" s="408" t="s">
        <v>941</v>
      </c>
      <c r="J757" s="409">
        <v>33450</v>
      </c>
      <c r="K757" s="407">
        <v>859.71</v>
      </c>
      <c r="L757" s="41">
        <f t="shared" si="48"/>
        <v>1.4947683109118087E-3</v>
      </c>
      <c r="M757" s="41">
        <f t="shared" si="49"/>
        <v>-5.9554966209535822E-3</v>
      </c>
      <c r="N757" s="180">
        <f t="shared" si="50"/>
        <v>4.5045045045045045E-3</v>
      </c>
      <c r="O757" s="180">
        <f t="shared" si="51"/>
        <v>-9.7788527988942747E-3</v>
      </c>
    </row>
    <row r="758" spans="9:15" x14ac:dyDescent="0.35">
      <c r="I758" s="408" t="s">
        <v>942</v>
      </c>
      <c r="J758" s="409">
        <v>33300</v>
      </c>
      <c r="K758" s="407">
        <v>868.2</v>
      </c>
      <c r="L758" s="41">
        <f t="shared" si="48"/>
        <v>4.5045045045045045E-3</v>
      </c>
      <c r="M758" s="41">
        <f t="shared" si="49"/>
        <v>-9.7788527988942747E-3</v>
      </c>
      <c r="N758" s="180">
        <f t="shared" si="50"/>
        <v>-5.9701492537313433E-3</v>
      </c>
      <c r="O758" s="180">
        <f t="shared" si="51"/>
        <v>-3.5350289229638316E-3</v>
      </c>
    </row>
    <row r="759" spans="9:15" x14ac:dyDescent="0.35">
      <c r="I759" s="408" t="s">
        <v>943</v>
      </c>
      <c r="J759" s="409">
        <v>33500</v>
      </c>
      <c r="K759" s="407">
        <v>871.28</v>
      </c>
      <c r="L759" s="41">
        <f t="shared" si="48"/>
        <v>-5.9701492537313433E-3</v>
      </c>
      <c r="M759" s="41">
        <f t="shared" si="49"/>
        <v>-3.5350289229638316E-3</v>
      </c>
      <c r="N759" s="180">
        <f t="shared" si="50"/>
        <v>6.006006006006006E-3</v>
      </c>
      <c r="O759" s="180">
        <f t="shared" si="51"/>
        <v>3.1316201528967802E-3</v>
      </c>
    </row>
    <row r="760" spans="9:15" x14ac:dyDescent="0.35">
      <c r="I760" s="408" t="s">
        <v>944</v>
      </c>
      <c r="J760" s="409">
        <v>33300</v>
      </c>
      <c r="K760" s="407">
        <v>868.56</v>
      </c>
      <c r="L760" s="41">
        <f t="shared" si="48"/>
        <v>6.006006006006006E-3</v>
      </c>
      <c r="M760" s="41">
        <f t="shared" si="49"/>
        <v>3.1316201528967802E-3</v>
      </c>
      <c r="N760" s="180">
        <f t="shared" si="50"/>
        <v>2.7777777777777776E-2</v>
      </c>
      <c r="O760" s="180">
        <f t="shared" si="51"/>
        <v>1.553895261145599E-2</v>
      </c>
    </row>
    <row r="761" spans="9:15" x14ac:dyDescent="0.35">
      <c r="I761" s="408" t="s">
        <v>945</v>
      </c>
      <c r="J761" s="409">
        <v>32400</v>
      </c>
      <c r="K761" s="407">
        <v>855.27</v>
      </c>
      <c r="L761" s="41">
        <f t="shared" si="48"/>
        <v>2.7777777777777776E-2</v>
      </c>
      <c r="M761" s="41">
        <f t="shared" si="49"/>
        <v>1.553895261145599E-2</v>
      </c>
      <c r="N761" s="180">
        <f t="shared" si="50"/>
        <v>2.3696682464454975E-2</v>
      </c>
      <c r="O761" s="180">
        <f t="shared" si="51"/>
        <v>9.7139647020262068E-4</v>
      </c>
    </row>
    <row r="762" spans="9:15" x14ac:dyDescent="0.35">
      <c r="I762" s="408" t="s">
        <v>946</v>
      </c>
      <c r="J762" s="409">
        <v>31650</v>
      </c>
      <c r="K762" s="407">
        <v>854.44</v>
      </c>
      <c r="L762" s="41">
        <f t="shared" si="48"/>
        <v>2.3696682464454975E-2</v>
      </c>
      <c r="M762" s="41">
        <f t="shared" si="49"/>
        <v>9.7139647020262068E-4</v>
      </c>
      <c r="N762" s="180">
        <f t="shared" si="50"/>
        <v>-4.7169811320754715E-3</v>
      </c>
      <c r="O762" s="180">
        <f t="shared" si="51"/>
        <v>-1.9739992758108474E-3</v>
      </c>
    </row>
    <row r="763" spans="9:15" x14ac:dyDescent="0.35">
      <c r="I763" s="408" t="s">
        <v>947</v>
      </c>
      <c r="J763" s="409">
        <v>31800</v>
      </c>
      <c r="K763" s="407">
        <v>856.13</v>
      </c>
      <c r="L763" s="41">
        <f t="shared" si="48"/>
        <v>-4.7169811320754715E-3</v>
      </c>
      <c r="M763" s="41">
        <f t="shared" si="49"/>
        <v>-1.9739992758108474E-3</v>
      </c>
      <c r="N763" s="180">
        <f t="shared" si="50"/>
        <v>4.7393364928909956E-3</v>
      </c>
      <c r="O763" s="180">
        <f t="shared" si="51"/>
        <v>2.8421444616622781E-2</v>
      </c>
    </row>
    <row r="764" spans="9:15" x14ac:dyDescent="0.35">
      <c r="I764" s="408" t="s">
        <v>948</v>
      </c>
      <c r="J764" s="409">
        <v>31650</v>
      </c>
      <c r="K764" s="407">
        <v>832.47</v>
      </c>
      <c r="L764" s="41">
        <f t="shared" si="48"/>
        <v>4.7393364928909956E-3</v>
      </c>
      <c r="M764" s="41">
        <f t="shared" si="49"/>
        <v>2.8421444616622781E-2</v>
      </c>
      <c r="N764" s="180">
        <f t="shared" si="50"/>
        <v>-1.0937499999999999E-2</v>
      </c>
      <c r="O764" s="180">
        <f t="shared" si="51"/>
        <v>-3.5957476375764262E-2</v>
      </c>
    </row>
    <row r="765" spans="9:15" x14ac:dyDescent="0.35">
      <c r="I765" s="408">
        <v>44171</v>
      </c>
      <c r="J765" s="409">
        <v>32000</v>
      </c>
      <c r="K765" s="407">
        <v>863.52</v>
      </c>
      <c r="L765" s="41">
        <f t="shared" si="48"/>
        <v>-1.0937499999999999E-2</v>
      </c>
      <c r="M765" s="41">
        <f t="shared" si="49"/>
        <v>-3.5957476375764262E-2</v>
      </c>
      <c r="N765" s="180">
        <f t="shared" si="50"/>
        <v>-2.7355623100303952E-2</v>
      </c>
      <c r="O765" s="180">
        <f t="shared" si="51"/>
        <v>-4.4387055120652351E-3</v>
      </c>
    </row>
    <row r="766" spans="9:15" x14ac:dyDescent="0.35">
      <c r="I766" s="408">
        <v>44141</v>
      </c>
      <c r="J766" s="409">
        <v>32900</v>
      </c>
      <c r="K766" s="407">
        <v>867.37</v>
      </c>
      <c r="L766" s="41">
        <f t="shared" si="48"/>
        <v>-2.7355623100303952E-2</v>
      </c>
      <c r="M766" s="41">
        <f t="shared" si="49"/>
        <v>-4.4387055120652351E-3</v>
      </c>
      <c r="N766" s="180">
        <f t="shared" si="50"/>
        <v>-2.0833333333333332E-2</v>
      </c>
      <c r="O766" s="180">
        <f t="shared" si="51"/>
        <v>-3.6255555555555548E-2</v>
      </c>
    </row>
    <row r="767" spans="9:15" x14ac:dyDescent="0.35">
      <c r="I767" s="408">
        <v>44110</v>
      </c>
      <c r="J767" s="409">
        <v>33600</v>
      </c>
      <c r="K767" s="407">
        <v>900</v>
      </c>
      <c r="L767" s="41">
        <f t="shared" si="48"/>
        <v>-2.0833333333333332E-2</v>
      </c>
      <c r="M767" s="41">
        <f t="shared" si="49"/>
        <v>-3.6255555555555548E-2</v>
      </c>
      <c r="N767" s="180">
        <f t="shared" si="50"/>
        <v>-5.9171597633136093E-3</v>
      </c>
      <c r="O767" s="180">
        <f t="shared" si="51"/>
        <v>6.3373469864252919E-4</v>
      </c>
    </row>
    <row r="768" spans="9:15" x14ac:dyDescent="0.35">
      <c r="I768" s="408">
        <v>44080</v>
      </c>
      <c r="J768" s="409">
        <v>33800</v>
      </c>
      <c r="K768" s="407">
        <v>899.43</v>
      </c>
      <c r="L768" s="41">
        <f t="shared" si="48"/>
        <v>-5.9171597633136093E-3</v>
      </c>
      <c r="M768" s="41">
        <f t="shared" si="49"/>
        <v>6.3373469864252919E-4</v>
      </c>
      <c r="N768" s="180">
        <f t="shared" si="50"/>
        <v>5.9523809523809521E-3</v>
      </c>
      <c r="O768" s="180">
        <f t="shared" si="51"/>
        <v>-5.4449284380834865E-4</v>
      </c>
    </row>
    <row r="769" spans="9:15" x14ac:dyDescent="0.35">
      <c r="I769" s="408">
        <v>44049</v>
      </c>
      <c r="J769" s="409">
        <v>33600</v>
      </c>
      <c r="K769" s="407">
        <v>899.92</v>
      </c>
      <c r="L769" s="41">
        <f t="shared" si="48"/>
        <v>5.9523809523809521E-3</v>
      </c>
      <c r="M769" s="41">
        <f t="shared" si="49"/>
        <v>-5.4449284380834865E-4</v>
      </c>
      <c r="N769" s="180">
        <f t="shared" si="50"/>
        <v>9.0090090090090089E-3</v>
      </c>
      <c r="O769" s="180">
        <f t="shared" si="51"/>
        <v>1.5458915393468813E-2</v>
      </c>
    </row>
    <row r="770" spans="9:15" x14ac:dyDescent="0.35">
      <c r="I770" s="408">
        <v>43957</v>
      </c>
      <c r="J770" s="409">
        <v>33300</v>
      </c>
      <c r="K770" s="407">
        <v>886.22</v>
      </c>
      <c r="L770" s="41">
        <f t="shared" si="48"/>
        <v>9.0090090090090089E-3</v>
      </c>
      <c r="M770" s="41">
        <f t="shared" si="49"/>
        <v>1.5458915393468813E-2</v>
      </c>
      <c r="N770" s="180">
        <f t="shared" si="50"/>
        <v>1.2158054711246201E-2</v>
      </c>
      <c r="O770" s="180">
        <f t="shared" si="51"/>
        <v>2.6247313044462611E-3</v>
      </c>
    </row>
    <row r="771" spans="9:15" x14ac:dyDescent="0.35">
      <c r="I771" s="408">
        <v>43927</v>
      </c>
      <c r="J771" s="409">
        <v>32900</v>
      </c>
      <c r="K771" s="407">
        <v>883.9</v>
      </c>
      <c r="L771" s="41">
        <f t="shared" si="48"/>
        <v>1.2158054711246201E-2</v>
      </c>
      <c r="M771" s="41">
        <f t="shared" si="49"/>
        <v>2.6247313044462611E-3</v>
      </c>
      <c r="N771" s="180">
        <f t="shared" si="50"/>
        <v>4.7770700636942678E-2</v>
      </c>
      <c r="O771" s="180">
        <f t="shared" si="51"/>
        <v>3.0981535912480208E-3</v>
      </c>
    </row>
    <row r="772" spans="9:15" x14ac:dyDescent="0.35">
      <c r="I772" s="408">
        <v>43896</v>
      </c>
      <c r="J772" s="409">
        <v>31400</v>
      </c>
      <c r="K772" s="407">
        <v>881.17</v>
      </c>
      <c r="L772" s="41">
        <f t="shared" ref="L772:L835" si="52">(J771-J772)/J772</f>
        <v>4.7770700636942678E-2</v>
      </c>
      <c r="M772" s="41">
        <f t="shared" ref="M772:M835" si="53">(K771-K772)/K772</f>
        <v>3.0981535912480208E-3</v>
      </c>
      <c r="N772" s="180">
        <f t="shared" si="50"/>
        <v>1.4539579967689823E-2</v>
      </c>
      <c r="O772" s="180">
        <f t="shared" si="51"/>
        <v>7.281664380429818E-3</v>
      </c>
    </row>
    <row r="773" spans="9:15" x14ac:dyDescent="0.35">
      <c r="I773" s="408">
        <v>43867</v>
      </c>
      <c r="J773" s="409">
        <v>30950</v>
      </c>
      <c r="K773" s="407">
        <v>874.8</v>
      </c>
      <c r="L773" s="41">
        <f t="shared" si="52"/>
        <v>1.4539579967689823E-2</v>
      </c>
      <c r="M773" s="41">
        <f t="shared" si="53"/>
        <v>7.281664380429818E-3</v>
      </c>
      <c r="N773" s="180">
        <f t="shared" si="50"/>
        <v>-1.5898251192368838E-2</v>
      </c>
      <c r="O773" s="180">
        <f t="shared" si="51"/>
        <v>-4.4043838983918934E-3</v>
      </c>
    </row>
    <row r="774" spans="9:15" x14ac:dyDescent="0.35">
      <c r="I774" s="408">
        <v>43836</v>
      </c>
      <c r="J774" s="409">
        <v>31450</v>
      </c>
      <c r="K774" s="407">
        <v>878.67</v>
      </c>
      <c r="L774" s="41">
        <f t="shared" si="52"/>
        <v>-1.5898251192368838E-2</v>
      </c>
      <c r="M774" s="41">
        <f t="shared" si="53"/>
        <v>-4.4043838983918934E-3</v>
      </c>
      <c r="N774" s="180">
        <f t="shared" si="50"/>
        <v>-6.3191153238546603E-3</v>
      </c>
      <c r="O774" s="180">
        <f t="shared" si="51"/>
        <v>1.6426249609587298E-2</v>
      </c>
    </row>
    <row r="775" spans="9:15" x14ac:dyDescent="0.35">
      <c r="I775" s="408" t="s">
        <v>949</v>
      </c>
      <c r="J775" s="409">
        <v>31650</v>
      </c>
      <c r="K775" s="407">
        <v>864.47</v>
      </c>
      <c r="L775" s="41">
        <f t="shared" si="52"/>
        <v>-6.3191153238546603E-3</v>
      </c>
      <c r="M775" s="41">
        <f t="shared" si="53"/>
        <v>1.6426249609587298E-2</v>
      </c>
      <c r="N775" s="180">
        <f t="shared" si="50"/>
        <v>-1.0937499999999999E-2</v>
      </c>
      <c r="O775" s="180">
        <f t="shared" si="51"/>
        <v>3.5756161552839491E-3</v>
      </c>
    </row>
    <row r="776" spans="9:15" x14ac:dyDescent="0.35">
      <c r="I776" s="408" t="s">
        <v>950</v>
      </c>
      <c r="J776" s="409">
        <v>32000</v>
      </c>
      <c r="K776" s="407">
        <v>861.39</v>
      </c>
      <c r="L776" s="41">
        <f t="shared" si="52"/>
        <v>-1.0937499999999999E-2</v>
      </c>
      <c r="M776" s="41">
        <f t="shared" si="53"/>
        <v>3.5756161552839491E-3</v>
      </c>
      <c r="N776" s="180">
        <f t="shared" si="50"/>
        <v>-6.2111801242236021E-3</v>
      </c>
      <c r="O776" s="180">
        <f t="shared" si="51"/>
        <v>4.5598731165741105E-3</v>
      </c>
    </row>
    <row r="777" spans="9:15" x14ac:dyDescent="0.35">
      <c r="I777" s="408" t="s">
        <v>951</v>
      </c>
      <c r="J777" s="409">
        <v>32200</v>
      </c>
      <c r="K777" s="407">
        <v>857.48</v>
      </c>
      <c r="L777" s="41">
        <f t="shared" si="52"/>
        <v>-6.2111801242236021E-3</v>
      </c>
      <c r="M777" s="41">
        <f t="shared" si="53"/>
        <v>4.5598731165741105E-3</v>
      </c>
      <c r="N777" s="180">
        <f t="shared" si="50"/>
        <v>1.098901098901099E-2</v>
      </c>
      <c r="O777" s="180">
        <f t="shared" si="51"/>
        <v>-1.3404208806507631E-2</v>
      </c>
    </row>
    <row r="778" spans="9:15" x14ac:dyDescent="0.35">
      <c r="I778" s="408" t="s">
        <v>952</v>
      </c>
      <c r="J778" s="409">
        <v>31850</v>
      </c>
      <c r="K778" s="407">
        <v>869.13</v>
      </c>
      <c r="L778" s="41">
        <f t="shared" si="52"/>
        <v>1.098901098901099E-2</v>
      </c>
      <c r="M778" s="41">
        <f t="shared" si="53"/>
        <v>-1.3404208806507631E-2</v>
      </c>
      <c r="N778" s="180">
        <f t="shared" si="50"/>
        <v>1.5723270440251573E-3</v>
      </c>
      <c r="O778" s="180">
        <f t="shared" si="51"/>
        <v>1.1745669584652674E-2</v>
      </c>
    </row>
    <row r="779" spans="9:15" x14ac:dyDescent="0.35">
      <c r="I779" s="408" t="s">
        <v>953</v>
      </c>
      <c r="J779" s="409">
        <v>31800</v>
      </c>
      <c r="K779" s="407">
        <v>859.04</v>
      </c>
      <c r="L779" s="41">
        <f t="shared" si="52"/>
        <v>1.5723270440251573E-3</v>
      </c>
      <c r="M779" s="41">
        <f t="shared" si="53"/>
        <v>1.1745669584652674E-2</v>
      </c>
      <c r="N779" s="180">
        <f t="shared" si="50"/>
        <v>-1.2422360248447204E-2</v>
      </c>
      <c r="O779" s="180">
        <f t="shared" si="51"/>
        <v>7.3879494335904903E-3</v>
      </c>
    </row>
    <row r="780" spans="9:15" x14ac:dyDescent="0.35">
      <c r="I780" s="408" t="s">
        <v>954</v>
      </c>
      <c r="J780" s="409">
        <v>32200</v>
      </c>
      <c r="K780" s="407">
        <v>852.74</v>
      </c>
      <c r="L780" s="41">
        <f t="shared" si="52"/>
        <v>-1.2422360248447204E-2</v>
      </c>
      <c r="M780" s="41">
        <f t="shared" si="53"/>
        <v>7.3879494335904903E-3</v>
      </c>
      <c r="N780" s="180">
        <f t="shared" si="50"/>
        <v>-2.1276595744680851E-2</v>
      </c>
      <c r="O780" s="180">
        <f t="shared" si="51"/>
        <v>-1.1579520823432603E-2</v>
      </c>
    </row>
    <row r="781" spans="9:15" x14ac:dyDescent="0.35">
      <c r="I781" s="408" t="s">
        <v>955</v>
      </c>
      <c r="J781" s="409">
        <v>32900</v>
      </c>
      <c r="K781" s="407">
        <v>862.73</v>
      </c>
      <c r="L781" s="41">
        <f t="shared" si="52"/>
        <v>-2.1276595744680851E-2</v>
      </c>
      <c r="M781" s="41">
        <f t="shared" si="53"/>
        <v>-1.1579520823432603E-2</v>
      </c>
      <c r="N781" s="180">
        <f t="shared" si="50"/>
        <v>3.0487804878048782E-3</v>
      </c>
      <c r="O781" s="180">
        <f t="shared" si="51"/>
        <v>1.1513524287439531E-2</v>
      </c>
    </row>
    <row r="782" spans="9:15" x14ac:dyDescent="0.35">
      <c r="I782" s="408" t="s">
        <v>956</v>
      </c>
      <c r="J782" s="409">
        <v>32800</v>
      </c>
      <c r="K782" s="407">
        <v>852.91</v>
      </c>
      <c r="L782" s="41">
        <f t="shared" si="52"/>
        <v>3.0487804878048782E-3</v>
      </c>
      <c r="M782" s="41">
        <f t="shared" si="53"/>
        <v>1.1513524287439531E-2</v>
      </c>
      <c r="N782" s="180">
        <f t="shared" si="50"/>
        <v>4.5941807044410417E-3</v>
      </c>
      <c r="O782" s="180">
        <f t="shared" si="51"/>
        <v>8.2631927369018459E-3</v>
      </c>
    </row>
    <row r="783" spans="9:15" x14ac:dyDescent="0.35">
      <c r="I783" s="408" t="s">
        <v>957</v>
      </c>
      <c r="J783" s="409">
        <v>32650</v>
      </c>
      <c r="K783" s="407">
        <v>845.92</v>
      </c>
      <c r="L783" s="41">
        <f t="shared" si="52"/>
        <v>4.5941807044410417E-3</v>
      </c>
      <c r="M783" s="41">
        <f t="shared" si="53"/>
        <v>8.2631927369018459E-3</v>
      </c>
      <c r="N783" s="180">
        <f t="shared" si="50"/>
        <v>1.5337423312883436E-3</v>
      </c>
      <c r="O783" s="180">
        <f t="shared" si="51"/>
        <v>1.0645034109508809E-2</v>
      </c>
    </row>
    <row r="784" spans="9:15" x14ac:dyDescent="0.35">
      <c r="I784" s="408" t="s">
        <v>958</v>
      </c>
      <c r="J784" s="409">
        <v>32600</v>
      </c>
      <c r="K784" s="407">
        <v>837.01</v>
      </c>
      <c r="L784" s="41">
        <f t="shared" si="52"/>
        <v>1.5337423312883436E-3</v>
      </c>
      <c r="M784" s="41">
        <f t="shared" si="53"/>
        <v>1.0645034109508809E-2</v>
      </c>
      <c r="N784" s="180">
        <f t="shared" si="50"/>
        <v>-1.2121212121212121E-2</v>
      </c>
      <c r="O784" s="180">
        <f t="shared" si="51"/>
        <v>1.2067276882338027E-2</v>
      </c>
    </row>
    <row r="785" spans="9:15" x14ac:dyDescent="0.35">
      <c r="I785" s="408" t="s">
        <v>959</v>
      </c>
      <c r="J785" s="409">
        <v>33000</v>
      </c>
      <c r="K785" s="407">
        <v>827.03</v>
      </c>
      <c r="L785" s="41">
        <f t="shared" si="52"/>
        <v>-1.2121212121212121E-2</v>
      </c>
      <c r="M785" s="41">
        <f t="shared" si="53"/>
        <v>1.2067276882338027E-2</v>
      </c>
      <c r="N785" s="180">
        <f t="shared" si="50"/>
        <v>-3.5087719298245612E-2</v>
      </c>
      <c r="O785" s="180">
        <f t="shared" si="51"/>
        <v>-6.4512253724171124E-3</v>
      </c>
    </row>
    <row r="786" spans="9:15" x14ac:dyDescent="0.35">
      <c r="I786" s="408" t="s">
        <v>960</v>
      </c>
      <c r="J786" s="409">
        <v>34200</v>
      </c>
      <c r="K786" s="407">
        <v>832.4</v>
      </c>
      <c r="L786" s="41">
        <f t="shared" si="52"/>
        <v>-3.5087719298245612E-2</v>
      </c>
      <c r="M786" s="41">
        <f t="shared" si="53"/>
        <v>-6.4512253724171124E-3</v>
      </c>
      <c r="N786" s="180">
        <f t="shared" si="50"/>
        <v>-1.0130246020260492E-2</v>
      </c>
      <c r="O786" s="180">
        <f t="shared" si="51"/>
        <v>-2.1697174572350595E-3</v>
      </c>
    </row>
    <row r="787" spans="9:15" x14ac:dyDescent="0.35">
      <c r="I787" s="408" t="s">
        <v>961</v>
      </c>
      <c r="J787" s="409">
        <v>34550</v>
      </c>
      <c r="K787" s="407">
        <v>834.21</v>
      </c>
      <c r="L787" s="41">
        <f t="shared" si="52"/>
        <v>-1.0130246020260492E-2</v>
      </c>
      <c r="M787" s="41">
        <f t="shared" si="53"/>
        <v>-2.1697174572350595E-3</v>
      </c>
      <c r="N787" s="180">
        <f t="shared" si="50"/>
        <v>1.9174041297935103E-2</v>
      </c>
      <c r="O787" s="180">
        <f t="shared" si="51"/>
        <v>-1.3288320643585854E-3</v>
      </c>
    </row>
    <row r="788" spans="9:15" x14ac:dyDescent="0.35">
      <c r="I788" s="408">
        <v>44170</v>
      </c>
      <c r="J788" s="409">
        <v>33900</v>
      </c>
      <c r="K788" s="407">
        <v>835.32</v>
      </c>
      <c r="L788" s="41">
        <f t="shared" si="52"/>
        <v>1.9174041297935103E-2</v>
      </c>
      <c r="M788" s="41">
        <f t="shared" si="53"/>
        <v>-1.3288320643585854E-3</v>
      </c>
      <c r="N788" s="180">
        <f t="shared" si="50"/>
        <v>8.9285714285714281E-3</v>
      </c>
      <c r="O788" s="180">
        <f t="shared" si="51"/>
        <v>8.4386657491579541E-3</v>
      </c>
    </row>
    <row r="789" spans="9:15" x14ac:dyDescent="0.35">
      <c r="I789" s="408">
        <v>44140</v>
      </c>
      <c r="J789" s="409">
        <v>33600</v>
      </c>
      <c r="K789" s="407">
        <v>828.33</v>
      </c>
      <c r="L789" s="41">
        <f t="shared" si="52"/>
        <v>8.9285714285714281E-3</v>
      </c>
      <c r="M789" s="41">
        <f t="shared" si="53"/>
        <v>8.4386657491579541E-3</v>
      </c>
      <c r="N789" s="180">
        <f t="shared" si="50"/>
        <v>0.05</v>
      </c>
      <c r="O789" s="180">
        <f t="shared" si="51"/>
        <v>1.7942069236724738E-2</v>
      </c>
    </row>
    <row r="790" spans="9:15" x14ac:dyDescent="0.35">
      <c r="I790" s="408">
        <v>44048</v>
      </c>
      <c r="J790" s="409">
        <v>32000</v>
      </c>
      <c r="K790" s="407">
        <v>813.73</v>
      </c>
      <c r="L790" s="41">
        <f t="shared" si="52"/>
        <v>0.05</v>
      </c>
      <c r="M790" s="41">
        <f t="shared" si="53"/>
        <v>1.7942069236724738E-2</v>
      </c>
      <c r="N790" s="180">
        <f t="shared" si="50"/>
        <v>2.0733652312599681E-2</v>
      </c>
      <c r="O790" s="180">
        <f t="shared" si="51"/>
        <v>2.1580837120546432E-2</v>
      </c>
    </row>
    <row r="791" spans="9:15" x14ac:dyDescent="0.35">
      <c r="I791" s="408">
        <v>44017</v>
      </c>
      <c r="J791" s="409">
        <v>31350</v>
      </c>
      <c r="K791" s="407">
        <v>796.54</v>
      </c>
      <c r="L791" s="41">
        <f t="shared" si="52"/>
        <v>2.0733652312599681E-2</v>
      </c>
      <c r="M791" s="41">
        <f t="shared" si="53"/>
        <v>2.1580837120546432E-2</v>
      </c>
      <c r="N791" s="180">
        <f t="shared" si="50"/>
        <v>4.807692307692308E-3</v>
      </c>
      <c r="O791" s="180">
        <f t="shared" si="51"/>
        <v>1.7825425829616954E-2</v>
      </c>
    </row>
    <row r="792" spans="9:15" x14ac:dyDescent="0.35">
      <c r="I792" s="408">
        <v>43987</v>
      </c>
      <c r="J792" s="409">
        <v>31200</v>
      </c>
      <c r="K792" s="407">
        <v>782.59</v>
      </c>
      <c r="L792" s="41">
        <f t="shared" si="52"/>
        <v>4.807692307692308E-3</v>
      </c>
      <c r="M792" s="41">
        <f t="shared" si="53"/>
        <v>1.7825425829616954E-2</v>
      </c>
      <c r="N792" s="180">
        <f t="shared" si="50"/>
        <v>2.2950819672131147E-2</v>
      </c>
      <c r="O792" s="180">
        <f t="shared" si="51"/>
        <v>2.4117985762144138E-2</v>
      </c>
    </row>
    <row r="793" spans="9:15" x14ac:dyDescent="0.35">
      <c r="I793" s="408">
        <v>43956</v>
      </c>
      <c r="J793" s="409">
        <v>30500</v>
      </c>
      <c r="K793" s="407">
        <v>764.16</v>
      </c>
      <c r="L793" s="41">
        <f t="shared" si="52"/>
        <v>2.2950819672131147E-2</v>
      </c>
      <c r="M793" s="41">
        <f t="shared" si="53"/>
        <v>2.4117985762144138E-2</v>
      </c>
      <c r="N793" s="180">
        <f t="shared" si="50"/>
        <v>1.6666666666666666E-2</v>
      </c>
      <c r="O793" s="180">
        <f t="shared" si="51"/>
        <v>2.2164806484188766E-3</v>
      </c>
    </row>
    <row r="794" spans="9:15" x14ac:dyDescent="0.35">
      <c r="I794" s="408">
        <v>43926</v>
      </c>
      <c r="J794" s="409">
        <v>30000</v>
      </c>
      <c r="K794" s="407">
        <v>762.47</v>
      </c>
      <c r="L794" s="41">
        <f t="shared" si="52"/>
        <v>1.6666666666666666E-2</v>
      </c>
      <c r="M794" s="41">
        <f t="shared" si="53"/>
        <v>2.2164806484188766E-3</v>
      </c>
      <c r="N794" s="180">
        <f t="shared" si="50"/>
        <v>-4.4585987261146494E-2</v>
      </c>
      <c r="O794" s="180">
        <f t="shared" si="51"/>
        <v>-8.6333554368035609E-3</v>
      </c>
    </row>
    <row r="795" spans="9:15" x14ac:dyDescent="0.35">
      <c r="I795" s="408" t="s">
        <v>962</v>
      </c>
      <c r="J795" s="409">
        <v>31400</v>
      </c>
      <c r="K795" s="407">
        <v>769.11</v>
      </c>
      <c r="L795" s="41">
        <f t="shared" si="52"/>
        <v>-4.4585987261146494E-2</v>
      </c>
      <c r="M795" s="41">
        <f t="shared" si="53"/>
        <v>-8.6333554368035609E-3</v>
      </c>
      <c r="N795" s="180">
        <f t="shared" si="50"/>
        <v>4.7999999999999996E-3</v>
      </c>
      <c r="O795" s="180">
        <f t="shared" si="51"/>
        <v>2.4765057806858319E-3</v>
      </c>
    </row>
    <row r="796" spans="9:15" x14ac:dyDescent="0.35">
      <c r="I796" s="408" t="s">
        <v>963</v>
      </c>
      <c r="J796" s="409">
        <v>31250</v>
      </c>
      <c r="K796" s="407">
        <v>767.21</v>
      </c>
      <c r="L796" s="41">
        <f t="shared" si="52"/>
        <v>4.7999999999999996E-3</v>
      </c>
      <c r="M796" s="41">
        <f t="shared" si="53"/>
        <v>2.4765057806858319E-3</v>
      </c>
      <c r="N796" s="180">
        <f t="shared" si="50"/>
        <v>0</v>
      </c>
      <c r="O796" s="180">
        <f t="shared" si="51"/>
        <v>-4.6187578655110416E-3</v>
      </c>
    </row>
    <row r="797" spans="9:15" x14ac:dyDescent="0.35">
      <c r="I797" s="408" t="s">
        <v>964</v>
      </c>
      <c r="J797" s="409">
        <v>31250</v>
      </c>
      <c r="K797" s="407">
        <v>770.77</v>
      </c>
      <c r="L797" s="41">
        <f t="shared" si="52"/>
        <v>0</v>
      </c>
      <c r="M797" s="41">
        <f t="shared" si="53"/>
        <v>-4.6187578655110416E-3</v>
      </c>
      <c r="N797" s="180">
        <f t="shared" si="50"/>
        <v>1.1326860841423949E-2</v>
      </c>
      <c r="O797" s="180">
        <f t="shared" si="51"/>
        <v>-7.5837560837431909E-3</v>
      </c>
    </row>
    <row r="798" spans="9:15" x14ac:dyDescent="0.35">
      <c r="I798" s="408" t="s">
        <v>965</v>
      </c>
      <c r="J798" s="409">
        <v>30900</v>
      </c>
      <c r="K798" s="407">
        <v>776.66</v>
      </c>
      <c r="L798" s="41">
        <f t="shared" si="52"/>
        <v>1.1326860841423949E-2</v>
      </c>
      <c r="M798" s="41">
        <f t="shared" si="53"/>
        <v>-7.5837560837431909E-3</v>
      </c>
      <c r="N798" s="180">
        <f t="shared" si="50"/>
        <v>1.9801980198019802E-2</v>
      </c>
      <c r="O798" s="180">
        <f t="shared" si="51"/>
        <v>3.5533847605018674E-3</v>
      </c>
    </row>
    <row r="799" spans="9:15" x14ac:dyDescent="0.35">
      <c r="I799" s="408" t="s">
        <v>966</v>
      </c>
      <c r="J799" s="409">
        <v>30300</v>
      </c>
      <c r="K799" s="407">
        <v>773.91</v>
      </c>
      <c r="L799" s="41">
        <f t="shared" si="52"/>
        <v>1.9801980198019802E-2</v>
      </c>
      <c r="M799" s="41">
        <f t="shared" si="53"/>
        <v>3.5533847605018674E-3</v>
      </c>
      <c r="N799" s="180">
        <f t="shared" si="50"/>
        <v>0.01</v>
      </c>
      <c r="O799" s="180">
        <f t="shared" si="51"/>
        <v>6.4896218072101252E-3</v>
      </c>
    </row>
    <row r="800" spans="9:15" x14ac:dyDescent="0.35">
      <c r="I800" s="408" t="s">
        <v>967</v>
      </c>
      <c r="J800" s="409">
        <v>30000</v>
      </c>
      <c r="K800" s="407">
        <v>768.92</v>
      </c>
      <c r="L800" s="41">
        <f t="shared" si="52"/>
        <v>0.01</v>
      </c>
      <c r="M800" s="41">
        <f t="shared" si="53"/>
        <v>6.4896218072101252E-3</v>
      </c>
      <c r="N800" s="180">
        <f t="shared" si="50"/>
        <v>-9.9009900990099011E-3</v>
      </c>
      <c r="O800" s="180">
        <f t="shared" si="51"/>
        <v>2.712430233164581E-3</v>
      </c>
    </row>
    <row r="801" spans="9:15" x14ac:dyDescent="0.35">
      <c r="I801" s="408" t="s">
        <v>968</v>
      </c>
      <c r="J801" s="409">
        <v>30300</v>
      </c>
      <c r="K801" s="407">
        <v>766.84</v>
      </c>
      <c r="L801" s="41">
        <f t="shared" si="52"/>
        <v>-9.9009900990099011E-3</v>
      </c>
      <c r="M801" s="41">
        <f t="shared" si="53"/>
        <v>2.712430233164581E-3</v>
      </c>
      <c r="N801" s="180">
        <f t="shared" si="50"/>
        <v>-5.3124999999999999E-2</v>
      </c>
      <c r="O801" s="180">
        <f t="shared" si="51"/>
        <v>-3.5384983081122548E-2</v>
      </c>
    </row>
    <row r="802" spans="9:15" x14ac:dyDescent="0.35">
      <c r="I802" s="408" t="s">
        <v>969</v>
      </c>
      <c r="J802" s="409">
        <v>32000</v>
      </c>
      <c r="K802" s="407">
        <v>794.97</v>
      </c>
      <c r="L802" s="41">
        <f t="shared" si="52"/>
        <v>-5.3124999999999999E-2</v>
      </c>
      <c r="M802" s="41">
        <f t="shared" si="53"/>
        <v>-3.5384983081122548E-2</v>
      </c>
      <c r="N802" s="180">
        <f t="shared" ref="N802:N865" si="54">(J802-J803)/J803</f>
        <v>1.7488076311605722E-2</v>
      </c>
      <c r="O802" s="180">
        <f t="shared" si="51"/>
        <v>6.8009118541033494E-3</v>
      </c>
    </row>
    <row r="803" spans="9:15" x14ac:dyDescent="0.35">
      <c r="I803" s="408" t="s">
        <v>970</v>
      </c>
      <c r="J803" s="409">
        <v>31450</v>
      </c>
      <c r="K803" s="407">
        <v>789.6</v>
      </c>
      <c r="L803" s="41">
        <f t="shared" si="52"/>
        <v>1.7488076311605722E-2</v>
      </c>
      <c r="M803" s="41">
        <f t="shared" si="53"/>
        <v>6.8009118541033494E-3</v>
      </c>
      <c r="N803" s="180">
        <f t="shared" si="54"/>
        <v>6.9727891156462579E-2</v>
      </c>
      <c r="O803" s="180">
        <f t="shared" si="51"/>
        <v>1.1400025618035067E-2</v>
      </c>
    </row>
    <row r="804" spans="9:15" x14ac:dyDescent="0.35">
      <c r="I804" s="408" t="s">
        <v>971</v>
      </c>
      <c r="J804" s="409">
        <v>29400</v>
      </c>
      <c r="K804" s="407">
        <v>780.7</v>
      </c>
      <c r="L804" s="41">
        <f t="shared" si="52"/>
        <v>6.9727891156462579E-2</v>
      </c>
      <c r="M804" s="41">
        <f t="shared" si="53"/>
        <v>1.1400025618035067E-2</v>
      </c>
      <c r="N804" s="180">
        <f t="shared" si="54"/>
        <v>-0.02</v>
      </c>
      <c r="O804" s="180">
        <f t="shared" si="51"/>
        <v>4.4774967190757036E-3</v>
      </c>
    </row>
    <row r="805" spans="9:15" x14ac:dyDescent="0.35">
      <c r="I805" s="408" t="s">
        <v>972</v>
      </c>
      <c r="J805" s="409">
        <v>30000</v>
      </c>
      <c r="K805" s="407">
        <v>777.22</v>
      </c>
      <c r="L805" s="41">
        <f t="shared" si="52"/>
        <v>-0.02</v>
      </c>
      <c r="M805" s="41">
        <f t="shared" si="53"/>
        <v>4.4774967190757036E-3</v>
      </c>
      <c r="N805" s="180">
        <f t="shared" si="54"/>
        <v>2.2146507666098807E-2</v>
      </c>
      <c r="O805" s="180">
        <f t="shared" si="51"/>
        <v>1.2783257971618899E-2</v>
      </c>
    </row>
    <row r="806" spans="9:15" x14ac:dyDescent="0.35">
      <c r="I806" s="408" t="s">
        <v>973</v>
      </c>
      <c r="J806" s="409">
        <v>29350</v>
      </c>
      <c r="K806" s="407">
        <v>767.41</v>
      </c>
      <c r="L806" s="41">
        <f t="shared" si="52"/>
        <v>2.2146507666098807E-2</v>
      </c>
      <c r="M806" s="41">
        <f t="shared" si="53"/>
        <v>1.2783257971618899E-2</v>
      </c>
      <c r="N806" s="180">
        <f t="shared" si="54"/>
        <v>1.2068965517241379E-2</v>
      </c>
      <c r="O806" s="180">
        <f t="shared" ref="O806:O869" si="55">(K806-K807)/K807</f>
        <v>2.1154624635996875E-3</v>
      </c>
    </row>
    <row r="807" spans="9:15" x14ac:dyDescent="0.35">
      <c r="I807" s="408" t="s">
        <v>974</v>
      </c>
      <c r="J807" s="409">
        <v>29000</v>
      </c>
      <c r="K807" s="407">
        <v>765.79</v>
      </c>
      <c r="L807" s="41">
        <f t="shared" si="52"/>
        <v>1.2068965517241379E-2</v>
      </c>
      <c r="M807" s="41">
        <f t="shared" si="53"/>
        <v>2.1154624635996875E-3</v>
      </c>
      <c r="N807" s="180">
        <f t="shared" si="54"/>
        <v>-3.0100334448160536E-2</v>
      </c>
      <c r="O807" s="180">
        <f t="shared" si="55"/>
        <v>1.0357020344618186E-2</v>
      </c>
    </row>
    <row r="808" spans="9:15" x14ac:dyDescent="0.35">
      <c r="I808" s="408">
        <v>44108</v>
      </c>
      <c r="J808" s="409">
        <v>29900</v>
      </c>
      <c r="K808" s="407">
        <v>757.94</v>
      </c>
      <c r="L808" s="41">
        <f t="shared" si="52"/>
        <v>-3.0100334448160536E-2</v>
      </c>
      <c r="M808" s="41">
        <f t="shared" si="53"/>
        <v>1.0357020344618186E-2</v>
      </c>
      <c r="N808" s="180">
        <f t="shared" si="54"/>
        <v>4.5454545454545456E-2</v>
      </c>
      <c r="O808" s="180">
        <f t="shared" si="55"/>
        <v>-3.1433719569134272E-3</v>
      </c>
    </row>
    <row r="809" spans="9:15" x14ac:dyDescent="0.35">
      <c r="I809" s="408">
        <v>44078</v>
      </c>
      <c r="J809" s="409">
        <v>28600</v>
      </c>
      <c r="K809" s="407">
        <v>760.33</v>
      </c>
      <c r="L809" s="41">
        <f t="shared" si="52"/>
        <v>4.5454545454545456E-2</v>
      </c>
      <c r="M809" s="41">
        <f t="shared" si="53"/>
        <v>-3.1433719569134272E-3</v>
      </c>
      <c r="N809" s="180">
        <f t="shared" si="54"/>
        <v>-3.0508474576271188E-2</v>
      </c>
      <c r="O809" s="180">
        <f t="shared" si="55"/>
        <v>1.6456779230501938E-2</v>
      </c>
    </row>
    <row r="810" spans="9:15" x14ac:dyDescent="0.35">
      <c r="I810" s="408">
        <v>44047</v>
      </c>
      <c r="J810" s="409">
        <v>29500</v>
      </c>
      <c r="K810" s="407">
        <v>748.02</v>
      </c>
      <c r="L810" s="41">
        <f t="shared" si="52"/>
        <v>-3.0508474576271188E-2</v>
      </c>
      <c r="M810" s="41">
        <f t="shared" si="53"/>
        <v>1.6456779230501938E-2</v>
      </c>
      <c r="N810" s="180">
        <f t="shared" si="54"/>
        <v>0</v>
      </c>
      <c r="O810" s="180">
        <f t="shared" si="55"/>
        <v>1.7811943376768501E-3</v>
      </c>
    </row>
    <row r="811" spans="9:15" x14ac:dyDescent="0.35">
      <c r="I811" s="408">
        <v>44016</v>
      </c>
      <c r="J811" s="409">
        <v>29500</v>
      </c>
      <c r="K811" s="407">
        <v>746.69</v>
      </c>
      <c r="L811" s="41">
        <f t="shared" si="52"/>
        <v>0</v>
      </c>
      <c r="M811" s="41">
        <f t="shared" si="53"/>
        <v>1.7811943376768501E-3</v>
      </c>
      <c r="N811" s="180">
        <f t="shared" si="54"/>
        <v>4.0564373897707229E-2</v>
      </c>
      <c r="O811" s="180">
        <f t="shared" si="55"/>
        <v>1.3491686460807674E-2</v>
      </c>
    </row>
    <row r="812" spans="9:15" x14ac:dyDescent="0.35">
      <c r="I812" s="408">
        <v>43986</v>
      </c>
      <c r="J812" s="409">
        <v>28350</v>
      </c>
      <c r="K812" s="407">
        <v>736.75</v>
      </c>
      <c r="L812" s="41">
        <f t="shared" si="52"/>
        <v>4.0564373897707229E-2</v>
      </c>
      <c r="M812" s="41">
        <f t="shared" si="53"/>
        <v>1.3491686460807674E-2</v>
      </c>
      <c r="N812" s="180">
        <f t="shared" si="54"/>
        <v>6.981132075471698E-2</v>
      </c>
      <c r="O812" s="180">
        <f t="shared" si="55"/>
        <v>4.9800512966657239E-2</v>
      </c>
    </row>
    <row r="813" spans="9:15" x14ac:dyDescent="0.35">
      <c r="I813" s="408">
        <v>43894</v>
      </c>
      <c r="J813" s="409">
        <v>26500</v>
      </c>
      <c r="K813" s="407">
        <v>701.8</v>
      </c>
      <c r="L813" s="41">
        <f t="shared" si="52"/>
        <v>6.981132075471698E-2</v>
      </c>
      <c r="M813" s="41">
        <f t="shared" si="53"/>
        <v>4.9800512966657239E-2</v>
      </c>
      <c r="N813" s="180">
        <f t="shared" si="54"/>
        <v>1.1450381679389313E-2</v>
      </c>
      <c r="O813" s="180">
        <f t="shared" si="55"/>
        <v>3.1709862840509737E-2</v>
      </c>
    </row>
    <row r="814" spans="9:15" x14ac:dyDescent="0.35">
      <c r="I814" s="408">
        <v>43834</v>
      </c>
      <c r="J814" s="409">
        <v>26200</v>
      </c>
      <c r="K814" s="407">
        <v>680.23</v>
      </c>
      <c r="L814" s="41">
        <f t="shared" si="52"/>
        <v>1.1450381679389313E-2</v>
      </c>
      <c r="M814" s="41">
        <f t="shared" si="53"/>
        <v>3.1709862840509737E-2</v>
      </c>
      <c r="N814" s="180">
        <f t="shared" si="54"/>
        <v>-2.9629629629629631E-2</v>
      </c>
      <c r="O814" s="180">
        <f t="shared" si="55"/>
        <v>2.6715771361296915E-2</v>
      </c>
    </row>
    <row r="815" spans="9:15" x14ac:dyDescent="0.35">
      <c r="I815" s="408" t="s">
        <v>975</v>
      </c>
      <c r="J815" s="409">
        <v>27000</v>
      </c>
      <c r="K815" s="407">
        <v>662.53</v>
      </c>
      <c r="L815" s="41">
        <f t="shared" si="52"/>
        <v>-2.9629629629629631E-2</v>
      </c>
      <c r="M815" s="41">
        <f t="shared" si="53"/>
        <v>2.6715771361296915E-2</v>
      </c>
      <c r="N815" s="180">
        <f t="shared" si="54"/>
        <v>1.8552875695732839E-3</v>
      </c>
      <c r="O815" s="180">
        <f t="shared" si="55"/>
        <v>4.0769486304469816E-4</v>
      </c>
    </row>
    <row r="816" spans="9:15" x14ac:dyDescent="0.35">
      <c r="I816" s="408" t="s">
        <v>976</v>
      </c>
      <c r="J816" s="409">
        <v>26950</v>
      </c>
      <c r="K816" s="407">
        <v>662.26</v>
      </c>
      <c r="L816" s="41">
        <f t="shared" si="52"/>
        <v>1.8552875695732839E-3</v>
      </c>
      <c r="M816" s="41">
        <f t="shared" si="53"/>
        <v>4.0769486304469816E-4</v>
      </c>
      <c r="N816" s="180">
        <f t="shared" si="54"/>
        <v>-2.8828828828828829E-2</v>
      </c>
      <c r="O816" s="180">
        <f t="shared" si="55"/>
        <v>-4.8559032267333213E-2</v>
      </c>
    </row>
    <row r="817" spans="9:15" x14ac:dyDescent="0.35">
      <c r="I817" s="408" t="s">
        <v>977</v>
      </c>
      <c r="J817" s="409">
        <v>27750</v>
      </c>
      <c r="K817" s="407">
        <v>696.06</v>
      </c>
      <c r="L817" s="41">
        <f t="shared" si="52"/>
        <v>-2.8828828828828829E-2</v>
      </c>
      <c r="M817" s="41">
        <f t="shared" si="53"/>
        <v>-4.8559032267333213E-2</v>
      </c>
      <c r="N817" s="180">
        <f t="shared" si="54"/>
        <v>-1.9434628975265017E-2</v>
      </c>
      <c r="O817" s="180">
        <f t="shared" si="55"/>
        <v>2.6648996701285044E-3</v>
      </c>
    </row>
    <row r="818" spans="9:15" x14ac:dyDescent="0.35">
      <c r="I818" s="408" t="s">
        <v>978</v>
      </c>
      <c r="J818" s="409">
        <v>28300</v>
      </c>
      <c r="K818" s="407">
        <v>694.21</v>
      </c>
      <c r="L818" s="41">
        <f t="shared" si="52"/>
        <v>-1.9434628975265017E-2</v>
      </c>
      <c r="M818" s="41">
        <f t="shared" si="53"/>
        <v>2.6648996701285044E-3</v>
      </c>
      <c r="N818" s="180">
        <f t="shared" si="54"/>
        <v>0</v>
      </c>
      <c r="O818" s="180">
        <f t="shared" si="55"/>
        <v>5.7370517928287384E-3</v>
      </c>
    </row>
    <row r="819" spans="9:15" x14ac:dyDescent="0.35">
      <c r="I819" s="408" t="s">
        <v>979</v>
      </c>
      <c r="J819" s="409">
        <v>28300</v>
      </c>
      <c r="K819" s="407">
        <v>690.25</v>
      </c>
      <c r="L819" s="41">
        <f t="shared" si="52"/>
        <v>0</v>
      </c>
      <c r="M819" s="41">
        <f t="shared" si="53"/>
        <v>5.7370517928287384E-3</v>
      </c>
      <c r="N819" s="180">
        <f t="shared" si="54"/>
        <v>-1.048951048951049E-2</v>
      </c>
      <c r="O819" s="180">
        <f t="shared" si="55"/>
        <v>4.7086664340650113E-2</v>
      </c>
    </row>
    <row r="820" spans="9:15" x14ac:dyDescent="0.35">
      <c r="I820" s="408" t="s">
        <v>980</v>
      </c>
      <c r="J820" s="409">
        <v>28600</v>
      </c>
      <c r="K820" s="407">
        <v>659.21</v>
      </c>
      <c r="L820" s="41">
        <f t="shared" si="52"/>
        <v>-1.048951048951049E-2</v>
      </c>
      <c r="M820" s="41">
        <f t="shared" si="53"/>
        <v>4.7086664340650113E-2</v>
      </c>
      <c r="N820" s="180">
        <f t="shared" si="54"/>
        <v>-5.4545454545454543E-2</v>
      </c>
      <c r="O820" s="180">
        <f t="shared" si="55"/>
        <v>-1.1071273196417581E-2</v>
      </c>
    </row>
    <row r="821" spans="9:15" x14ac:dyDescent="0.35">
      <c r="I821" s="408" t="s">
        <v>981</v>
      </c>
      <c r="J821" s="409">
        <v>30250</v>
      </c>
      <c r="K821" s="407">
        <v>666.59</v>
      </c>
      <c r="L821" s="41">
        <f t="shared" si="52"/>
        <v>-5.4545454545454543E-2</v>
      </c>
      <c r="M821" s="41">
        <f t="shared" si="53"/>
        <v>-1.1071273196417581E-2</v>
      </c>
      <c r="N821" s="180">
        <f t="shared" si="54"/>
        <v>-1.7857142857142856E-2</v>
      </c>
      <c r="O821" s="180">
        <f t="shared" si="55"/>
        <v>-6.0783678300198644E-2</v>
      </c>
    </row>
    <row r="822" spans="9:15" x14ac:dyDescent="0.35">
      <c r="I822" s="408" t="s">
        <v>982</v>
      </c>
      <c r="J822" s="409">
        <v>30800</v>
      </c>
      <c r="K822" s="407">
        <v>709.73</v>
      </c>
      <c r="L822" s="41">
        <f t="shared" si="52"/>
        <v>-1.7857142857142856E-2</v>
      </c>
      <c r="M822" s="41">
        <f t="shared" si="53"/>
        <v>-6.0783678300198644E-2</v>
      </c>
      <c r="N822" s="180">
        <f t="shared" si="54"/>
        <v>0</v>
      </c>
      <c r="O822" s="180">
        <f t="shared" si="55"/>
        <v>-2.2329669118659991E-2</v>
      </c>
    </row>
    <row r="823" spans="9:15" x14ac:dyDescent="0.35">
      <c r="I823" s="408" t="s">
        <v>983</v>
      </c>
      <c r="J823" s="409">
        <v>30800</v>
      </c>
      <c r="K823" s="407">
        <v>725.94</v>
      </c>
      <c r="L823" s="41">
        <f t="shared" si="52"/>
        <v>0</v>
      </c>
      <c r="M823" s="41">
        <f t="shared" si="53"/>
        <v>-2.2329669118659991E-2</v>
      </c>
      <c r="N823" s="180">
        <f t="shared" si="54"/>
        <v>-3.1446540880503145E-2</v>
      </c>
      <c r="O823" s="180">
        <f t="shared" si="55"/>
        <v>-2.9050637990530339E-2</v>
      </c>
    </row>
    <row r="824" spans="9:15" x14ac:dyDescent="0.35">
      <c r="I824" s="408" t="s">
        <v>984</v>
      </c>
      <c r="J824" s="409">
        <v>31800</v>
      </c>
      <c r="K824" s="407">
        <v>747.66</v>
      </c>
      <c r="L824" s="41">
        <f t="shared" si="52"/>
        <v>-3.1446540880503145E-2</v>
      </c>
      <c r="M824" s="41">
        <f t="shared" si="53"/>
        <v>-2.9050637990530339E-2</v>
      </c>
      <c r="N824" s="180">
        <f t="shared" si="54"/>
        <v>1.5748031496062992E-3</v>
      </c>
      <c r="O824" s="180">
        <f t="shared" si="55"/>
        <v>2.5208506530075832E-3</v>
      </c>
    </row>
    <row r="825" spans="9:15" x14ac:dyDescent="0.35">
      <c r="I825" s="408" t="s">
        <v>985</v>
      </c>
      <c r="J825" s="409">
        <v>31750</v>
      </c>
      <c r="K825" s="407">
        <v>745.78</v>
      </c>
      <c r="L825" s="41">
        <f t="shared" si="52"/>
        <v>1.5748031496062992E-3</v>
      </c>
      <c r="M825" s="41">
        <f t="shared" si="53"/>
        <v>2.5208506530075832E-3</v>
      </c>
      <c r="N825" s="180">
        <f t="shared" si="54"/>
        <v>-1.5723270440251573E-3</v>
      </c>
      <c r="O825" s="180">
        <f t="shared" si="55"/>
        <v>-2.7812692215121023E-3</v>
      </c>
    </row>
    <row r="826" spans="9:15" x14ac:dyDescent="0.35">
      <c r="I826" s="408" t="s">
        <v>986</v>
      </c>
      <c r="J826" s="409">
        <v>31800</v>
      </c>
      <c r="K826" s="407">
        <v>747.86</v>
      </c>
      <c r="L826" s="41">
        <f t="shared" si="52"/>
        <v>-1.5723270440251573E-3</v>
      </c>
      <c r="M826" s="41">
        <f t="shared" si="53"/>
        <v>-2.7812692215121023E-3</v>
      </c>
      <c r="N826" s="180">
        <f t="shared" si="54"/>
        <v>0</v>
      </c>
      <c r="O826" s="180">
        <f t="shared" si="55"/>
        <v>-1.8272992202473103E-2</v>
      </c>
    </row>
    <row r="827" spans="9:15" x14ac:dyDescent="0.35">
      <c r="I827" s="408" t="s">
        <v>987</v>
      </c>
      <c r="J827" s="409">
        <v>31800</v>
      </c>
      <c r="K827" s="407">
        <v>761.78</v>
      </c>
      <c r="L827" s="41">
        <f t="shared" si="52"/>
        <v>0</v>
      </c>
      <c r="M827" s="41">
        <f t="shared" si="53"/>
        <v>-1.8272992202473103E-2</v>
      </c>
      <c r="N827" s="180">
        <f t="shared" si="54"/>
        <v>-6.6079295154185022E-2</v>
      </c>
      <c r="O827" s="180">
        <f t="shared" si="55"/>
        <v>-9.7107572310692579E-3</v>
      </c>
    </row>
    <row r="828" spans="9:15" x14ac:dyDescent="0.35">
      <c r="I828" s="408">
        <v>44168</v>
      </c>
      <c r="J828" s="409">
        <v>34050</v>
      </c>
      <c r="K828" s="407">
        <v>769.25</v>
      </c>
      <c r="L828" s="41">
        <f t="shared" si="52"/>
        <v>-6.6079295154185022E-2</v>
      </c>
      <c r="M828" s="41">
        <f t="shared" si="53"/>
        <v>-9.7107572310692579E-3</v>
      </c>
      <c r="N828" s="180">
        <f t="shared" si="54"/>
        <v>-6.9672131147540978E-2</v>
      </c>
      <c r="O828" s="180">
        <f t="shared" si="55"/>
        <v>-5.1888827263203333E-2</v>
      </c>
    </row>
    <row r="829" spans="9:15" x14ac:dyDescent="0.35">
      <c r="I829" s="408">
        <v>44138</v>
      </c>
      <c r="J829" s="409">
        <v>36600</v>
      </c>
      <c r="K829" s="407">
        <v>811.35</v>
      </c>
      <c r="L829" s="41">
        <f t="shared" si="52"/>
        <v>-6.9672131147540978E-2</v>
      </c>
      <c r="M829" s="41">
        <f t="shared" si="53"/>
        <v>-5.1888827263203333E-2</v>
      </c>
      <c r="N829" s="180">
        <f t="shared" si="54"/>
        <v>-6.7842605156037995E-3</v>
      </c>
      <c r="O829" s="180">
        <f t="shared" si="55"/>
        <v>-3.1223880597014898E-2</v>
      </c>
    </row>
    <row r="830" spans="9:15" x14ac:dyDescent="0.35">
      <c r="I830" s="408">
        <v>44107</v>
      </c>
      <c r="J830" s="409">
        <v>36850</v>
      </c>
      <c r="K830" s="407">
        <v>837.5</v>
      </c>
      <c r="L830" s="41">
        <f t="shared" si="52"/>
        <v>-6.7842605156037995E-3</v>
      </c>
      <c r="M830" s="41">
        <f t="shared" si="53"/>
        <v>-3.1223880597014898E-2</v>
      </c>
      <c r="N830" s="180">
        <f t="shared" si="54"/>
        <v>2.361111111111111E-2</v>
      </c>
      <c r="O830" s="180">
        <f t="shared" si="55"/>
        <v>2.4057738572574069E-3</v>
      </c>
    </row>
    <row r="831" spans="9:15" x14ac:dyDescent="0.35">
      <c r="I831" s="408">
        <v>44077</v>
      </c>
      <c r="J831" s="409">
        <v>36000</v>
      </c>
      <c r="K831" s="407">
        <v>835.49</v>
      </c>
      <c r="L831" s="41">
        <f t="shared" si="52"/>
        <v>2.361111111111111E-2</v>
      </c>
      <c r="M831" s="41">
        <f t="shared" si="53"/>
        <v>2.4057738572574069E-3</v>
      </c>
      <c r="N831" s="180">
        <f t="shared" si="54"/>
        <v>-5.2631578947368418E-2</v>
      </c>
      <c r="O831" s="180">
        <f t="shared" si="55"/>
        <v>-6.2763618415148575E-2</v>
      </c>
    </row>
    <row r="832" spans="9:15" x14ac:dyDescent="0.35">
      <c r="I832" s="408">
        <v>43985</v>
      </c>
      <c r="J832" s="409">
        <v>38000</v>
      </c>
      <c r="K832" s="407">
        <v>891.44</v>
      </c>
      <c r="L832" s="41">
        <f t="shared" si="52"/>
        <v>-5.2631578947368418E-2</v>
      </c>
      <c r="M832" s="41">
        <f t="shared" si="53"/>
        <v>-6.2763618415148575E-2</v>
      </c>
      <c r="N832" s="180">
        <f t="shared" si="54"/>
        <v>5.2910052910052907E-3</v>
      </c>
      <c r="O832" s="180">
        <f t="shared" si="55"/>
        <v>-2.093338258834997E-3</v>
      </c>
    </row>
    <row r="833" spans="9:15" x14ac:dyDescent="0.35">
      <c r="I833" s="408">
        <v>43954</v>
      </c>
      <c r="J833" s="409">
        <v>37800</v>
      </c>
      <c r="K833" s="407">
        <v>893.31</v>
      </c>
      <c r="L833" s="41">
        <f t="shared" si="52"/>
        <v>5.2910052910052907E-3</v>
      </c>
      <c r="M833" s="41">
        <f t="shared" si="53"/>
        <v>-2.093338258834997E-3</v>
      </c>
      <c r="N833" s="180">
        <f t="shared" si="54"/>
        <v>-5.263157894736842E-3</v>
      </c>
      <c r="O833" s="180">
        <f t="shared" si="55"/>
        <v>4.4301022071802972E-3</v>
      </c>
    </row>
    <row r="834" spans="9:15" x14ac:dyDescent="0.35">
      <c r="I834" s="408">
        <v>43924</v>
      </c>
      <c r="J834" s="409">
        <v>38000</v>
      </c>
      <c r="K834" s="407">
        <v>889.37</v>
      </c>
      <c r="L834" s="41">
        <f t="shared" si="52"/>
        <v>-5.263157894736842E-3</v>
      </c>
      <c r="M834" s="41">
        <f t="shared" si="53"/>
        <v>4.4301022071802972E-3</v>
      </c>
      <c r="N834" s="180">
        <f t="shared" si="54"/>
        <v>1.3171225937183385E-2</v>
      </c>
      <c r="O834" s="180">
        <f t="shared" si="55"/>
        <v>-1.392304151087467E-3</v>
      </c>
    </row>
    <row r="835" spans="9:15" x14ac:dyDescent="0.35">
      <c r="I835" s="408">
        <v>43893</v>
      </c>
      <c r="J835" s="409">
        <v>37506</v>
      </c>
      <c r="K835" s="407">
        <v>890.61</v>
      </c>
      <c r="L835" s="41">
        <f t="shared" si="52"/>
        <v>1.3171225937183385E-2</v>
      </c>
      <c r="M835" s="41">
        <f t="shared" si="53"/>
        <v>-1.392304151087467E-3</v>
      </c>
      <c r="N835" s="180">
        <f t="shared" si="54"/>
        <v>0</v>
      </c>
      <c r="O835" s="180">
        <f t="shared" si="55"/>
        <v>6.9875513042299154E-3</v>
      </c>
    </row>
    <row r="836" spans="9:15" x14ac:dyDescent="0.35">
      <c r="I836" s="408">
        <v>43864</v>
      </c>
      <c r="J836" s="409">
        <v>37506</v>
      </c>
      <c r="K836" s="407">
        <v>884.43</v>
      </c>
      <c r="L836" s="41">
        <f t="shared" ref="L836:L899" si="56">(J835-J836)/J836</f>
        <v>0</v>
      </c>
      <c r="M836" s="41">
        <f t="shared" ref="M836:M899" si="57">(K835-K836)/K836</f>
        <v>6.9875513042299154E-3</v>
      </c>
      <c r="N836" s="180">
        <f t="shared" si="54"/>
        <v>0</v>
      </c>
      <c r="O836" s="180">
        <f t="shared" si="55"/>
        <v>2.5391355603666958E-3</v>
      </c>
    </row>
    <row r="837" spans="9:15" x14ac:dyDescent="0.35">
      <c r="I837" s="408" t="s">
        <v>988</v>
      </c>
      <c r="J837" s="409">
        <v>37506</v>
      </c>
      <c r="K837" s="407">
        <v>882.19</v>
      </c>
      <c r="L837" s="41">
        <f t="shared" si="56"/>
        <v>0</v>
      </c>
      <c r="M837" s="41">
        <f t="shared" si="57"/>
        <v>2.5391355603666958E-3</v>
      </c>
      <c r="N837" s="180">
        <f t="shared" si="54"/>
        <v>-2.3154056517775752E-2</v>
      </c>
      <c r="O837" s="180">
        <f t="shared" si="55"/>
        <v>-1.8086906192956678E-2</v>
      </c>
    </row>
    <row r="838" spans="9:15" x14ac:dyDescent="0.35">
      <c r="I838" s="408" t="s">
        <v>989</v>
      </c>
      <c r="J838" s="409">
        <v>38395</v>
      </c>
      <c r="K838" s="407">
        <v>898.44</v>
      </c>
      <c r="L838" s="41">
        <f t="shared" si="56"/>
        <v>-2.3154056517775752E-2</v>
      </c>
      <c r="M838" s="41">
        <f t="shared" si="57"/>
        <v>-1.8086906192956678E-2</v>
      </c>
      <c r="N838" s="180">
        <f t="shared" si="54"/>
        <v>5.1836531664790431E-3</v>
      </c>
      <c r="O838" s="180">
        <f t="shared" si="55"/>
        <v>2.756788731765603E-3</v>
      </c>
    </row>
    <row r="839" spans="9:15" x14ac:dyDescent="0.35">
      <c r="I839" s="408" t="s">
        <v>990</v>
      </c>
      <c r="J839" s="409">
        <v>38197</v>
      </c>
      <c r="K839" s="407">
        <v>895.97</v>
      </c>
      <c r="L839" s="41">
        <f t="shared" si="56"/>
        <v>5.1836531664790431E-3</v>
      </c>
      <c r="M839" s="41">
        <f t="shared" si="57"/>
        <v>2.756788731765603E-3</v>
      </c>
      <c r="N839" s="180">
        <f t="shared" si="54"/>
        <v>0</v>
      </c>
      <c r="O839" s="180">
        <f t="shared" si="55"/>
        <v>-1.5060406521046019E-2</v>
      </c>
    </row>
    <row r="840" spans="9:15" x14ac:dyDescent="0.35">
      <c r="I840" s="408" t="s">
        <v>991</v>
      </c>
      <c r="J840" s="409">
        <v>38197</v>
      </c>
      <c r="K840" s="407">
        <v>909.67</v>
      </c>
      <c r="L840" s="41">
        <f t="shared" si="56"/>
        <v>0</v>
      </c>
      <c r="M840" s="41">
        <f t="shared" si="57"/>
        <v>-1.5060406521046019E-2</v>
      </c>
      <c r="N840" s="180">
        <f t="shared" si="54"/>
        <v>1.3075535752174836E-2</v>
      </c>
      <c r="O840" s="180">
        <f t="shared" si="55"/>
        <v>7.0073283592002201E-3</v>
      </c>
    </row>
    <row r="841" spans="9:15" x14ac:dyDescent="0.35">
      <c r="I841" s="408" t="s">
        <v>992</v>
      </c>
      <c r="J841" s="409">
        <v>37704</v>
      </c>
      <c r="K841" s="407">
        <v>903.34</v>
      </c>
      <c r="L841" s="41">
        <f t="shared" si="56"/>
        <v>1.3075535752174836E-2</v>
      </c>
      <c r="M841" s="41">
        <f t="shared" si="57"/>
        <v>7.0073283592002201E-3</v>
      </c>
      <c r="N841" s="180">
        <f t="shared" si="54"/>
        <v>-5.2663316582914572E-2</v>
      </c>
      <c r="O841" s="180">
        <f t="shared" si="55"/>
        <v>-3.1883312435027705E-2</v>
      </c>
    </row>
    <row r="842" spans="9:15" x14ac:dyDescent="0.35">
      <c r="I842" s="408" t="s">
        <v>993</v>
      </c>
      <c r="J842" s="409">
        <v>39800</v>
      </c>
      <c r="K842" s="407">
        <v>933.09</v>
      </c>
      <c r="L842" s="41">
        <f t="shared" si="56"/>
        <v>-5.2663316582914572E-2</v>
      </c>
      <c r="M842" s="41">
        <f t="shared" si="57"/>
        <v>-3.1883312435027705E-2</v>
      </c>
      <c r="N842" s="180">
        <f t="shared" si="54"/>
        <v>5.0505050505050509E-3</v>
      </c>
      <c r="O842" s="180">
        <f t="shared" si="55"/>
        <v>-5.3723897540852161E-3</v>
      </c>
    </row>
    <row r="843" spans="9:15" x14ac:dyDescent="0.35">
      <c r="I843" s="408" t="s">
        <v>994</v>
      </c>
      <c r="J843" s="409">
        <v>39600</v>
      </c>
      <c r="K843" s="407">
        <v>938.13</v>
      </c>
      <c r="L843" s="41">
        <f t="shared" si="56"/>
        <v>5.0505050505050509E-3</v>
      </c>
      <c r="M843" s="41">
        <f t="shared" si="57"/>
        <v>-5.3723897540852161E-3</v>
      </c>
      <c r="N843" s="180">
        <f t="shared" si="54"/>
        <v>-7.5187969924812026E-3</v>
      </c>
      <c r="O843" s="180">
        <f t="shared" si="55"/>
        <v>1.0088720444463592E-2</v>
      </c>
    </row>
    <row r="844" spans="9:15" x14ac:dyDescent="0.35">
      <c r="I844" s="408" t="s">
        <v>995</v>
      </c>
      <c r="J844" s="409">
        <v>39900</v>
      </c>
      <c r="K844" s="407">
        <v>928.76</v>
      </c>
      <c r="L844" s="41">
        <f t="shared" si="56"/>
        <v>-7.5187969924812026E-3</v>
      </c>
      <c r="M844" s="41">
        <f t="shared" si="57"/>
        <v>1.0088720444463592E-2</v>
      </c>
      <c r="N844" s="180">
        <f t="shared" si="54"/>
        <v>4.1775456919060053E-2</v>
      </c>
      <c r="O844" s="180">
        <f t="shared" si="55"/>
        <v>8.9446402207067448E-4</v>
      </c>
    </row>
    <row r="845" spans="9:15" x14ac:dyDescent="0.35">
      <c r="I845" s="408" t="s">
        <v>996</v>
      </c>
      <c r="J845" s="409">
        <v>38300</v>
      </c>
      <c r="K845" s="407">
        <v>927.93</v>
      </c>
      <c r="L845" s="41">
        <f t="shared" si="56"/>
        <v>4.1775456919060053E-2</v>
      </c>
      <c r="M845" s="41">
        <f t="shared" si="57"/>
        <v>8.9446402207067448E-4</v>
      </c>
      <c r="N845" s="180">
        <f t="shared" si="54"/>
        <v>7.8947368421052634E-3</v>
      </c>
      <c r="O845" s="180">
        <f t="shared" si="55"/>
        <v>-7.3173080008986507E-3</v>
      </c>
    </row>
    <row r="846" spans="9:15" x14ac:dyDescent="0.35">
      <c r="I846" s="408" t="s">
        <v>997</v>
      </c>
      <c r="J846" s="409">
        <v>38000</v>
      </c>
      <c r="K846" s="407">
        <v>934.77</v>
      </c>
      <c r="L846" s="41">
        <f t="shared" si="56"/>
        <v>7.8947368421052634E-3</v>
      </c>
      <c r="M846" s="41">
        <f t="shared" si="57"/>
        <v>-7.3173080008986507E-3</v>
      </c>
      <c r="N846" s="180">
        <f t="shared" si="54"/>
        <v>0</v>
      </c>
      <c r="O846" s="180">
        <f t="shared" si="55"/>
        <v>-2.8588191370207089E-3</v>
      </c>
    </row>
    <row r="847" spans="9:15" x14ac:dyDescent="0.35">
      <c r="I847" s="408" t="s">
        <v>998</v>
      </c>
      <c r="J847" s="409">
        <v>38000</v>
      </c>
      <c r="K847" s="407">
        <v>937.45</v>
      </c>
      <c r="L847" s="41">
        <f t="shared" si="56"/>
        <v>0</v>
      </c>
      <c r="M847" s="41">
        <f t="shared" si="57"/>
        <v>-2.8588191370207089E-3</v>
      </c>
      <c r="N847" s="180">
        <f t="shared" si="54"/>
        <v>-5.235602094240838E-3</v>
      </c>
      <c r="O847" s="180">
        <f t="shared" si="55"/>
        <v>-8.4200204638468158E-4</v>
      </c>
    </row>
    <row r="848" spans="9:15" x14ac:dyDescent="0.35">
      <c r="I848" s="408" t="s">
        <v>999</v>
      </c>
      <c r="J848" s="409">
        <v>38200</v>
      </c>
      <c r="K848" s="407">
        <v>938.24</v>
      </c>
      <c r="L848" s="41">
        <f t="shared" si="56"/>
        <v>-5.235602094240838E-3</v>
      </c>
      <c r="M848" s="41">
        <f t="shared" si="57"/>
        <v>-8.4200204638468158E-4</v>
      </c>
      <c r="N848" s="180">
        <f t="shared" si="54"/>
        <v>1.0582010582010581E-2</v>
      </c>
      <c r="O848" s="180">
        <f t="shared" si="55"/>
        <v>5.9721866734926531E-4</v>
      </c>
    </row>
    <row r="849" spans="9:15" x14ac:dyDescent="0.35">
      <c r="I849" s="408">
        <v>44167</v>
      </c>
      <c r="J849" s="409">
        <v>37800</v>
      </c>
      <c r="K849" s="407">
        <v>937.68</v>
      </c>
      <c r="L849" s="41">
        <f t="shared" si="56"/>
        <v>1.0582010582010581E-2</v>
      </c>
      <c r="M849" s="41">
        <f t="shared" si="57"/>
        <v>5.9721866734926531E-4</v>
      </c>
      <c r="N849" s="180">
        <f t="shared" si="54"/>
        <v>-2.8277634961439587E-2</v>
      </c>
      <c r="O849" s="180">
        <f t="shared" si="55"/>
        <v>3.2203879444081774E-3</v>
      </c>
    </row>
    <row r="850" spans="9:15" x14ac:dyDescent="0.35">
      <c r="I850" s="408">
        <v>44137</v>
      </c>
      <c r="J850" s="409">
        <v>38900</v>
      </c>
      <c r="K850" s="407">
        <v>934.67</v>
      </c>
      <c r="L850" s="41">
        <f t="shared" si="56"/>
        <v>-2.8277634961439587E-2</v>
      </c>
      <c r="M850" s="41">
        <f t="shared" si="57"/>
        <v>3.2203879444081774E-3</v>
      </c>
      <c r="N850" s="180">
        <f t="shared" si="54"/>
        <v>1.3020833333333334E-2</v>
      </c>
      <c r="O850" s="180">
        <f t="shared" si="55"/>
        <v>4.2332362769008638E-3</v>
      </c>
    </row>
    <row r="851" spans="9:15" x14ac:dyDescent="0.35">
      <c r="I851" s="408">
        <v>44106</v>
      </c>
      <c r="J851" s="409">
        <v>38400</v>
      </c>
      <c r="K851" s="407">
        <v>930.73</v>
      </c>
      <c r="L851" s="41">
        <f t="shared" si="56"/>
        <v>1.3020833333333334E-2</v>
      </c>
      <c r="M851" s="41">
        <f t="shared" si="57"/>
        <v>4.2332362769008638E-3</v>
      </c>
      <c r="N851" s="180">
        <f t="shared" si="54"/>
        <v>-1.5384615384615385E-2</v>
      </c>
      <c r="O851" s="180">
        <f t="shared" si="55"/>
        <v>-1.0651076268934341E-2</v>
      </c>
    </row>
    <row r="852" spans="9:15" x14ac:dyDescent="0.35">
      <c r="I852" s="408">
        <v>44014</v>
      </c>
      <c r="J852" s="409">
        <v>39000</v>
      </c>
      <c r="K852" s="407">
        <v>940.75</v>
      </c>
      <c r="L852" s="41">
        <f t="shared" si="56"/>
        <v>-1.5384615384615385E-2</v>
      </c>
      <c r="M852" s="41">
        <f t="shared" si="57"/>
        <v>-1.0651076268934341E-2</v>
      </c>
      <c r="N852" s="180">
        <f t="shared" si="54"/>
        <v>-1.5151515151515152E-2</v>
      </c>
      <c r="O852" s="180">
        <f t="shared" si="55"/>
        <v>2.3547211626569315E-3</v>
      </c>
    </row>
    <row r="853" spans="9:15" x14ac:dyDescent="0.35">
      <c r="I853" s="408">
        <v>43984</v>
      </c>
      <c r="J853" s="409">
        <v>39600</v>
      </c>
      <c r="K853" s="407">
        <v>938.54</v>
      </c>
      <c r="L853" s="41">
        <f t="shared" si="56"/>
        <v>-1.5151515151515152E-2</v>
      </c>
      <c r="M853" s="41">
        <f t="shared" si="57"/>
        <v>2.3547211626569315E-3</v>
      </c>
      <c r="N853" s="180">
        <f t="shared" si="54"/>
        <v>-2.2222222222222223E-2</v>
      </c>
      <c r="O853" s="180">
        <f t="shared" si="55"/>
        <v>1.364063461891544E-2</v>
      </c>
    </row>
    <row r="854" spans="9:15" x14ac:dyDescent="0.35">
      <c r="I854" s="408">
        <v>43953</v>
      </c>
      <c r="J854" s="409">
        <v>40500</v>
      </c>
      <c r="K854" s="407">
        <v>925.91</v>
      </c>
      <c r="L854" s="41">
        <f t="shared" si="56"/>
        <v>-2.2222222222222223E-2</v>
      </c>
      <c r="M854" s="41">
        <f t="shared" si="57"/>
        <v>1.364063461891544E-2</v>
      </c>
      <c r="N854" s="180">
        <f t="shared" si="54"/>
        <v>2.2727272727272728E-2</v>
      </c>
      <c r="O854" s="180">
        <f t="shared" si="55"/>
        <v>-3.4227039361095948E-3</v>
      </c>
    </row>
    <row r="855" spans="9:15" x14ac:dyDescent="0.35">
      <c r="I855" s="408">
        <v>43923</v>
      </c>
      <c r="J855" s="409">
        <v>39600</v>
      </c>
      <c r="K855" s="407">
        <v>929.09</v>
      </c>
      <c r="L855" s="41">
        <f t="shared" si="56"/>
        <v>2.2727272727272728E-2</v>
      </c>
      <c r="M855" s="41">
        <f t="shared" si="57"/>
        <v>-3.4227039361095948E-3</v>
      </c>
      <c r="N855" s="180">
        <f t="shared" si="54"/>
        <v>-0.01</v>
      </c>
      <c r="O855" s="180">
        <f t="shared" si="55"/>
        <v>1.0235524813067484E-3</v>
      </c>
    </row>
    <row r="856" spans="9:15" x14ac:dyDescent="0.35">
      <c r="I856" s="408">
        <v>43892</v>
      </c>
      <c r="J856" s="409">
        <v>40000</v>
      </c>
      <c r="K856" s="407">
        <v>928.14</v>
      </c>
      <c r="L856" s="41">
        <f t="shared" si="56"/>
        <v>-0.01</v>
      </c>
      <c r="M856" s="41">
        <f t="shared" si="57"/>
        <v>1.0235524813067484E-3</v>
      </c>
      <c r="N856" s="180">
        <f t="shared" si="54"/>
        <v>-2.31990231990232E-2</v>
      </c>
      <c r="O856" s="180">
        <f t="shared" si="55"/>
        <v>-9.0538318635092329E-3</v>
      </c>
    </row>
    <row r="857" spans="9:15" x14ac:dyDescent="0.35">
      <c r="I857" s="408" t="s">
        <v>1000</v>
      </c>
      <c r="J857" s="409">
        <v>40950</v>
      </c>
      <c r="K857" s="407">
        <v>936.62</v>
      </c>
      <c r="L857" s="41">
        <f t="shared" si="56"/>
        <v>-2.31990231990232E-2</v>
      </c>
      <c r="M857" s="41">
        <f t="shared" si="57"/>
        <v>-9.0538318635092329E-3</v>
      </c>
      <c r="N857" s="180">
        <f t="shared" si="54"/>
        <v>8.6206896551724137E-3</v>
      </c>
      <c r="O857" s="180">
        <f t="shared" si="55"/>
        <v>-2.3927134788136514E-2</v>
      </c>
    </row>
    <row r="858" spans="9:15" x14ac:dyDescent="0.35">
      <c r="I858" s="408" t="s">
        <v>1001</v>
      </c>
      <c r="J858" s="409">
        <v>40600</v>
      </c>
      <c r="K858" s="407">
        <v>959.58</v>
      </c>
      <c r="L858" s="41">
        <f t="shared" si="56"/>
        <v>8.6206896551724137E-3</v>
      </c>
      <c r="M858" s="41">
        <f t="shared" si="57"/>
        <v>-2.3927134788136514E-2</v>
      </c>
      <c r="N858" s="180">
        <f t="shared" si="54"/>
        <v>2.7848101265822784E-2</v>
      </c>
      <c r="O858" s="180">
        <f t="shared" si="55"/>
        <v>-3.2154600286446247E-2</v>
      </c>
    </row>
    <row r="859" spans="9:15" x14ac:dyDescent="0.35">
      <c r="I859" s="408" t="s">
        <v>1002</v>
      </c>
      <c r="J859" s="409">
        <v>39500</v>
      </c>
      <c r="K859" s="407">
        <v>991.46</v>
      </c>
      <c r="L859" s="41">
        <f t="shared" si="56"/>
        <v>2.7848101265822784E-2</v>
      </c>
      <c r="M859" s="41">
        <f t="shared" si="57"/>
        <v>-3.2154600286446247E-2</v>
      </c>
      <c r="N859" s="180">
        <f t="shared" si="54"/>
        <v>0</v>
      </c>
      <c r="O859" s="180">
        <f t="shared" si="55"/>
        <v>5.1603353711082373E-3</v>
      </c>
    </row>
    <row r="860" spans="9:15" x14ac:dyDescent="0.35">
      <c r="I860" s="408" t="s">
        <v>1003</v>
      </c>
      <c r="J860" s="409">
        <v>39500</v>
      </c>
      <c r="K860" s="407">
        <v>986.37</v>
      </c>
      <c r="L860" s="41">
        <f t="shared" si="56"/>
        <v>0</v>
      </c>
      <c r="M860" s="41">
        <f t="shared" si="57"/>
        <v>5.1603353711082373E-3</v>
      </c>
      <c r="N860" s="180">
        <f t="shared" si="54"/>
        <v>1.5424164524421594E-2</v>
      </c>
      <c r="O860" s="180">
        <f t="shared" si="55"/>
        <v>7.9090156647558408E-3</v>
      </c>
    </row>
    <row r="861" spans="9:15" x14ac:dyDescent="0.35">
      <c r="I861" s="408" t="s">
        <v>1004</v>
      </c>
      <c r="J861" s="409">
        <v>38900</v>
      </c>
      <c r="K861" s="407">
        <v>978.63</v>
      </c>
      <c r="L861" s="41">
        <f t="shared" si="56"/>
        <v>1.5424164524421594E-2</v>
      </c>
      <c r="M861" s="41">
        <f t="shared" si="57"/>
        <v>7.9090156647558408E-3</v>
      </c>
      <c r="N861" s="180">
        <f t="shared" si="54"/>
        <v>2.368421052631579E-2</v>
      </c>
      <c r="O861" s="180">
        <f t="shared" si="55"/>
        <v>-3.3709242461391775E-4</v>
      </c>
    </row>
    <row r="862" spans="9:15" x14ac:dyDescent="0.35">
      <c r="I862" s="408" t="s">
        <v>1005</v>
      </c>
      <c r="J862" s="409">
        <v>38000</v>
      </c>
      <c r="K862" s="407">
        <v>978.96</v>
      </c>
      <c r="L862" s="41">
        <f t="shared" si="56"/>
        <v>2.368421052631579E-2</v>
      </c>
      <c r="M862" s="41">
        <f t="shared" si="57"/>
        <v>-3.3709242461391775E-4</v>
      </c>
      <c r="N862" s="180">
        <f t="shared" si="54"/>
        <v>5.2910052910052907E-3</v>
      </c>
      <c r="O862" s="180">
        <f t="shared" si="55"/>
        <v>4.7726083074176506E-3</v>
      </c>
    </row>
    <row r="863" spans="9:15" x14ac:dyDescent="0.35">
      <c r="I863" s="408" t="s">
        <v>1006</v>
      </c>
      <c r="J863" s="409">
        <v>37800</v>
      </c>
      <c r="K863" s="407">
        <v>974.31</v>
      </c>
      <c r="L863" s="41">
        <f t="shared" si="56"/>
        <v>5.2910052910052907E-3</v>
      </c>
      <c r="M863" s="41">
        <f t="shared" si="57"/>
        <v>4.7726083074176506E-3</v>
      </c>
      <c r="N863" s="180">
        <f t="shared" si="54"/>
        <v>-2.072538860103627E-2</v>
      </c>
      <c r="O863" s="180">
        <f t="shared" si="55"/>
        <v>6.9763115465707555E-3</v>
      </c>
    </row>
    <row r="864" spans="9:15" x14ac:dyDescent="0.35">
      <c r="I864" s="408" t="s">
        <v>1007</v>
      </c>
      <c r="J864" s="409">
        <v>38600</v>
      </c>
      <c r="K864" s="407">
        <v>967.56</v>
      </c>
      <c r="L864" s="41">
        <f t="shared" si="56"/>
        <v>-2.072538860103627E-2</v>
      </c>
      <c r="M864" s="41">
        <f t="shared" si="57"/>
        <v>6.9763115465707555E-3</v>
      </c>
      <c r="N864" s="180">
        <f t="shared" si="54"/>
        <v>-2.2784810126582278E-2</v>
      </c>
      <c r="O864" s="180">
        <f t="shared" si="55"/>
        <v>5.7911065149942654E-4</v>
      </c>
    </row>
    <row r="865" spans="9:15" x14ac:dyDescent="0.35">
      <c r="I865" s="408" t="s">
        <v>1008</v>
      </c>
      <c r="J865" s="409">
        <v>39500</v>
      </c>
      <c r="K865" s="407">
        <v>967</v>
      </c>
      <c r="L865" s="41">
        <f t="shared" si="56"/>
        <v>-2.2784810126582278E-2</v>
      </c>
      <c r="M865" s="41">
        <f t="shared" si="57"/>
        <v>5.7911065149942654E-4</v>
      </c>
      <c r="N865" s="180">
        <f t="shared" si="54"/>
        <v>1.282051282051282E-2</v>
      </c>
      <c r="O865" s="180">
        <f t="shared" si="55"/>
        <v>1.2010270852314754E-3</v>
      </c>
    </row>
    <row r="866" spans="9:15" x14ac:dyDescent="0.35">
      <c r="I866" s="408" t="s">
        <v>1009</v>
      </c>
      <c r="J866" s="409">
        <v>39000</v>
      </c>
      <c r="K866" s="407">
        <v>965.84</v>
      </c>
      <c r="L866" s="41">
        <f t="shared" si="56"/>
        <v>1.282051282051282E-2</v>
      </c>
      <c r="M866" s="41">
        <f t="shared" si="57"/>
        <v>1.2010270852314754E-3</v>
      </c>
      <c r="N866" s="180">
        <f t="shared" ref="N866:N929" si="58">(J866-J867)/J867</f>
        <v>-1.1406844106463879E-2</v>
      </c>
      <c r="O866" s="180">
        <f t="shared" si="55"/>
        <v>-2.7877010758460487E-3</v>
      </c>
    </row>
    <row r="867" spans="9:15" x14ac:dyDescent="0.35">
      <c r="I867" s="408">
        <v>44105</v>
      </c>
      <c r="J867" s="409">
        <v>39450</v>
      </c>
      <c r="K867" s="407">
        <v>968.54</v>
      </c>
      <c r="L867" s="41">
        <f t="shared" si="56"/>
        <v>-1.1406844106463879E-2</v>
      </c>
      <c r="M867" s="41">
        <f t="shared" si="57"/>
        <v>-2.7877010758460487E-3</v>
      </c>
      <c r="N867" s="180">
        <f t="shared" si="58"/>
        <v>-8.7939698492462311E-3</v>
      </c>
      <c r="O867" s="180">
        <f t="shared" si="55"/>
        <v>8.7382179867728869E-3</v>
      </c>
    </row>
    <row r="868" spans="9:15" x14ac:dyDescent="0.35">
      <c r="I868" s="408">
        <v>44075</v>
      </c>
      <c r="J868" s="409">
        <v>39800</v>
      </c>
      <c r="K868" s="407">
        <v>960.15</v>
      </c>
      <c r="L868" s="41">
        <f t="shared" si="56"/>
        <v>-8.7939698492462311E-3</v>
      </c>
      <c r="M868" s="41">
        <f t="shared" si="57"/>
        <v>8.7382179867728869E-3</v>
      </c>
      <c r="N868" s="180">
        <f t="shared" si="58"/>
        <v>0</v>
      </c>
      <c r="O868" s="180">
        <f t="shared" si="55"/>
        <v>1.1770532571813904E-2</v>
      </c>
    </row>
    <row r="869" spans="9:15" x14ac:dyDescent="0.35">
      <c r="I869" s="408">
        <v>44044</v>
      </c>
      <c r="J869" s="409">
        <v>39800</v>
      </c>
      <c r="K869" s="407">
        <v>948.98</v>
      </c>
      <c r="L869" s="41">
        <f t="shared" si="56"/>
        <v>0</v>
      </c>
      <c r="M869" s="41">
        <f t="shared" si="57"/>
        <v>1.1770532571813904E-2</v>
      </c>
      <c r="N869" s="180">
        <f t="shared" si="58"/>
        <v>0</v>
      </c>
      <c r="O869" s="180">
        <f t="shared" si="55"/>
        <v>-1.0324545302853306E-2</v>
      </c>
    </row>
    <row r="870" spans="9:15" x14ac:dyDescent="0.35">
      <c r="I870" s="408">
        <v>44013</v>
      </c>
      <c r="J870" s="409">
        <v>39800</v>
      </c>
      <c r="K870" s="407">
        <v>958.88</v>
      </c>
      <c r="L870" s="41">
        <f t="shared" si="56"/>
        <v>0</v>
      </c>
      <c r="M870" s="41">
        <f t="shared" si="57"/>
        <v>-1.0324545302853306E-2</v>
      </c>
      <c r="N870" s="180">
        <f t="shared" si="58"/>
        <v>-2.5062656641604009E-3</v>
      </c>
      <c r="O870" s="180">
        <f t="shared" ref="O870:O933" si="59">(K870-K871)/K871</f>
        <v>3.2329277351719854E-3</v>
      </c>
    </row>
    <row r="871" spans="9:15" x14ac:dyDescent="0.35">
      <c r="I871" s="408">
        <v>43983</v>
      </c>
      <c r="J871" s="409">
        <v>39900</v>
      </c>
      <c r="K871" s="407">
        <v>955.79</v>
      </c>
      <c r="L871" s="41">
        <f t="shared" si="56"/>
        <v>-2.5062656641604009E-3</v>
      </c>
      <c r="M871" s="41">
        <f t="shared" si="57"/>
        <v>3.2329277351719854E-3</v>
      </c>
      <c r="N871" s="180">
        <f t="shared" si="58"/>
        <v>1.0126582278481013E-2</v>
      </c>
      <c r="O871" s="180">
        <f t="shared" si="59"/>
        <v>-9.6877136995669258E-3</v>
      </c>
    </row>
    <row r="872" spans="9:15" x14ac:dyDescent="0.35">
      <c r="I872" s="408">
        <v>43891</v>
      </c>
      <c r="J872" s="409">
        <v>39500</v>
      </c>
      <c r="K872" s="407">
        <v>965.14</v>
      </c>
      <c r="L872" s="41">
        <f t="shared" si="56"/>
        <v>1.0126582278481013E-2</v>
      </c>
      <c r="M872" s="41">
        <f t="shared" si="57"/>
        <v>-9.6877136995669258E-3</v>
      </c>
      <c r="N872" s="180">
        <f t="shared" si="58"/>
        <v>-1.1264080100125156E-2</v>
      </c>
      <c r="O872" s="180">
        <f t="shared" si="59"/>
        <v>-1.5827531629200996E-3</v>
      </c>
    </row>
    <row r="873" spans="9:15" x14ac:dyDescent="0.35">
      <c r="I873" s="408">
        <v>43862</v>
      </c>
      <c r="J873" s="409">
        <v>39950</v>
      </c>
      <c r="K873" s="407">
        <v>966.67</v>
      </c>
      <c r="L873" s="41">
        <f t="shared" si="56"/>
        <v>-1.1264080100125156E-2</v>
      </c>
      <c r="M873" s="41">
        <f t="shared" si="57"/>
        <v>-1.5827531629200996E-3</v>
      </c>
      <c r="N873" s="180">
        <f t="shared" si="58"/>
        <v>1.2531328320802004E-3</v>
      </c>
      <c r="O873" s="180">
        <f t="shared" si="59"/>
        <v>5.9105713899207588E-3</v>
      </c>
    </row>
    <row r="874" spans="9:15" x14ac:dyDescent="0.35">
      <c r="I874" s="408" t="s">
        <v>1010</v>
      </c>
      <c r="J874" s="409">
        <v>39900</v>
      </c>
      <c r="K874" s="407">
        <v>960.99</v>
      </c>
      <c r="L874" s="41">
        <f t="shared" si="56"/>
        <v>1.2531328320802004E-3</v>
      </c>
      <c r="M874" s="41">
        <f t="shared" si="57"/>
        <v>5.9105713899207588E-3</v>
      </c>
      <c r="N874" s="180">
        <f t="shared" si="58"/>
        <v>-2.5000000000000001E-3</v>
      </c>
      <c r="O874" s="180">
        <f t="shared" si="59"/>
        <v>-4.1863983503103155E-3</v>
      </c>
    </row>
    <row r="875" spans="9:15" x14ac:dyDescent="0.35">
      <c r="I875" s="408" t="s">
        <v>1011</v>
      </c>
      <c r="J875" s="409">
        <v>40000</v>
      </c>
      <c r="K875" s="407">
        <v>965.03</v>
      </c>
      <c r="L875" s="41">
        <f t="shared" si="56"/>
        <v>-2.5000000000000001E-3</v>
      </c>
      <c r="M875" s="41">
        <f t="shared" si="57"/>
        <v>-4.1863983503103155E-3</v>
      </c>
      <c r="N875" s="180">
        <f t="shared" si="58"/>
        <v>-4.0767386091127102E-2</v>
      </c>
      <c r="O875" s="180">
        <f t="shared" si="59"/>
        <v>1.5775653599858662E-3</v>
      </c>
    </row>
    <row r="876" spans="9:15" x14ac:dyDescent="0.35">
      <c r="I876" s="408" t="s">
        <v>1012</v>
      </c>
      <c r="J876" s="409">
        <v>41700</v>
      </c>
      <c r="K876" s="407">
        <v>963.51</v>
      </c>
      <c r="L876" s="41">
        <f t="shared" si="56"/>
        <v>-4.0767386091127102E-2</v>
      </c>
      <c r="M876" s="41">
        <f t="shared" si="57"/>
        <v>1.5775653599858662E-3</v>
      </c>
      <c r="N876" s="180">
        <f t="shared" si="58"/>
        <v>1.8315018315018316E-2</v>
      </c>
      <c r="O876" s="180">
        <f t="shared" si="59"/>
        <v>5.1325384157981605E-3</v>
      </c>
    </row>
    <row r="877" spans="9:15" x14ac:dyDescent="0.35">
      <c r="I877" s="408" t="s">
        <v>1013</v>
      </c>
      <c r="J877" s="409">
        <v>40950</v>
      </c>
      <c r="K877" s="407">
        <v>958.59</v>
      </c>
      <c r="L877" s="41">
        <f t="shared" si="56"/>
        <v>1.8315018315018316E-2</v>
      </c>
      <c r="M877" s="41">
        <f t="shared" si="57"/>
        <v>5.1325384157981605E-3</v>
      </c>
      <c r="N877" s="180">
        <f t="shared" si="58"/>
        <v>0</v>
      </c>
      <c r="O877" s="180">
        <f t="shared" si="59"/>
        <v>-2.4247596053781038E-3</v>
      </c>
    </row>
    <row r="878" spans="9:15" x14ac:dyDescent="0.35">
      <c r="I878" s="408" t="s">
        <v>1014</v>
      </c>
      <c r="J878" s="409">
        <v>40950</v>
      </c>
      <c r="K878" s="407">
        <v>960.92</v>
      </c>
      <c r="L878" s="41">
        <f t="shared" si="56"/>
        <v>0</v>
      </c>
      <c r="M878" s="41">
        <f t="shared" si="57"/>
        <v>-2.4247596053781038E-3</v>
      </c>
      <c r="N878" s="180">
        <f t="shared" si="58"/>
        <v>2.375E-2</v>
      </c>
      <c r="O878" s="180">
        <f t="shared" si="59"/>
        <v>2.1274820624061024E-3</v>
      </c>
    </row>
    <row r="879" spans="9:15" x14ac:dyDescent="0.35">
      <c r="I879" s="408" t="s">
        <v>1015</v>
      </c>
      <c r="J879" s="409">
        <v>40000</v>
      </c>
      <c r="K879" s="407">
        <v>958.88</v>
      </c>
      <c r="L879" s="41">
        <f t="shared" si="56"/>
        <v>2.375E-2</v>
      </c>
      <c r="M879" s="41">
        <f t="shared" si="57"/>
        <v>2.1274820624061024E-3</v>
      </c>
      <c r="N879" s="180">
        <f t="shared" si="58"/>
        <v>0</v>
      </c>
      <c r="O879" s="180">
        <f t="shared" si="59"/>
        <v>-5.7325703803295144E-4</v>
      </c>
    </row>
    <row r="880" spans="9:15" x14ac:dyDescent="0.35">
      <c r="I880" s="408" t="s">
        <v>1016</v>
      </c>
      <c r="J880" s="409">
        <v>40000</v>
      </c>
      <c r="K880" s="407">
        <v>959.43</v>
      </c>
      <c r="L880" s="41">
        <f t="shared" si="56"/>
        <v>0</v>
      </c>
      <c r="M880" s="41">
        <f t="shared" si="57"/>
        <v>-5.7325703803295144E-4</v>
      </c>
      <c r="N880" s="180">
        <f t="shared" si="58"/>
        <v>2.5062656641604009E-3</v>
      </c>
      <c r="O880" s="180">
        <f t="shared" si="59"/>
        <v>3.1576415972229292E-3</v>
      </c>
    </row>
    <row r="881" spans="9:15" x14ac:dyDescent="0.35">
      <c r="I881" s="408" t="s">
        <v>1017</v>
      </c>
      <c r="J881" s="409">
        <v>39900</v>
      </c>
      <c r="K881" s="407">
        <v>956.41</v>
      </c>
      <c r="L881" s="41">
        <f t="shared" si="56"/>
        <v>2.5062656641604009E-3</v>
      </c>
      <c r="M881" s="41">
        <f t="shared" si="57"/>
        <v>3.1576415972229292E-3</v>
      </c>
      <c r="N881" s="180">
        <f t="shared" si="58"/>
        <v>-2.5000000000000001E-3</v>
      </c>
      <c r="O881" s="180">
        <f t="shared" si="59"/>
        <v>4.3580534727910205E-3</v>
      </c>
    </row>
    <row r="882" spans="9:15" x14ac:dyDescent="0.35">
      <c r="I882" s="408" t="s">
        <v>1018</v>
      </c>
      <c r="J882" s="409">
        <v>40000</v>
      </c>
      <c r="K882" s="407">
        <v>952.26</v>
      </c>
      <c r="L882" s="41">
        <f t="shared" si="56"/>
        <v>-2.5000000000000001E-3</v>
      </c>
      <c r="M882" s="41">
        <f t="shared" si="57"/>
        <v>4.3580534727910205E-3</v>
      </c>
      <c r="N882" s="180">
        <f t="shared" si="58"/>
        <v>1.2515644555694619E-3</v>
      </c>
      <c r="O882" s="180">
        <f t="shared" si="59"/>
        <v>1.1880605174897181E-3</v>
      </c>
    </row>
    <row r="883" spans="9:15" x14ac:dyDescent="0.35">
      <c r="I883" s="408" t="s">
        <v>1019</v>
      </c>
      <c r="J883" s="409">
        <v>39950</v>
      </c>
      <c r="K883" s="407">
        <v>951.13</v>
      </c>
      <c r="L883" s="41">
        <f t="shared" si="56"/>
        <v>1.2515644555694619E-3</v>
      </c>
      <c r="M883" s="41">
        <f t="shared" si="57"/>
        <v>1.1880605174897181E-3</v>
      </c>
      <c r="N883" s="180">
        <f t="shared" si="58"/>
        <v>-1.3580246913580247E-2</v>
      </c>
      <c r="O883" s="180">
        <f t="shared" si="59"/>
        <v>-3.0397366959110063E-3</v>
      </c>
    </row>
    <row r="884" spans="9:15" x14ac:dyDescent="0.35">
      <c r="I884" s="408" t="s">
        <v>1020</v>
      </c>
      <c r="J884" s="409">
        <v>40500</v>
      </c>
      <c r="K884" s="407">
        <v>954.03</v>
      </c>
      <c r="L884" s="41">
        <f t="shared" si="56"/>
        <v>-1.3580246913580247E-2</v>
      </c>
      <c r="M884" s="41">
        <f t="shared" si="57"/>
        <v>-3.0397366959110063E-3</v>
      </c>
      <c r="N884" s="180">
        <f t="shared" si="58"/>
        <v>-1.2195121951219513E-2</v>
      </c>
      <c r="O884" s="180">
        <f t="shared" si="59"/>
        <v>-7.7381509563481483E-3</v>
      </c>
    </row>
    <row r="885" spans="9:15" x14ac:dyDescent="0.35">
      <c r="I885" s="408" t="s">
        <v>1021</v>
      </c>
      <c r="J885" s="409">
        <v>41000</v>
      </c>
      <c r="K885" s="407">
        <v>961.47</v>
      </c>
      <c r="L885" s="41">
        <f t="shared" si="56"/>
        <v>-1.2195121951219513E-2</v>
      </c>
      <c r="M885" s="41">
        <f t="shared" si="57"/>
        <v>-7.7381509563481483E-3</v>
      </c>
      <c r="N885" s="180">
        <f t="shared" si="58"/>
        <v>-2.0310633213859019E-2</v>
      </c>
      <c r="O885" s="180">
        <f t="shared" si="59"/>
        <v>-4.8748680370116568E-3</v>
      </c>
    </row>
    <row r="886" spans="9:15" x14ac:dyDescent="0.35">
      <c r="I886" s="408" t="s">
        <v>1022</v>
      </c>
      <c r="J886" s="409">
        <v>41850</v>
      </c>
      <c r="K886" s="407">
        <v>966.18</v>
      </c>
      <c r="L886" s="41">
        <f t="shared" si="56"/>
        <v>-2.0310633213859019E-2</v>
      </c>
      <c r="M886" s="41">
        <f t="shared" si="57"/>
        <v>-4.8748680370116568E-3</v>
      </c>
      <c r="N886" s="180">
        <f t="shared" si="58"/>
        <v>1.1961722488038277E-3</v>
      </c>
      <c r="O886" s="180">
        <f t="shared" si="59"/>
        <v>-2.0554241507173424E-3</v>
      </c>
    </row>
    <row r="887" spans="9:15" x14ac:dyDescent="0.35">
      <c r="I887" s="408">
        <v>43811</v>
      </c>
      <c r="J887" s="409">
        <v>41800</v>
      </c>
      <c r="K887" s="407">
        <v>968.17</v>
      </c>
      <c r="L887" s="41">
        <f t="shared" si="56"/>
        <v>1.1961722488038277E-3</v>
      </c>
      <c r="M887" s="41">
        <f t="shared" si="57"/>
        <v>-2.0554241507173424E-3</v>
      </c>
      <c r="N887" s="180">
        <f t="shared" si="58"/>
        <v>-4.7619047619047623E-3</v>
      </c>
      <c r="O887" s="180">
        <f t="shared" si="59"/>
        <v>6.6439310445216022E-3</v>
      </c>
    </row>
    <row r="888" spans="9:15" x14ac:dyDescent="0.35">
      <c r="I888" s="408">
        <v>43781</v>
      </c>
      <c r="J888" s="409">
        <v>42000</v>
      </c>
      <c r="K888" s="407">
        <v>961.78</v>
      </c>
      <c r="L888" s="41">
        <f t="shared" si="56"/>
        <v>-4.7619047619047623E-3</v>
      </c>
      <c r="M888" s="41">
        <f t="shared" si="57"/>
        <v>6.6439310445216022E-3</v>
      </c>
      <c r="N888" s="180">
        <f t="shared" si="58"/>
        <v>0</v>
      </c>
      <c r="O888" s="180">
        <f t="shared" si="59"/>
        <v>1.5411850463397045E-3</v>
      </c>
    </row>
    <row r="889" spans="9:15" x14ac:dyDescent="0.35">
      <c r="I889" s="408">
        <v>43750</v>
      </c>
      <c r="J889" s="409">
        <v>42000</v>
      </c>
      <c r="K889" s="407">
        <v>960.3</v>
      </c>
      <c r="L889" s="41">
        <f t="shared" si="56"/>
        <v>0</v>
      </c>
      <c r="M889" s="41">
        <f t="shared" si="57"/>
        <v>1.5411850463397045E-3</v>
      </c>
      <c r="N889" s="180">
        <f t="shared" si="58"/>
        <v>-9.2236559647094901E-3</v>
      </c>
      <c r="O889" s="180">
        <f t="shared" si="59"/>
        <v>-5.9623625861747629E-3</v>
      </c>
    </row>
    <row r="890" spans="9:15" x14ac:dyDescent="0.35">
      <c r="I890" s="408">
        <v>43720</v>
      </c>
      <c r="J890" s="409">
        <v>42391</v>
      </c>
      <c r="K890" s="407">
        <v>966.06</v>
      </c>
      <c r="L890" s="41">
        <f t="shared" si="56"/>
        <v>-9.2236559647094901E-3</v>
      </c>
      <c r="M890" s="41">
        <f t="shared" si="57"/>
        <v>-5.9623625861747629E-3</v>
      </c>
      <c r="N890" s="180">
        <f t="shared" si="58"/>
        <v>1.6400124679310426E-2</v>
      </c>
      <c r="O890" s="180">
        <f t="shared" si="59"/>
        <v>2.5945452281124167E-3</v>
      </c>
    </row>
    <row r="891" spans="9:15" x14ac:dyDescent="0.35">
      <c r="I891" s="408">
        <v>43628</v>
      </c>
      <c r="J891" s="409">
        <v>41707</v>
      </c>
      <c r="K891" s="407">
        <v>963.56</v>
      </c>
      <c r="L891" s="41">
        <f t="shared" si="56"/>
        <v>1.6400124679310426E-2</v>
      </c>
      <c r="M891" s="41">
        <f t="shared" si="57"/>
        <v>2.5945452281124167E-3</v>
      </c>
      <c r="N891" s="180">
        <f t="shared" si="58"/>
        <v>6.2192792563351584E-2</v>
      </c>
      <c r="O891" s="180">
        <f t="shared" si="59"/>
        <v>3.0105785501465177E-4</v>
      </c>
    </row>
    <row r="892" spans="9:15" x14ac:dyDescent="0.35">
      <c r="I892" s="408">
        <v>43597</v>
      </c>
      <c r="J892" s="409">
        <v>39265</v>
      </c>
      <c r="K892" s="407">
        <v>963.27</v>
      </c>
      <c r="L892" s="41">
        <f t="shared" si="56"/>
        <v>6.2192792563351584E-2</v>
      </c>
      <c r="M892" s="41">
        <f t="shared" si="57"/>
        <v>3.0105785501465177E-4</v>
      </c>
      <c r="N892" s="180">
        <f t="shared" si="58"/>
        <v>0</v>
      </c>
      <c r="O892" s="180">
        <f t="shared" si="59"/>
        <v>-2.7228491562273482E-3</v>
      </c>
    </row>
    <row r="893" spans="9:15" x14ac:dyDescent="0.35">
      <c r="I893" s="408">
        <v>43567</v>
      </c>
      <c r="J893" s="409">
        <v>39265</v>
      </c>
      <c r="K893" s="407">
        <v>965.9</v>
      </c>
      <c r="L893" s="41">
        <f t="shared" si="56"/>
        <v>0</v>
      </c>
      <c r="M893" s="41">
        <f t="shared" si="57"/>
        <v>-2.7228491562273482E-3</v>
      </c>
      <c r="N893" s="180">
        <f t="shared" si="58"/>
        <v>4.9910417199897621E-3</v>
      </c>
      <c r="O893" s="180">
        <f t="shared" si="59"/>
        <v>1.3079093378643453E-2</v>
      </c>
    </row>
    <row r="894" spans="9:15" x14ac:dyDescent="0.35">
      <c r="I894" s="408">
        <v>43536</v>
      </c>
      <c r="J894" s="409">
        <v>39070</v>
      </c>
      <c r="K894" s="407">
        <v>953.43</v>
      </c>
      <c r="L894" s="41">
        <f t="shared" si="56"/>
        <v>4.9910417199897621E-3</v>
      </c>
      <c r="M894" s="41">
        <f t="shared" si="57"/>
        <v>1.3079093378643453E-2</v>
      </c>
      <c r="N894" s="180">
        <f t="shared" si="58"/>
        <v>-7.4435383481950054E-3</v>
      </c>
      <c r="O894" s="180">
        <f t="shared" si="59"/>
        <v>-6.129405510210459E-3</v>
      </c>
    </row>
    <row r="895" spans="9:15" x14ac:dyDescent="0.35">
      <c r="I895" s="408">
        <v>43508</v>
      </c>
      <c r="J895" s="409">
        <v>39363</v>
      </c>
      <c r="K895" s="407">
        <v>959.31</v>
      </c>
      <c r="L895" s="41">
        <f t="shared" si="56"/>
        <v>-7.4435383481950054E-3</v>
      </c>
      <c r="M895" s="41">
        <f t="shared" si="57"/>
        <v>-6.129405510210459E-3</v>
      </c>
      <c r="N895" s="180">
        <f t="shared" si="58"/>
        <v>-2.5668316831683167E-2</v>
      </c>
      <c r="O895" s="180">
        <f t="shared" si="59"/>
        <v>-1.1784702549575128E-2</v>
      </c>
    </row>
    <row r="896" spans="9:15" x14ac:dyDescent="0.35">
      <c r="I896" s="408" t="s">
        <v>1023</v>
      </c>
      <c r="J896" s="409">
        <v>40400</v>
      </c>
      <c r="K896" s="407">
        <v>970.75</v>
      </c>
      <c r="L896" s="41">
        <f t="shared" si="56"/>
        <v>-2.5668316831683167E-2</v>
      </c>
      <c r="M896" s="41">
        <f t="shared" si="57"/>
        <v>-1.1784702549575128E-2</v>
      </c>
      <c r="N896" s="180">
        <f t="shared" si="58"/>
        <v>-1.4634146341463415E-2</v>
      </c>
      <c r="O896" s="180">
        <f t="shared" si="59"/>
        <v>3.7098486175662736E-4</v>
      </c>
    </row>
    <row r="897" spans="9:15" x14ac:dyDescent="0.35">
      <c r="I897" s="408" t="s">
        <v>1024</v>
      </c>
      <c r="J897" s="409">
        <v>41000</v>
      </c>
      <c r="K897" s="407">
        <v>970.39</v>
      </c>
      <c r="L897" s="41">
        <f t="shared" si="56"/>
        <v>-1.4634146341463415E-2</v>
      </c>
      <c r="M897" s="41">
        <f t="shared" si="57"/>
        <v>3.7098486175662736E-4</v>
      </c>
      <c r="N897" s="180">
        <f t="shared" si="58"/>
        <v>0</v>
      </c>
      <c r="O897" s="180">
        <f t="shared" si="59"/>
        <v>-7.9536276925278558E-3</v>
      </c>
    </row>
    <row r="898" spans="9:15" x14ac:dyDescent="0.35">
      <c r="I898" s="408" t="s">
        <v>1025</v>
      </c>
      <c r="J898" s="409">
        <v>41000</v>
      </c>
      <c r="K898" s="407">
        <v>978.17</v>
      </c>
      <c r="L898" s="41">
        <f t="shared" si="56"/>
        <v>0</v>
      </c>
      <c r="M898" s="41">
        <f t="shared" si="57"/>
        <v>-7.9536276925278558E-3</v>
      </c>
      <c r="N898" s="180">
        <f t="shared" si="58"/>
        <v>3.015075376884422E-2</v>
      </c>
      <c r="O898" s="180">
        <f t="shared" si="59"/>
        <v>1.4127908762374671E-3</v>
      </c>
    </row>
    <row r="899" spans="9:15" x14ac:dyDescent="0.35">
      <c r="I899" s="408" t="s">
        <v>1026</v>
      </c>
      <c r="J899" s="409">
        <v>39800</v>
      </c>
      <c r="K899" s="407">
        <v>976.79</v>
      </c>
      <c r="L899" s="41">
        <f t="shared" si="56"/>
        <v>3.015075376884422E-2</v>
      </c>
      <c r="M899" s="41">
        <f t="shared" si="57"/>
        <v>1.4127908762374671E-3</v>
      </c>
      <c r="N899" s="180">
        <f t="shared" si="58"/>
        <v>-5.0000000000000001E-3</v>
      </c>
      <c r="O899" s="180">
        <f t="shared" si="59"/>
        <v>4.506580631944906E-4</v>
      </c>
    </row>
    <row r="900" spans="9:15" x14ac:dyDescent="0.35">
      <c r="I900" s="408" t="s">
        <v>1027</v>
      </c>
      <c r="J900" s="409">
        <v>40000</v>
      </c>
      <c r="K900" s="407">
        <v>976.35</v>
      </c>
      <c r="L900" s="41">
        <f t="shared" ref="L900:L963" si="60">(J899-J900)/J900</f>
        <v>-5.0000000000000001E-3</v>
      </c>
      <c r="M900" s="41">
        <f t="shared" ref="M900:M963" si="61">(K899-K900)/K900</f>
        <v>4.506580631944906E-4</v>
      </c>
      <c r="N900" s="180">
        <f t="shared" si="58"/>
        <v>-4.1916167664670656E-2</v>
      </c>
      <c r="O900" s="180">
        <f t="shared" si="59"/>
        <v>-1.4624966761438668E-3</v>
      </c>
    </row>
    <row r="901" spans="9:15" x14ac:dyDescent="0.35">
      <c r="I901" s="408" t="s">
        <v>1028</v>
      </c>
      <c r="J901" s="409">
        <v>41750</v>
      </c>
      <c r="K901" s="407">
        <v>977.78</v>
      </c>
      <c r="L901" s="41">
        <f t="shared" si="60"/>
        <v>-4.1916167664670656E-2</v>
      </c>
      <c r="M901" s="41">
        <f t="shared" si="61"/>
        <v>-1.4624966761438668E-3</v>
      </c>
      <c r="N901" s="180">
        <f t="shared" si="58"/>
        <v>1.8292682926829267E-2</v>
      </c>
      <c r="O901" s="180">
        <f t="shared" si="59"/>
        <v>-1.0233932927755129E-2</v>
      </c>
    </row>
    <row r="902" spans="9:15" x14ac:dyDescent="0.35">
      <c r="I902" s="408" t="s">
        <v>1029</v>
      </c>
      <c r="J902" s="409">
        <v>41000</v>
      </c>
      <c r="K902" s="407">
        <v>987.89</v>
      </c>
      <c r="L902" s="41">
        <f t="shared" si="60"/>
        <v>1.8292682926829267E-2</v>
      </c>
      <c r="M902" s="41">
        <f t="shared" si="61"/>
        <v>-1.0233932927755129E-2</v>
      </c>
      <c r="N902" s="180">
        <f t="shared" si="58"/>
        <v>0</v>
      </c>
      <c r="O902" s="180">
        <f t="shared" si="59"/>
        <v>-1.266290877108815E-2</v>
      </c>
    </row>
    <row r="903" spans="9:15" x14ac:dyDescent="0.35">
      <c r="I903" s="408" t="s">
        <v>1030</v>
      </c>
      <c r="J903" s="409">
        <v>41000</v>
      </c>
      <c r="K903" s="409">
        <v>1000.56</v>
      </c>
      <c r="L903" s="41">
        <f t="shared" si="60"/>
        <v>0</v>
      </c>
      <c r="M903" s="41">
        <f t="shared" si="61"/>
        <v>-1.266290877108815E-2</v>
      </c>
      <c r="N903" s="180">
        <f t="shared" si="58"/>
        <v>-3.6452004860267314E-3</v>
      </c>
      <c r="O903" s="180">
        <f t="shared" si="59"/>
        <v>-7.7254921406258508E-3</v>
      </c>
    </row>
    <row r="904" spans="9:15" x14ac:dyDescent="0.35">
      <c r="I904" s="408" t="s">
        <v>1031</v>
      </c>
      <c r="J904" s="409">
        <v>41150</v>
      </c>
      <c r="K904" s="409">
        <v>1008.35</v>
      </c>
      <c r="L904" s="41">
        <f t="shared" si="60"/>
        <v>-3.6452004860267314E-3</v>
      </c>
      <c r="M904" s="41">
        <f t="shared" si="61"/>
        <v>-7.7254921406258508E-3</v>
      </c>
      <c r="N904" s="180">
        <f t="shared" si="58"/>
        <v>-1.7899761336515514E-2</v>
      </c>
      <c r="O904" s="180">
        <f t="shared" si="59"/>
        <v>5.4242155327996078E-3</v>
      </c>
    </row>
    <row r="905" spans="9:15" x14ac:dyDescent="0.35">
      <c r="I905" s="408" t="s">
        <v>1032</v>
      </c>
      <c r="J905" s="409">
        <v>41900</v>
      </c>
      <c r="K905" s="409">
        <v>1002.91</v>
      </c>
      <c r="L905" s="41">
        <f t="shared" si="60"/>
        <v>-1.7899761336515514E-2</v>
      </c>
      <c r="M905" s="41">
        <f t="shared" si="61"/>
        <v>5.4242155327996078E-3</v>
      </c>
      <c r="N905" s="180">
        <f t="shared" si="58"/>
        <v>-2.2170361726954493E-2</v>
      </c>
      <c r="O905" s="180">
        <f t="shared" si="59"/>
        <v>-7.0492955654782577E-3</v>
      </c>
    </row>
    <row r="906" spans="9:15" x14ac:dyDescent="0.35">
      <c r="I906" s="408" t="s">
        <v>1033</v>
      </c>
      <c r="J906" s="409">
        <v>42850</v>
      </c>
      <c r="K906" s="409">
        <v>1010.03</v>
      </c>
      <c r="L906" s="41">
        <f t="shared" si="60"/>
        <v>-2.2170361726954493E-2</v>
      </c>
      <c r="M906" s="41">
        <f t="shared" si="61"/>
        <v>-7.0492955654782577E-3</v>
      </c>
      <c r="N906" s="180">
        <f t="shared" si="58"/>
        <v>1.3002364066193853E-2</v>
      </c>
      <c r="O906" s="180">
        <f t="shared" si="59"/>
        <v>-2.2424182554578505E-3</v>
      </c>
    </row>
    <row r="907" spans="9:15" x14ac:dyDescent="0.35">
      <c r="I907" s="408" t="s">
        <v>1034</v>
      </c>
      <c r="J907" s="409">
        <v>42300</v>
      </c>
      <c r="K907" s="409">
        <v>1012.3</v>
      </c>
      <c r="L907" s="41">
        <f t="shared" si="60"/>
        <v>1.3002364066193853E-2</v>
      </c>
      <c r="M907" s="41">
        <f t="shared" si="61"/>
        <v>-2.2424182554578505E-3</v>
      </c>
      <c r="N907" s="180">
        <f t="shared" si="58"/>
        <v>-5.8754406580493537E-3</v>
      </c>
      <c r="O907" s="180">
        <f t="shared" si="59"/>
        <v>-4.6407377785679602E-4</v>
      </c>
    </row>
    <row r="908" spans="9:15" x14ac:dyDescent="0.35">
      <c r="I908" s="408" t="s">
        <v>1035</v>
      </c>
      <c r="J908" s="409">
        <v>42550</v>
      </c>
      <c r="K908" s="409">
        <v>1012.77</v>
      </c>
      <c r="L908" s="41">
        <f t="shared" si="60"/>
        <v>-5.8754406580493537E-3</v>
      </c>
      <c r="M908" s="41">
        <f t="shared" si="61"/>
        <v>-4.6407377785679602E-4</v>
      </c>
      <c r="N908" s="180">
        <f t="shared" si="58"/>
        <v>-2.1839080459770115E-2</v>
      </c>
      <c r="O908" s="180">
        <f t="shared" si="59"/>
        <v>-5.4599196724048771E-3</v>
      </c>
    </row>
    <row r="909" spans="9:15" x14ac:dyDescent="0.35">
      <c r="I909" s="408">
        <v>43810</v>
      </c>
      <c r="J909" s="409">
        <v>43500</v>
      </c>
      <c r="K909" s="409">
        <v>1018.33</v>
      </c>
      <c r="L909" s="41">
        <f t="shared" si="60"/>
        <v>-2.1839080459770115E-2</v>
      </c>
      <c r="M909" s="41">
        <f t="shared" si="61"/>
        <v>-5.4599196724048771E-3</v>
      </c>
      <c r="N909" s="180">
        <f t="shared" si="58"/>
        <v>0</v>
      </c>
      <c r="O909" s="180">
        <f t="shared" si="59"/>
        <v>1.5539709859847955E-3</v>
      </c>
    </row>
    <row r="910" spans="9:15" x14ac:dyDescent="0.35">
      <c r="I910" s="408">
        <v>43780</v>
      </c>
      <c r="J910" s="409">
        <v>43500</v>
      </c>
      <c r="K910" s="409">
        <v>1016.75</v>
      </c>
      <c r="L910" s="41">
        <f t="shared" si="60"/>
        <v>0</v>
      </c>
      <c r="M910" s="41">
        <f t="shared" si="61"/>
        <v>1.5539709859847955E-3</v>
      </c>
      <c r="N910" s="180">
        <f t="shared" si="58"/>
        <v>-2.2935779816513763E-3</v>
      </c>
      <c r="O910" s="180">
        <f t="shared" si="59"/>
        <v>-5.6137468337098739E-3</v>
      </c>
    </row>
    <row r="911" spans="9:15" x14ac:dyDescent="0.35">
      <c r="I911" s="408">
        <v>43688</v>
      </c>
      <c r="J911" s="409">
        <v>43600</v>
      </c>
      <c r="K911" s="409">
        <v>1022.49</v>
      </c>
      <c r="L911" s="41">
        <f t="shared" si="60"/>
        <v>-2.2935779816513763E-3</v>
      </c>
      <c r="M911" s="41">
        <f t="shared" si="61"/>
        <v>-5.6137468337098739E-3</v>
      </c>
      <c r="N911" s="180">
        <f t="shared" si="58"/>
        <v>1.0428736964078795E-2</v>
      </c>
      <c r="O911" s="180">
        <f t="shared" si="59"/>
        <v>-1.5038621915373217E-3</v>
      </c>
    </row>
    <row r="912" spans="9:15" x14ac:dyDescent="0.35">
      <c r="I912" s="408">
        <v>43657</v>
      </c>
      <c r="J912" s="409">
        <v>43150</v>
      </c>
      <c r="K912" s="409">
        <v>1024.03</v>
      </c>
      <c r="L912" s="41">
        <f t="shared" si="60"/>
        <v>1.0428736964078795E-2</v>
      </c>
      <c r="M912" s="41">
        <f t="shared" si="61"/>
        <v>-1.5038621915373217E-3</v>
      </c>
      <c r="N912" s="180">
        <f t="shared" si="58"/>
        <v>2.7380952380952381E-2</v>
      </c>
      <c r="O912" s="180">
        <f t="shared" si="59"/>
        <v>-8.5861197568577643E-4</v>
      </c>
    </row>
    <row r="913" spans="9:15" x14ac:dyDescent="0.35">
      <c r="I913" s="408">
        <v>43627</v>
      </c>
      <c r="J913" s="409">
        <v>42000</v>
      </c>
      <c r="K913" s="409">
        <v>1024.9100000000001</v>
      </c>
      <c r="L913" s="41">
        <f t="shared" si="60"/>
        <v>2.7380952380952381E-2</v>
      </c>
      <c r="M913" s="41">
        <f t="shared" si="61"/>
        <v>-8.5861197568577643E-4</v>
      </c>
      <c r="N913" s="180">
        <f t="shared" si="58"/>
        <v>-6.6666666666666666E-2</v>
      </c>
      <c r="O913" s="180">
        <f t="shared" si="59"/>
        <v>5.564558642639785E-4</v>
      </c>
    </row>
    <row r="914" spans="9:15" x14ac:dyDescent="0.35">
      <c r="I914" s="408">
        <v>43596</v>
      </c>
      <c r="J914" s="409">
        <v>45000</v>
      </c>
      <c r="K914" s="409">
        <v>1024.3399999999999</v>
      </c>
      <c r="L914" s="41">
        <f t="shared" si="60"/>
        <v>-6.6666666666666666E-2</v>
      </c>
      <c r="M914" s="41">
        <f t="shared" si="61"/>
        <v>5.564558642639785E-4</v>
      </c>
      <c r="N914" s="180">
        <f t="shared" si="58"/>
        <v>-1.9607843137254902E-2</v>
      </c>
      <c r="O914" s="180">
        <f t="shared" si="59"/>
        <v>1.8680985495339224E-3</v>
      </c>
    </row>
    <row r="915" spans="9:15" x14ac:dyDescent="0.35">
      <c r="I915" s="408">
        <v>43566</v>
      </c>
      <c r="J915" s="409">
        <v>45900</v>
      </c>
      <c r="K915" s="409">
        <v>1022.43</v>
      </c>
      <c r="L915" s="41">
        <f t="shared" si="60"/>
        <v>-1.9607843137254902E-2</v>
      </c>
      <c r="M915" s="41">
        <f t="shared" si="61"/>
        <v>1.8680985495339224E-3</v>
      </c>
      <c r="N915" s="180">
        <f t="shared" si="58"/>
        <v>-2.1739130434782609E-3</v>
      </c>
      <c r="O915" s="180">
        <f t="shared" si="59"/>
        <v>6.7350013292764976E-3</v>
      </c>
    </row>
    <row r="916" spans="9:15" x14ac:dyDescent="0.35">
      <c r="I916" s="408">
        <v>43476</v>
      </c>
      <c r="J916" s="409">
        <v>46000</v>
      </c>
      <c r="K916" s="409">
        <v>1015.59</v>
      </c>
      <c r="L916" s="41">
        <f t="shared" si="60"/>
        <v>-2.1739130434782609E-3</v>
      </c>
      <c r="M916" s="41">
        <f t="shared" si="61"/>
        <v>6.7350013292764976E-3</v>
      </c>
      <c r="N916" s="180">
        <f t="shared" si="58"/>
        <v>-6.1224489795918366E-2</v>
      </c>
      <c r="O916" s="180">
        <f t="shared" si="59"/>
        <v>1.678981197813418E-2</v>
      </c>
    </row>
    <row r="917" spans="9:15" x14ac:dyDescent="0.35">
      <c r="I917" s="408" t="s">
        <v>1036</v>
      </c>
      <c r="J917" s="409">
        <v>49000</v>
      </c>
      <c r="K917" s="407">
        <v>998.82</v>
      </c>
      <c r="L917" s="41">
        <f t="shared" si="60"/>
        <v>-6.1224489795918366E-2</v>
      </c>
      <c r="M917" s="41">
        <f t="shared" si="61"/>
        <v>1.678981197813418E-2</v>
      </c>
      <c r="N917" s="180">
        <f t="shared" si="58"/>
        <v>0</v>
      </c>
      <c r="O917" s="180">
        <f t="shared" si="59"/>
        <v>-2.0681593381889482E-3</v>
      </c>
    </row>
    <row r="918" spans="9:15" x14ac:dyDescent="0.35">
      <c r="I918" s="408" t="s">
        <v>1037</v>
      </c>
      <c r="J918" s="409">
        <v>49000</v>
      </c>
      <c r="K918" s="409">
        <v>1000.89</v>
      </c>
      <c r="L918" s="41">
        <f t="shared" si="60"/>
        <v>0</v>
      </c>
      <c r="M918" s="41">
        <f t="shared" si="61"/>
        <v>-2.0681593381889482E-3</v>
      </c>
      <c r="N918" s="180">
        <f t="shared" si="58"/>
        <v>-2.1956087824351298E-2</v>
      </c>
      <c r="O918" s="180">
        <f t="shared" si="59"/>
        <v>5.0408185807384312E-3</v>
      </c>
    </row>
    <row r="919" spans="9:15" x14ac:dyDescent="0.35">
      <c r="I919" s="408" t="s">
        <v>1038</v>
      </c>
      <c r="J919" s="409">
        <v>50100</v>
      </c>
      <c r="K919" s="407">
        <v>995.87</v>
      </c>
      <c r="L919" s="41">
        <f t="shared" si="60"/>
        <v>-2.1956087824351298E-2</v>
      </c>
      <c r="M919" s="41">
        <f t="shared" si="61"/>
        <v>5.0408185807384312E-3</v>
      </c>
      <c r="N919" s="180">
        <f t="shared" si="58"/>
        <v>0</v>
      </c>
      <c r="O919" s="180">
        <f t="shared" si="59"/>
        <v>-6.1215478484265978E-4</v>
      </c>
    </row>
    <row r="920" spans="9:15" x14ac:dyDescent="0.35">
      <c r="I920" s="408" t="s">
        <v>1039</v>
      </c>
      <c r="J920" s="409">
        <v>50100</v>
      </c>
      <c r="K920" s="407">
        <v>996.48</v>
      </c>
      <c r="L920" s="41">
        <f t="shared" si="60"/>
        <v>0</v>
      </c>
      <c r="M920" s="41">
        <f t="shared" si="61"/>
        <v>-6.1215478484265978E-4</v>
      </c>
      <c r="N920" s="180">
        <f t="shared" si="58"/>
        <v>3.003003003003003E-3</v>
      </c>
      <c r="O920" s="180">
        <f t="shared" si="59"/>
        <v>-9.0309762485356597E-5</v>
      </c>
    </row>
    <row r="921" spans="9:15" x14ac:dyDescent="0.35">
      <c r="I921" s="408" t="s">
        <v>1040</v>
      </c>
      <c r="J921" s="409">
        <v>49950</v>
      </c>
      <c r="K921" s="407">
        <v>996.57</v>
      </c>
      <c r="L921" s="41">
        <f t="shared" si="60"/>
        <v>3.003003003003003E-3</v>
      </c>
      <c r="M921" s="41">
        <f t="shared" si="61"/>
        <v>-9.0309762485356597E-5</v>
      </c>
      <c r="N921" s="180">
        <f t="shared" si="58"/>
        <v>-1E-3</v>
      </c>
      <c r="O921" s="180">
        <f t="shared" si="59"/>
        <v>2.9891304347826361E-3</v>
      </c>
    </row>
    <row r="922" spans="9:15" x14ac:dyDescent="0.35">
      <c r="I922" s="408" t="s">
        <v>1041</v>
      </c>
      <c r="J922" s="409">
        <v>50000</v>
      </c>
      <c r="K922" s="407">
        <v>993.6</v>
      </c>
      <c r="L922" s="41">
        <f t="shared" si="60"/>
        <v>-1E-3</v>
      </c>
      <c r="M922" s="41">
        <f t="shared" si="61"/>
        <v>2.9891304347826361E-3</v>
      </c>
      <c r="N922" s="180">
        <f t="shared" si="58"/>
        <v>1.0101010101010102E-2</v>
      </c>
      <c r="O922" s="180">
        <f t="shared" si="59"/>
        <v>5.8818169853916916E-3</v>
      </c>
    </row>
    <row r="923" spans="9:15" x14ac:dyDescent="0.35">
      <c r="I923" s="408" t="s">
        <v>1042</v>
      </c>
      <c r="J923" s="409">
        <v>49500</v>
      </c>
      <c r="K923" s="407">
        <v>987.79</v>
      </c>
      <c r="L923" s="41">
        <f t="shared" si="60"/>
        <v>1.0101010101010102E-2</v>
      </c>
      <c r="M923" s="41">
        <f t="shared" si="61"/>
        <v>5.8818169853916916E-3</v>
      </c>
      <c r="N923" s="180">
        <f t="shared" si="58"/>
        <v>-1.3944223107569721E-2</v>
      </c>
      <c r="O923" s="180">
        <f t="shared" si="59"/>
        <v>6.0778573526870108E-4</v>
      </c>
    </row>
    <row r="924" spans="9:15" x14ac:dyDescent="0.35">
      <c r="I924" s="408" t="s">
        <v>1043</v>
      </c>
      <c r="J924" s="409">
        <v>50200</v>
      </c>
      <c r="K924" s="407">
        <v>987.19</v>
      </c>
      <c r="L924" s="41">
        <f t="shared" si="60"/>
        <v>-1.3944223107569721E-2</v>
      </c>
      <c r="M924" s="41">
        <f t="shared" si="61"/>
        <v>6.0778573526870108E-4</v>
      </c>
      <c r="N924" s="180">
        <f t="shared" si="58"/>
        <v>4.0000000000000001E-3</v>
      </c>
      <c r="O924" s="180">
        <f t="shared" si="59"/>
        <v>3.6906746919355294E-3</v>
      </c>
    </row>
    <row r="925" spans="9:15" x14ac:dyDescent="0.35">
      <c r="I925" s="408" t="s">
        <v>1044</v>
      </c>
      <c r="J925" s="409">
        <v>50000</v>
      </c>
      <c r="K925" s="407">
        <v>983.56</v>
      </c>
      <c r="L925" s="41">
        <f t="shared" si="60"/>
        <v>4.0000000000000001E-3</v>
      </c>
      <c r="M925" s="41">
        <f t="shared" si="61"/>
        <v>3.6906746919355294E-3</v>
      </c>
      <c r="N925" s="180">
        <f t="shared" si="58"/>
        <v>0</v>
      </c>
      <c r="O925" s="180">
        <f t="shared" si="59"/>
        <v>-5.7015770319451074E-3</v>
      </c>
    </row>
    <row r="926" spans="9:15" x14ac:dyDescent="0.35">
      <c r="I926" s="408" t="s">
        <v>1045</v>
      </c>
      <c r="J926" s="409">
        <v>50000</v>
      </c>
      <c r="K926" s="407">
        <v>989.2</v>
      </c>
      <c r="L926" s="41">
        <f t="shared" si="60"/>
        <v>0</v>
      </c>
      <c r="M926" s="41">
        <f t="shared" si="61"/>
        <v>-5.7015770319451074E-3</v>
      </c>
      <c r="N926" s="180">
        <f t="shared" si="58"/>
        <v>0</v>
      </c>
      <c r="O926" s="180">
        <f t="shared" si="59"/>
        <v>-6.2637651290134021E-4</v>
      </c>
    </row>
    <row r="927" spans="9:15" x14ac:dyDescent="0.35">
      <c r="I927" s="408" t="s">
        <v>1046</v>
      </c>
      <c r="J927" s="409">
        <v>50000</v>
      </c>
      <c r="K927" s="407">
        <v>989.82</v>
      </c>
      <c r="L927" s="41">
        <f t="shared" si="60"/>
        <v>0</v>
      </c>
      <c r="M927" s="41">
        <f t="shared" si="61"/>
        <v>-6.2637651290134021E-4</v>
      </c>
      <c r="N927" s="180">
        <f t="shared" si="58"/>
        <v>0</v>
      </c>
      <c r="O927" s="180">
        <f t="shared" si="59"/>
        <v>-4.6658488023650887E-3</v>
      </c>
    </row>
    <row r="928" spans="9:15" x14ac:dyDescent="0.35">
      <c r="I928" s="408" t="s">
        <v>1047</v>
      </c>
      <c r="J928" s="409">
        <v>50000</v>
      </c>
      <c r="K928" s="407">
        <v>994.46</v>
      </c>
      <c r="L928" s="41">
        <f t="shared" si="60"/>
        <v>0</v>
      </c>
      <c r="M928" s="41">
        <f t="shared" si="61"/>
        <v>-4.6658488023650887E-3</v>
      </c>
      <c r="N928" s="180">
        <f t="shared" si="58"/>
        <v>-9.9009900990099011E-3</v>
      </c>
      <c r="O928" s="180">
        <f t="shared" si="59"/>
        <v>1.4198680831781702E-3</v>
      </c>
    </row>
    <row r="929" spans="9:15" x14ac:dyDescent="0.35">
      <c r="I929" s="408" t="s">
        <v>1048</v>
      </c>
      <c r="J929" s="409">
        <v>50500</v>
      </c>
      <c r="K929" s="407">
        <v>993.05</v>
      </c>
      <c r="L929" s="41">
        <f t="shared" si="60"/>
        <v>-9.9009900990099011E-3</v>
      </c>
      <c r="M929" s="41">
        <f t="shared" si="61"/>
        <v>1.4198680831781702E-3</v>
      </c>
      <c r="N929" s="180">
        <f t="shared" si="58"/>
        <v>1.984126984126984E-3</v>
      </c>
      <c r="O929" s="180">
        <f t="shared" si="59"/>
        <v>-5.2336523848354468E-4</v>
      </c>
    </row>
    <row r="930" spans="9:15" x14ac:dyDescent="0.35">
      <c r="I930" s="408" t="s">
        <v>1049</v>
      </c>
      <c r="J930" s="409">
        <v>50400</v>
      </c>
      <c r="K930" s="407">
        <v>993.57</v>
      </c>
      <c r="L930" s="41">
        <f t="shared" si="60"/>
        <v>1.984126984126984E-3</v>
      </c>
      <c r="M930" s="41">
        <f t="shared" si="61"/>
        <v>-5.2336523848354468E-4</v>
      </c>
      <c r="N930" s="180">
        <f t="shared" ref="N930:N993" si="62">(J930-J931)/J931</f>
        <v>-5.9171597633136093E-3</v>
      </c>
      <c r="O930" s="180">
        <f t="shared" si="59"/>
        <v>1.7442329407969209E-3</v>
      </c>
    </row>
    <row r="931" spans="9:15" x14ac:dyDescent="0.35">
      <c r="I931" s="408">
        <v>43779</v>
      </c>
      <c r="J931" s="409">
        <v>50700</v>
      </c>
      <c r="K931" s="407">
        <v>991.84</v>
      </c>
      <c r="L931" s="41">
        <f t="shared" si="60"/>
        <v>-5.9171597633136093E-3</v>
      </c>
      <c r="M931" s="41">
        <f t="shared" si="61"/>
        <v>1.7442329407969209E-3</v>
      </c>
      <c r="N931" s="180">
        <f t="shared" si="62"/>
        <v>1.1976047904191617E-2</v>
      </c>
      <c r="O931" s="180">
        <f t="shared" si="59"/>
        <v>4.5170045980271389E-3</v>
      </c>
    </row>
    <row r="932" spans="9:15" x14ac:dyDescent="0.35">
      <c r="I932" s="408">
        <v>43748</v>
      </c>
      <c r="J932" s="409">
        <v>50100</v>
      </c>
      <c r="K932" s="407">
        <v>987.38</v>
      </c>
      <c r="L932" s="41">
        <f t="shared" si="60"/>
        <v>1.1976047904191617E-2</v>
      </c>
      <c r="M932" s="41">
        <f t="shared" si="61"/>
        <v>4.5170045980271389E-3</v>
      </c>
      <c r="N932" s="180">
        <f t="shared" si="62"/>
        <v>-1.5717092337917484E-2</v>
      </c>
      <c r="O932" s="180">
        <f t="shared" si="59"/>
        <v>-4.5554397011636158E-4</v>
      </c>
    </row>
    <row r="933" spans="9:15" x14ac:dyDescent="0.35">
      <c r="I933" s="408">
        <v>43718</v>
      </c>
      <c r="J933" s="409">
        <v>50900</v>
      </c>
      <c r="K933" s="407">
        <v>987.83</v>
      </c>
      <c r="L933" s="41">
        <f t="shared" si="60"/>
        <v>-1.5717092337917484E-2</v>
      </c>
      <c r="M933" s="41">
        <f t="shared" si="61"/>
        <v>-4.5554397011636158E-4</v>
      </c>
      <c r="N933" s="180">
        <f t="shared" si="62"/>
        <v>1.5968063872255488E-2</v>
      </c>
      <c r="O933" s="180">
        <f t="shared" si="59"/>
        <v>-3.9464896480539388E-4</v>
      </c>
    </row>
    <row r="934" spans="9:15" x14ac:dyDescent="0.35">
      <c r="I934" s="408">
        <v>43687</v>
      </c>
      <c r="J934" s="409">
        <v>50100</v>
      </c>
      <c r="K934" s="407">
        <v>988.22</v>
      </c>
      <c r="L934" s="41">
        <f t="shared" si="60"/>
        <v>1.5968063872255488E-2</v>
      </c>
      <c r="M934" s="41">
        <f t="shared" si="61"/>
        <v>-3.9464896480539388E-4</v>
      </c>
      <c r="N934" s="180">
        <f t="shared" si="62"/>
        <v>-1.5717092337917484E-2</v>
      </c>
      <c r="O934" s="180">
        <f t="shared" ref="O934:O997" si="63">(K934-K935)/K935</f>
        <v>5.2182404459408553E-3</v>
      </c>
    </row>
    <row r="935" spans="9:15" x14ac:dyDescent="0.35">
      <c r="I935" s="408">
        <v>43656</v>
      </c>
      <c r="J935" s="409">
        <v>50900</v>
      </c>
      <c r="K935" s="407">
        <v>983.09</v>
      </c>
      <c r="L935" s="41">
        <f t="shared" si="60"/>
        <v>-1.5717092337917484E-2</v>
      </c>
      <c r="M935" s="41">
        <f t="shared" si="61"/>
        <v>5.2182404459408553E-3</v>
      </c>
      <c r="N935" s="180">
        <f t="shared" si="62"/>
        <v>1.3944223107569721E-2</v>
      </c>
      <c r="O935" s="180">
        <f t="shared" si="63"/>
        <v>-4.5565467451067748E-3</v>
      </c>
    </row>
    <row r="936" spans="9:15" x14ac:dyDescent="0.35">
      <c r="I936" s="408">
        <v>43565</v>
      </c>
      <c r="J936" s="409">
        <v>50200</v>
      </c>
      <c r="K936" s="407">
        <v>987.59</v>
      </c>
      <c r="L936" s="41">
        <f t="shared" si="60"/>
        <v>1.3944223107569721E-2</v>
      </c>
      <c r="M936" s="41">
        <f t="shared" si="61"/>
        <v>-4.5565467451067748E-3</v>
      </c>
      <c r="N936" s="180">
        <f t="shared" si="62"/>
        <v>-1.5686274509803921E-2</v>
      </c>
      <c r="O936" s="180">
        <f t="shared" si="63"/>
        <v>-2.1017106712337722E-3</v>
      </c>
    </row>
    <row r="937" spans="9:15" x14ac:dyDescent="0.35">
      <c r="I937" s="408">
        <v>43534</v>
      </c>
      <c r="J937" s="409">
        <v>51000</v>
      </c>
      <c r="K937" s="407">
        <v>989.67</v>
      </c>
      <c r="L937" s="41">
        <f t="shared" si="60"/>
        <v>-1.5686274509803921E-2</v>
      </c>
      <c r="M937" s="41">
        <f t="shared" si="61"/>
        <v>-2.1017106712337722E-3</v>
      </c>
      <c r="N937" s="180">
        <f t="shared" si="62"/>
        <v>1.9646365422396855E-3</v>
      </c>
      <c r="O937" s="180">
        <f t="shared" si="63"/>
        <v>-1.5335102250830773E-3</v>
      </c>
    </row>
    <row r="938" spans="9:15" x14ac:dyDescent="0.35">
      <c r="I938" s="408">
        <v>43506</v>
      </c>
      <c r="J938" s="409">
        <v>50900</v>
      </c>
      <c r="K938" s="407">
        <v>991.19</v>
      </c>
      <c r="L938" s="41">
        <f t="shared" si="60"/>
        <v>1.9646365422396855E-3</v>
      </c>
      <c r="M938" s="41">
        <f t="shared" si="61"/>
        <v>-1.5335102250830773E-3</v>
      </c>
      <c r="N938" s="180">
        <f t="shared" si="62"/>
        <v>-1.9607843137254902E-3</v>
      </c>
      <c r="O938" s="180">
        <f t="shared" si="63"/>
        <v>-8.4034454126191514E-3</v>
      </c>
    </row>
    <row r="939" spans="9:15" x14ac:dyDescent="0.35">
      <c r="I939" s="408">
        <v>43475</v>
      </c>
      <c r="J939" s="409">
        <v>51000</v>
      </c>
      <c r="K939" s="407">
        <v>999.59</v>
      </c>
      <c r="L939" s="41">
        <f t="shared" si="60"/>
        <v>-1.9607843137254902E-3</v>
      </c>
      <c r="M939" s="41">
        <f t="shared" si="61"/>
        <v>-8.4034454126191514E-3</v>
      </c>
      <c r="N939" s="180">
        <f t="shared" si="62"/>
        <v>-5.8479532163742687E-3</v>
      </c>
      <c r="O939" s="180">
        <f t="shared" si="63"/>
        <v>3.0404591795778345E-3</v>
      </c>
    </row>
    <row r="940" spans="9:15" x14ac:dyDescent="0.35">
      <c r="I940" s="408" t="s">
        <v>1050</v>
      </c>
      <c r="J940" s="409">
        <v>51300</v>
      </c>
      <c r="K940" s="407">
        <v>996.56</v>
      </c>
      <c r="L940" s="41">
        <f t="shared" si="60"/>
        <v>-5.8479532163742687E-3</v>
      </c>
      <c r="M940" s="41">
        <f t="shared" si="61"/>
        <v>3.0404591795778345E-3</v>
      </c>
      <c r="N940" s="180">
        <f t="shared" si="62"/>
        <v>2.5999999999999999E-2</v>
      </c>
      <c r="O940" s="180">
        <f t="shared" si="63"/>
        <v>-1.2827707848954606E-3</v>
      </c>
    </row>
    <row r="941" spans="9:15" x14ac:dyDescent="0.35">
      <c r="I941" s="408" t="s">
        <v>1051</v>
      </c>
      <c r="J941" s="409">
        <v>50000</v>
      </c>
      <c r="K941" s="407">
        <v>997.84</v>
      </c>
      <c r="L941" s="41">
        <f t="shared" si="60"/>
        <v>2.5999999999999999E-2</v>
      </c>
      <c r="M941" s="41">
        <f t="shared" si="61"/>
        <v>-1.2827707848954606E-3</v>
      </c>
      <c r="N941" s="180">
        <f t="shared" si="62"/>
        <v>-1.9607843137254902E-2</v>
      </c>
      <c r="O941" s="180">
        <f t="shared" si="63"/>
        <v>7.1561948019177712E-3</v>
      </c>
    </row>
    <row r="942" spans="9:15" x14ac:dyDescent="0.35">
      <c r="I942" s="408" t="s">
        <v>1052</v>
      </c>
      <c r="J942" s="409">
        <v>51000</v>
      </c>
      <c r="K942" s="407">
        <v>990.75</v>
      </c>
      <c r="L942" s="41">
        <f t="shared" si="60"/>
        <v>-1.9607843137254902E-2</v>
      </c>
      <c r="M942" s="41">
        <f t="shared" si="61"/>
        <v>7.1561948019177712E-3</v>
      </c>
      <c r="N942" s="180">
        <f t="shared" si="62"/>
        <v>0</v>
      </c>
      <c r="O942" s="180">
        <f t="shared" si="63"/>
        <v>3.4943786083257832E-3</v>
      </c>
    </row>
    <row r="943" spans="9:15" x14ac:dyDescent="0.35">
      <c r="I943" s="408" t="s">
        <v>1053</v>
      </c>
      <c r="J943" s="409">
        <v>51000</v>
      </c>
      <c r="K943" s="407">
        <v>987.3</v>
      </c>
      <c r="L943" s="41">
        <f t="shared" si="60"/>
        <v>0</v>
      </c>
      <c r="M943" s="41">
        <f t="shared" si="61"/>
        <v>3.4943786083257832E-3</v>
      </c>
      <c r="N943" s="180">
        <f t="shared" si="62"/>
        <v>0</v>
      </c>
      <c r="O943" s="180">
        <f t="shared" si="63"/>
        <v>-8.399704492324299E-4</v>
      </c>
    </row>
    <row r="944" spans="9:15" x14ac:dyDescent="0.35">
      <c r="I944" s="408" t="s">
        <v>1054</v>
      </c>
      <c r="J944" s="409">
        <v>51000</v>
      </c>
      <c r="K944" s="407">
        <v>988.13</v>
      </c>
      <c r="L944" s="41">
        <f t="shared" si="60"/>
        <v>0</v>
      </c>
      <c r="M944" s="41">
        <f t="shared" si="61"/>
        <v>-8.399704492324299E-4</v>
      </c>
      <c r="N944" s="180">
        <f t="shared" si="62"/>
        <v>-9.7087378640776691E-3</v>
      </c>
      <c r="O944" s="180">
        <f t="shared" si="63"/>
        <v>2.414405275171185E-3</v>
      </c>
    </row>
    <row r="945" spans="9:15" x14ac:dyDescent="0.35">
      <c r="I945" s="408" t="s">
        <v>1055</v>
      </c>
      <c r="J945" s="409">
        <v>51500</v>
      </c>
      <c r="K945" s="407">
        <v>985.75</v>
      </c>
      <c r="L945" s="41">
        <f t="shared" si="60"/>
        <v>-9.7087378640776691E-3</v>
      </c>
      <c r="M945" s="41">
        <f t="shared" si="61"/>
        <v>2.414405275171185E-3</v>
      </c>
      <c r="N945" s="180">
        <f t="shared" si="62"/>
        <v>-2.8301886792452831E-2</v>
      </c>
      <c r="O945" s="180">
        <f t="shared" si="63"/>
        <v>-4.6548729754836765E-3</v>
      </c>
    </row>
    <row r="946" spans="9:15" x14ac:dyDescent="0.35">
      <c r="I946" s="408" t="s">
        <v>1056</v>
      </c>
      <c r="J946" s="409">
        <v>53000</v>
      </c>
      <c r="K946" s="407">
        <v>990.36</v>
      </c>
      <c r="L946" s="41">
        <f t="shared" si="60"/>
        <v>-2.8301886792452831E-2</v>
      </c>
      <c r="M946" s="41">
        <f t="shared" si="61"/>
        <v>-4.6548729754836765E-3</v>
      </c>
      <c r="N946" s="180">
        <f t="shared" si="62"/>
        <v>-1.6697588126159554E-2</v>
      </c>
      <c r="O946" s="180">
        <f t="shared" si="63"/>
        <v>-6.7596028482599631E-3</v>
      </c>
    </row>
    <row r="947" spans="9:15" x14ac:dyDescent="0.35">
      <c r="I947" s="408" t="s">
        <v>1057</v>
      </c>
      <c r="J947" s="409">
        <v>53900</v>
      </c>
      <c r="K947" s="407">
        <v>997.1</v>
      </c>
      <c r="L947" s="41">
        <f t="shared" si="60"/>
        <v>-1.6697588126159554E-2</v>
      </c>
      <c r="M947" s="41">
        <f t="shared" si="61"/>
        <v>-6.7596028482599631E-3</v>
      </c>
      <c r="N947" s="180">
        <f t="shared" si="62"/>
        <v>5.7899901864573111E-2</v>
      </c>
      <c r="O947" s="180">
        <f t="shared" si="63"/>
        <v>1.9595035924232984E-3</v>
      </c>
    </row>
    <row r="948" spans="9:15" x14ac:dyDescent="0.35">
      <c r="I948" s="408" t="s">
        <v>1058</v>
      </c>
      <c r="J948" s="409">
        <v>50950</v>
      </c>
      <c r="K948" s="407">
        <v>995.15</v>
      </c>
      <c r="L948" s="41">
        <f t="shared" si="60"/>
        <v>5.7899901864573111E-2</v>
      </c>
      <c r="M948" s="41">
        <f t="shared" si="61"/>
        <v>1.9595035924232984E-3</v>
      </c>
      <c r="N948" s="180">
        <f t="shared" si="62"/>
        <v>-7.0355284441932526E-3</v>
      </c>
      <c r="O948" s="180">
        <f t="shared" si="63"/>
        <v>-1.595200353151305E-3</v>
      </c>
    </row>
    <row r="949" spans="9:15" x14ac:dyDescent="0.35">
      <c r="I949" s="408" t="s">
        <v>1059</v>
      </c>
      <c r="J949" s="409">
        <v>51311</v>
      </c>
      <c r="K949" s="407">
        <v>996.74</v>
      </c>
      <c r="L949" s="41">
        <f t="shared" si="60"/>
        <v>-7.0355284441932526E-3</v>
      </c>
      <c r="M949" s="41">
        <f t="shared" si="61"/>
        <v>-1.595200353151305E-3</v>
      </c>
      <c r="N949" s="180">
        <f t="shared" si="62"/>
        <v>-1.7509386976907065E-3</v>
      </c>
      <c r="O949" s="180">
        <f t="shared" si="63"/>
        <v>6.9504778453518632E-3</v>
      </c>
    </row>
    <row r="950" spans="9:15" x14ac:dyDescent="0.35">
      <c r="I950" s="408" t="s">
        <v>1060</v>
      </c>
      <c r="J950" s="409">
        <v>51401</v>
      </c>
      <c r="K950" s="407">
        <v>989.86</v>
      </c>
      <c r="L950" s="41">
        <f t="shared" si="60"/>
        <v>-1.7509386976907065E-3</v>
      </c>
      <c r="M950" s="41">
        <f t="shared" si="61"/>
        <v>6.9504778453518632E-3</v>
      </c>
      <c r="N950" s="180">
        <f t="shared" si="62"/>
        <v>0</v>
      </c>
      <c r="O950" s="180">
        <f t="shared" si="63"/>
        <v>2.6741759688823021E-3</v>
      </c>
    </row>
    <row r="951" spans="9:15" x14ac:dyDescent="0.35">
      <c r="I951" s="408" t="s">
        <v>1061</v>
      </c>
      <c r="J951" s="409">
        <v>51401</v>
      </c>
      <c r="K951" s="407">
        <v>987.22</v>
      </c>
      <c r="L951" s="41">
        <f t="shared" si="60"/>
        <v>0</v>
      </c>
      <c r="M951" s="41">
        <f t="shared" si="61"/>
        <v>2.6741759688823021E-3</v>
      </c>
      <c r="N951" s="180">
        <f t="shared" si="62"/>
        <v>0</v>
      </c>
      <c r="O951" s="180">
        <f t="shared" si="63"/>
        <v>1.142336102943434E-2</v>
      </c>
    </row>
    <row r="952" spans="9:15" x14ac:dyDescent="0.35">
      <c r="I952" s="408">
        <v>43808</v>
      </c>
      <c r="J952" s="409">
        <v>51401</v>
      </c>
      <c r="K952" s="407">
        <v>976.07</v>
      </c>
      <c r="L952" s="41">
        <f t="shared" si="60"/>
        <v>0</v>
      </c>
      <c r="M952" s="41">
        <f t="shared" si="61"/>
        <v>1.142336102943434E-2</v>
      </c>
      <c r="N952" s="180">
        <f t="shared" si="62"/>
        <v>-1.7245664684626121E-2</v>
      </c>
      <c r="O952" s="180">
        <f t="shared" si="63"/>
        <v>6.9740330750741302E-3</v>
      </c>
    </row>
    <row r="953" spans="9:15" x14ac:dyDescent="0.35">
      <c r="I953" s="408">
        <v>43778</v>
      </c>
      <c r="J953" s="409">
        <v>52303</v>
      </c>
      <c r="K953" s="407">
        <v>969.31</v>
      </c>
      <c r="L953" s="41">
        <f t="shared" si="60"/>
        <v>-1.7245664684626121E-2</v>
      </c>
      <c r="M953" s="41">
        <f t="shared" si="61"/>
        <v>6.9740330750741302E-3</v>
      </c>
      <c r="N953" s="180">
        <f t="shared" si="62"/>
        <v>3.57029702970297E-2</v>
      </c>
      <c r="O953" s="180">
        <f t="shared" si="63"/>
        <v>-9.7911899903123443E-4</v>
      </c>
    </row>
    <row r="954" spans="9:15" x14ac:dyDescent="0.35">
      <c r="I954" s="408">
        <v>43747</v>
      </c>
      <c r="J954" s="409">
        <v>50500</v>
      </c>
      <c r="K954" s="407">
        <v>970.26</v>
      </c>
      <c r="L954" s="41">
        <f t="shared" si="60"/>
        <v>3.57029702970297E-2</v>
      </c>
      <c r="M954" s="41">
        <f t="shared" si="61"/>
        <v>-9.7911899903123443E-4</v>
      </c>
      <c r="N954" s="180">
        <f t="shared" si="62"/>
        <v>-8.832188420019628E-3</v>
      </c>
      <c r="O954" s="180">
        <f t="shared" si="63"/>
        <v>-3.9625508150946632E-3</v>
      </c>
    </row>
    <row r="955" spans="9:15" x14ac:dyDescent="0.35">
      <c r="I955" s="408">
        <v>43717</v>
      </c>
      <c r="J955" s="409">
        <v>50950</v>
      </c>
      <c r="K955" s="407">
        <v>974.12</v>
      </c>
      <c r="L955" s="41">
        <f t="shared" si="60"/>
        <v>-8.832188420019628E-3</v>
      </c>
      <c r="M955" s="41">
        <f t="shared" si="61"/>
        <v>-3.9625508150946632E-3</v>
      </c>
      <c r="N955" s="180">
        <f t="shared" si="62"/>
        <v>1.9856679610873132E-2</v>
      </c>
      <c r="O955" s="180">
        <f t="shared" si="63"/>
        <v>4.1064388961854897E-5</v>
      </c>
    </row>
    <row r="956" spans="9:15" x14ac:dyDescent="0.35">
      <c r="I956" s="408">
        <v>43625</v>
      </c>
      <c r="J956" s="409">
        <v>49958</v>
      </c>
      <c r="K956" s="407">
        <v>974.08</v>
      </c>
      <c r="L956" s="41">
        <f t="shared" si="60"/>
        <v>1.9856679610873132E-2</v>
      </c>
      <c r="M956" s="41">
        <f t="shared" si="61"/>
        <v>4.1064388961854897E-5</v>
      </c>
      <c r="N956" s="180">
        <f t="shared" si="62"/>
        <v>1.8047645784872062E-3</v>
      </c>
      <c r="O956" s="180">
        <f t="shared" si="63"/>
        <v>-2.774393677248869E-3</v>
      </c>
    </row>
    <row r="957" spans="9:15" x14ac:dyDescent="0.35">
      <c r="I957" s="408">
        <v>43594</v>
      </c>
      <c r="J957" s="409">
        <v>49868</v>
      </c>
      <c r="K957" s="407">
        <v>976.79</v>
      </c>
      <c r="L957" s="41">
        <f t="shared" si="60"/>
        <v>1.8047645784872062E-3</v>
      </c>
      <c r="M957" s="41">
        <f t="shared" si="61"/>
        <v>-2.774393677248869E-3</v>
      </c>
      <c r="N957" s="180">
        <f t="shared" si="62"/>
        <v>-5.404974171802389E-3</v>
      </c>
      <c r="O957" s="180">
        <f t="shared" si="63"/>
        <v>-8.5922076859346768E-4</v>
      </c>
    </row>
    <row r="958" spans="9:15" x14ac:dyDescent="0.35">
      <c r="I958" s="408">
        <v>43564</v>
      </c>
      <c r="J958" s="409">
        <v>50139</v>
      </c>
      <c r="K958" s="407">
        <v>977.63</v>
      </c>
      <c r="L958" s="41">
        <f t="shared" si="60"/>
        <v>-5.404974171802389E-3</v>
      </c>
      <c r="M958" s="41">
        <f t="shared" si="61"/>
        <v>-8.5922076859346768E-4</v>
      </c>
      <c r="N958" s="180">
        <f t="shared" si="62"/>
        <v>-1.7672067553535394E-2</v>
      </c>
      <c r="O958" s="180">
        <f t="shared" si="63"/>
        <v>-1.7664597288025018E-3</v>
      </c>
    </row>
    <row r="959" spans="9:15" x14ac:dyDescent="0.35">
      <c r="I959" s="408">
        <v>43533</v>
      </c>
      <c r="J959" s="409">
        <v>51041</v>
      </c>
      <c r="K959" s="407">
        <v>979.36</v>
      </c>
      <c r="L959" s="41">
        <f t="shared" si="60"/>
        <v>-1.7672067553535394E-2</v>
      </c>
      <c r="M959" s="41">
        <f t="shared" si="61"/>
        <v>-1.7664597288025018E-3</v>
      </c>
      <c r="N959" s="180">
        <f t="shared" si="62"/>
        <v>-3.5141836356182036E-3</v>
      </c>
      <c r="O959" s="180">
        <f t="shared" si="63"/>
        <v>-4.7761315366948477E-3</v>
      </c>
    </row>
    <row r="960" spans="9:15" x14ac:dyDescent="0.35">
      <c r="I960" s="408" t="s">
        <v>1062</v>
      </c>
      <c r="J960" s="409">
        <v>51221</v>
      </c>
      <c r="K960" s="407">
        <v>984.06</v>
      </c>
      <c r="L960" s="41">
        <f t="shared" si="60"/>
        <v>-3.5141836356182036E-3</v>
      </c>
      <c r="M960" s="41">
        <f t="shared" si="61"/>
        <v>-4.7761315366948477E-3</v>
      </c>
      <c r="N960" s="180">
        <f t="shared" si="62"/>
        <v>4.2199930819785542E-2</v>
      </c>
      <c r="O960" s="180">
        <f t="shared" si="63"/>
        <v>5.5896749404754937E-3</v>
      </c>
    </row>
    <row r="961" spans="9:15" x14ac:dyDescent="0.35">
      <c r="I961" s="408" t="s">
        <v>1063</v>
      </c>
      <c r="J961" s="409">
        <v>49147</v>
      </c>
      <c r="K961" s="407">
        <v>978.59</v>
      </c>
      <c r="L961" s="41">
        <f t="shared" si="60"/>
        <v>4.2199930819785542E-2</v>
      </c>
      <c r="M961" s="41">
        <f t="shared" si="61"/>
        <v>5.5896749404754937E-3</v>
      </c>
      <c r="N961" s="180">
        <f t="shared" si="62"/>
        <v>-2.1541340659778217E-2</v>
      </c>
      <c r="O961" s="180">
        <f t="shared" si="63"/>
        <v>1.3609479565315687E-3</v>
      </c>
    </row>
    <row r="962" spans="9:15" x14ac:dyDescent="0.35">
      <c r="I962" s="408" t="s">
        <v>1064</v>
      </c>
      <c r="J962" s="409">
        <v>50229</v>
      </c>
      <c r="K962" s="407">
        <v>977.26</v>
      </c>
      <c r="L962" s="41">
        <f t="shared" si="60"/>
        <v>-2.1541340659778217E-2</v>
      </c>
      <c r="M962" s="41">
        <f t="shared" si="61"/>
        <v>1.3609479565315687E-3</v>
      </c>
      <c r="N962" s="180">
        <f t="shared" si="62"/>
        <v>1.2722287188999556E-2</v>
      </c>
      <c r="O962" s="180">
        <f t="shared" si="63"/>
        <v>4.8116790712438424E-4</v>
      </c>
    </row>
    <row r="963" spans="9:15" x14ac:dyDescent="0.35">
      <c r="I963" s="408" t="s">
        <v>1065</v>
      </c>
      <c r="J963" s="409">
        <v>49598</v>
      </c>
      <c r="K963" s="407">
        <v>976.79</v>
      </c>
      <c r="L963" s="41">
        <f t="shared" si="60"/>
        <v>1.2722287188999556E-2</v>
      </c>
      <c r="M963" s="41">
        <f t="shared" si="61"/>
        <v>4.8116790712438424E-4</v>
      </c>
      <c r="N963" s="180">
        <f t="shared" si="62"/>
        <v>1.8523081977985873E-2</v>
      </c>
      <c r="O963" s="180">
        <f t="shared" si="63"/>
        <v>-6.1960768354224647E-3</v>
      </c>
    </row>
    <row r="964" spans="9:15" x14ac:dyDescent="0.35">
      <c r="I964" s="408" t="s">
        <v>1066</v>
      </c>
      <c r="J964" s="409">
        <v>48696</v>
      </c>
      <c r="K964" s="407">
        <v>982.88</v>
      </c>
      <c r="L964" s="41">
        <f t="shared" ref="L964:L1027" si="64">(J963-J964)/J964</f>
        <v>1.8523081977985873E-2</v>
      </c>
      <c r="M964" s="41">
        <f t="shared" ref="M964:M1027" si="65">(K963-K964)/K964</f>
        <v>-6.1960768354224647E-3</v>
      </c>
      <c r="N964" s="180">
        <f t="shared" si="62"/>
        <v>-2.703350716298028E-2</v>
      </c>
      <c r="O964" s="180">
        <f t="shared" si="63"/>
        <v>-9.6428031638873986E-3</v>
      </c>
    </row>
    <row r="965" spans="9:15" x14ac:dyDescent="0.35">
      <c r="I965" s="408" t="s">
        <v>1067</v>
      </c>
      <c r="J965" s="409">
        <v>50049</v>
      </c>
      <c r="K965" s="407">
        <v>992.45</v>
      </c>
      <c r="L965" s="41">
        <f t="shared" si="64"/>
        <v>-2.703350716298028E-2</v>
      </c>
      <c r="M965" s="41">
        <f t="shared" si="65"/>
        <v>-9.6428031638873986E-3</v>
      </c>
      <c r="N965" s="180">
        <f t="shared" si="62"/>
        <v>-1.0693813006523029E-2</v>
      </c>
      <c r="O965" s="180">
        <f t="shared" si="63"/>
        <v>-4.8232156107734644E-3</v>
      </c>
    </row>
    <row r="966" spans="9:15" x14ac:dyDescent="0.35">
      <c r="I966" s="408" t="s">
        <v>1068</v>
      </c>
      <c r="J966" s="409">
        <v>50590</v>
      </c>
      <c r="K966" s="407">
        <v>997.26</v>
      </c>
      <c r="L966" s="41">
        <f t="shared" si="64"/>
        <v>-1.0693813006523029E-2</v>
      </c>
      <c r="M966" s="41">
        <f t="shared" si="65"/>
        <v>-4.8232156107734644E-3</v>
      </c>
      <c r="N966" s="180">
        <f t="shared" si="62"/>
        <v>-1.2319165967083814E-2</v>
      </c>
      <c r="O966" s="180">
        <f t="shared" si="63"/>
        <v>2.8962770771737119E-3</v>
      </c>
    </row>
    <row r="967" spans="9:15" x14ac:dyDescent="0.35">
      <c r="I967" s="408" t="s">
        <v>1069</v>
      </c>
      <c r="J967" s="409">
        <v>51221</v>
      </c>
      <c r="K967" s="407">
        <v>994.38</v>
      </c>
      <c r="L967" s="41">
        <f t="shared" si="64"/>
        <v>-1.2319165967083814E-2</v>
      </c>
      <c r="M967" s="41">
        <f t="shared" si="65"/>
        <v>2.8962770771737119E-3</v>
      </c>
      <c r="N967" s="180">
        <f t="shared" si="62"/>
        <v>-8.7281312896733236E-3</v>
      </c>
      <c r="O967" s="180">
        <f t="shared" si="63"/>
        <v>9.8611717631288016E-3</v>
      </c>
    </row>
    <row r="968" spans="9:15" x14ac:dyDescent="0.35">
      <c r="I968" s="408" t="s">
        <v>1070</v>
      </c>
      <c r="J968" s="409">
        <v>51672</v>
      </c>
      <c r="K968" s="407">
        <v>984.67</v>
      </c>
      <c r="L968" s="41">
        <f t="shared" si="64"/>
        <v>-8.7281312896733236E-3</v>
      </c>
      <c r="M968" s="41">
        <f t="shared" si="65"/>
        <v>9.8611717631288016E-3</v>
      </c>
      <c r="N968" s="180">
        <f t="shared" si="62"/>
        <v>-1.7387272516517908E-3</v>
      </c>
      <c r="O968" s="180">
        <f t="shared" si="63"/>
        <v>3.7103860228535177E-3</v>
      </c>
    </row>
    <row r="969" spans="9:15" x14ac:dyDescent="0.35">
      <c r="I969" s="408" t="s">
        <v>1071</v>
      </c>
      <c r="J969" s="409">
        <v>51762</v>
      </c>
      <c r="K969" s="407">
        <v>981.03</v>
      </c>
      <c r="L969" s="41">
        <f t="shared" si="64"/>
        <v>-1.7387272516517908E-3</v>
      </c>
      <c r="M969" s="41">
        <f t="shared" si="65"/>
        <v>3.7103860228535177E-3</v>
      </c>
      <c r="N969" s="180">
        <f t="shared" si="62"/>
        <v>1.0562074149274712E-2</v>
      </c>
      <c r="O969" s="180">
        <f t="shared" si="63"/>
        <v>1.0510204081632375E-3</v>
      </c>
    </row>
    <row r="970" spans="9:15" x14ac:dyDescent="0.35">
      <c r="I970" s="408" t="s">
        <v>1072</v>
      </c>
      <c r="J970" s="409">
        <v>51221</v>
      </c>
      <c r="K970" s="407">
        <v>980</v>
      </c>
      <c r="L970" s="41">
        <f t="shared" si="64"/>
        <v>1.0562074149274712E-2</v>
      </c>
      <c r="M970" s="41">
        <f t="shared" si="65"/>
        <v>1.0510204081632375E-3</v>
      </c>
      <c r="N970" s="180">
        <f t="shared" si="62"/>
        <v>1.2472820715556434E-2</v>
      </c>
      <c r="O970" s="180">
        <f t="shared" si="63"/>
        <v>6.3305356449999445E-4</v>
      </c>
    </row>
    <row r="971" spans="9:15" x14ac:dyDescent="0.35">
      <c r="I971" s="408" t="s">
        <v>1073</v>
      </c>
      <c r="J971" s="409">
        <v>50590</v>
      </c>
      <c r="K971" s="407">
        <v>979.38</v>
      </c>
      <c r="L971" s="41">
        <f t="shared" si="64"/>
        <v>1.2472820715556434E-2</v>
      </c>
      <c r="M971" s="41">
        <f t="shared" si="65"/>
        <v>6.3305356449999445E-4</v>
      </c>
      <c r="N971" s="180">
        <f t="shared" si="62"/>
        <v>-4.102058611669257E-2</v>
      </c>
      <c r="O971" s="180">
        <f t="shared" si="63"/>
        <v>1.0805957209647983E-2</v>
      </c>
    </row>
    <row r="972" spans="9:15" x14ac:dyDescent="0.35">
      <c r="I972" s="408" t="s">
        <v>1074</v>
      </c>
      <c r="J972" s="409">
        <v>52754</v>
      </c>
      <c r="K972" s="407">
        <v>968.91</v>
      </c>
      <c r="L972" s="41">
        <f t="shared" si="64"/>
        <v>-4.102058611669257E-2</v>
      </c>
      <c r="M972" s="41">
        <f t="shared" si="65"/>
        <v>1.0805957209647983E-2</v>
      </c>
      <c r="N972" s="180">
        <f t="shared" si="62"/>
        <v>-4.0975858057009887E-2</v>
      </c>
      <c r="O972" s="180">
        <f t="shared" si="63"/>
        <v>2.1513606321689718E-3</v>
      </c>
    </row>
    <row r="973" spans="9:15" x14ac:dyDescent="0.35">
      <c r="I973" s="408" t="s">
        <v>1075</v>
      </c>
      <c r="J973" s="409">
        <v>55008</v>
      </c>
      <c r="K973" s="407">
        <v>966.83</v>
      </c>
      <c r="L973" s="41">
        <f t="shared" si="64"/>
        <v>-4.0975858057009887E-2</v>
      </c>
      <c r="M973" s="41">
        <f t="shared" si="65"/>
        <v>2.1513606321689718E-3</v>
      </c>
      <c r="N973" s="180">
        <f t="shared" si="62"/>
        <v>1.6652189180697507E-2</v>
      </c>
      <c r="O973" s="180">
        <f t="shared" si="63"/>
        <v>-8.694671437799166E-3</v>
      </c>
    </row>
    <row r="974" spans="9:15" x14ac:dyDescent="0.35">
      <c r="I974" s="408">
        <v>43807</v>
      </c>
      <c r="J974" s="409">
        <v>54107</v>
      </c>
      <c r="K974" s="407">
        <v>975.31</v>
      </c>
      <c r="L974" s="41">
        <f t="shared" si="64"/>
        <v>1.6652189180697507E-2</v>
      </c>
      <c r="M974" s="41">
        <f t="shared" si="65"/>
        <v>-8.694671437799166E-3</v>
      </c>
      <c r="N974" s="180">
        <f t="shared" si="62"/>
        <v>1.352439823920577E-2</v>
      </c>
      <c r="O974" s="180">
        <f t="shared" si="63"/>
        <v>9.9554570273201713E-4</v>
      </c>
    </row>
    <row r="975" spans="9:15" x14ac:dyDescent="0.35">
      <c r="I975" s="408">
        <v>43716</v>
      </c>
      <c r="J975" s="409">
        <v>53385</v>
      </c>
      <c r="K975" s="407">
        <v>974.34</v>
      </c>
      <c r="L975" s="41">
        <f t="shared" si="64"/>
        <v>1.352439823920577E-2</v>
      </c>
      <c r="M975" s="41">
        <f t="shared" si="65"/>
        <v>9.9554570273201713E-4</v>
      </c>
      <c r="N975" s="180">
        <f t="shared" si="62"/>
        <v>-2.950479930191972E-2</v>
      </c>
      <c r="O975" s="180">
        <f t="shared" si="63"/>
        <v>-9.2284976005903904E-4</v>
      </c>
    </row>
    <row r="976" spans="9:15" x14ac:dyDescent="0.35">
      <c r="I976" s="408">
        <v>43685</v>
      </c>
      <c r="J976" s="409">
        <v>55008</v>
      </c>
      <c r="K976" s="407">
        <v>975.24</v>
      </c>
      <c r="L976" s="41">
        <f t="shared" si="64"/>
        <v>-2.950479930191972E-2</v>
      </c>
      <c r="M976" s="41">
        <f t="shared" si="65"/>
        <v>-9.2284976005903904E-4</v>
      </c>
      <c r="N976" s="180">
        <f t="shared" si="62"/>
        <v>0</v>
      </c>
      <c r="O976" s="180">
        <f t="shared" si="63"/>
        <v>9.6383795927241726E-3</v>
      </c>
    </row>
    <row r="977" spans="9:15" x14ac:dyDescent="0.35">
      <c r="I977" s="408">
        <v>43654</v>
      </c>
      <c r="J977" s="409">
        <v>55008</v>
      </c>
      <c r="K977" s="407">
        <v>965.93</v>
      </c>
      <c r="L977" s="41">
        <f t="shared" si="64"/>
        <v>0</v>
      </c>
      <c r="M977" s="41">
        <f t="shared" si="65"/>
        <v>9.6383795927241726E-3</v>
      </c>
      <c r="N977" s="180">
        <f t="shared" si="62"/>
        <v>3.3887792500704818E-2</v>
      </c>
      <c r="O977" s="180">
        <f t="shared" si="63"/>
        <v>1.3684286913881634E-3</v>
      </c>
    </row>
    <row r="978" spans="9:15" x14ac:dyDescent="0.35">
      <c r="I978" s="408">
        <v>43624</v>
      </c>
      <c r="J978" s="409">
        <v>53205</v>
      </c>
      <c r="K978" s="407">
        <v>964.61</v>
      </c>
      <c r="L978" s="41">
        <f t="shared" si="64"/>
        <v>3.3887792500704818E-2</v>
      </c>
      <c r="M978" s="41">
        <f t="shared" si="65"/>
        <v>1.3684286913881634E-3</v>
      </c>
      <c r="N978" s="180">
        <f t="shared" si="62"/>
        <v>5.1195828767899645E-3</v>
      </c>
      <c r="O978" s="180">
        <f t="shared" si="63"/>
        <v>-8.7756255459075817E-3</v>
      </c>
    </row>
    <row r="979" spans="9:15" x14ac:dyDescent="0.35">
      <c r="I979" s="408">
        <v>43593</v>
      </c>
      <c r="J979" s="409">
        <v>52934</v>
      </c>
      <c r="K979" s="407">
        <v>973.15</v>
      </c>
      <c r="L979" s="41">
        <f t="shared" si="64"/>
        <v>5.1195828767899645E-3</v>
      </c>
      <c r="M979" s="41">
        <f t="shared" si="65"/>
        <v>-8.7756255459075817E-3</v>
      </c>
      <c r="N979" s="180">
        <f t="shared" si="62"/>
        <v>-6.8260226712666336E-2</v>
      </c>
      <c r="O979" s="180">
        <f t="shared" si="63"/>
        <v>-1.8111189587327256E-2</v>
      </c>
    </row>
    <row r="980" spans="9:15" x14ac:dyDescent="0.35">
      <c r="I980" s="408">
        <v>43504</v>
      </c>
      <c r="J980" s="409">
        <v>56812</v>
      </c>
      <c r="K980" s="407">
        <v>991.1</v>
      </c>
      <c r="L980" s="41">
        <f t="shared" si="64"/>
        <v>-6.8260226712666336E-2</v>
      </c>
      <c r="M980" s="41">
        <f t="shared" si="65"/>
        <v>-1.8111189587327256E-2</v>
      </c>
      <c r="N980" s="180">
        <f t="shared" si="62"/>
        <v>-2.3261411501762228E-2</v>
      </c>
      <c r="O980" s="180">
        <f t="shared" si="63"/>
        <v>-6.3064598602351777E-3</v>
      </c>
    </row>
    <row r="981" spans="9:15" x14ac:dyDescent="0.35">
      <c r="I981" s="408">
        <v>43473</v>
      </c>
      <c r="J981" s="409">
        <v>58165</v>
      </c>
      <c r="K981" s="407">
        <v>997.39</v>
      </c>
      <c r="L981" s="41">
        <f t="shared" si="64"/>
        <v>-2.3261411501762228E-2</v>
      </c>
      <c r="M981" s="41">
        <f t="shared" si="65"/>
        <v>-6.3064598602351777E-3</v>
      </c>
      <c r="N981" s="180">
        <f t="shared" si="62"/>
        <v>6.966180554278463E-2</v>
      </c>
      <c r="O981" s="180">
        <f t="shared" si="63"/>
        <v>5.7781901054797195E-3</v>
      </c>
    </row>
    <row r="982" spans="9:15" x14ac:dyDescent="0.35">
      <c r="I982" s="408" t="s">
        <v>1076</v>
      </c>
      <c r="J982" s="409">
        <v>54377</v>
      </c>
      <c r="K982" s="407">
        <v>991.66</v>
      </c>
      <c r="L982" s="41">
        <f t="shared" si="64"/>
        <v>6.966180554278463E-2</v>
      </c>
      <c r="M982" s="41">
        <f t="shared" si="65"/>
        <v>5.7781901054797195E-3</v>
      </c>
      <c r="N982" s="180">
        <f t="shared" si="62"/>
        <v>2.3759766544290691E-2</v>
      </c>
      <c r="O982" s="180">
        <f t="shared" si="63"/>
        <v>5.7199651122695145E-3</v>
      </c>
    </row>
    <row r="983" spans="9:15" x14ac:dyDescent="0.35">
      <c r="I983" s="408" t="s">
        <v>1077</v>
      </c>
      <c r="J983" s="409">
        <v>53115</v>
      </c>
      <c r="K983" s="407">
        <v>986.02</v>
      </c>
      <c r="L983" s="41">
        <f t="shared" si="64"/>
        <v>2.3759766544290691E-2</v>
      </c>
      <c r="M983" s="41">
        <f t="shared" si="65"/>
        <v>5.7199651122695145E-3</v>
      </c>
      <c r="N983" s="180">
        <f t="shared" si="62"/>
        <v>6.8970375140879087E-2</v>
      </c>
      <c r="O983" s="180">
        <f t="shared" si="63"/>
        <v>-1.1944605888129619E-2</v>
      </c>
    </row>
    <row r="984" spans="9:15" x14ac:dyDescent="0.35">
      <c r="I984" s="408" t="s">
        <v>1078</v>
      </c>
      <c r="J984" s="409">
        <v>49688</v>
      </c>
      <c r="K984" s="407">
        <v>997.94</v>
      </c>
      <c r="L984" s="41">
        <f t="shared" si="64"/>
        <v>6.8970375140879087E-2</v>
      </c>
      <c r="M984" s="41">
        <f t="shared" si="65"/>
        <v>-1.1944605888129619E-2</v>
      </c>
      <c r="N984" s="180">
        <f t="shared" si="62"/>
        <v>6.9893630765255593E-2</v>
      </c>
      <c r="O984" s="180">
        <f t="shared" si="63"/>
        <v>4.6207278401369425E-3</v>
      </c>
    </row>
    <row r="985" spans="9:15" x14ac:dyDescent="0.35">
      <c r="I985" s="408" t="s">
        <v>1079</v>
      </c>
      <c r="J985" s="409">
        <v>46442</v>
      </c>
      <c r="K985" s="407">
        <v>993.35</v>
      </c>
      <c r="L985" s="41">
        <f t="shared" si="64"/>
        <v>6.9893630765255593E-2</v>
      </c>
      <c r="M985" s="41">
        <f t="shared" si="65"/>
        <v>4.6207278401369425E-3</v>
      </c>
      <c r="N985" s="180">
        <f t="shared" si="62"/>
        <v>-3.8608382308781262E-3</v>
      </c>
      <c r="O985" s="180">
        <f t="shared" si="63"/>
        <v>-1.6081210111061086E-3</v>
      </c>
    </row>
    <row r="986" spans="9:15" x14ac:dyDescent="0.35">
      <c r="I986" s="408" t="s">
        <v>1080</v>
      </c>
      <c r="J986" s="409">
        <v>46622</v>
      </c>
      <c r="K986" s="407">
        <v>994.95</v>
      </c>
      <c r="L986" s="41">
        <f>(J985-J986)/J986</f>
        <v>-3.8608382308781262E-3</v>
      </c>
      <c r="M986" s="41">
        <f t="shared" si="65"/>
        <v>-1.6081210111061086E-3</v>
      </c>
      <c r="N986" s="180">
        <f t="shared" si="62"/>
        <v>5.8466915492653877E-3</v>
      </c>
      <c r="O986" s="180">
        <f t="shared" si="63"/>
        <v>6.6166874070477614E-3</v>
      </c>
    </row>
    <row r="987" spans="9:15" x14ac:dyDescent="0.35">
      <c r="I987" s="408" t="s">
        <v>1081</v>
      </c>
      <c r="J987" s="409">
        <v>46351</v>
      </c>
      <c r="K987" s="407">
        <v>988.41</v>
      </c>
      <c r="L987" s="41">
        <f t="shared" si="64"/>
        <v>5.8466915492653877E-3</v>
      </c>
      <c r="M987" s="41">
        <f t="shared" si="65"/>
        <v>6.6166874070477614E-3</v>
      </c>
      <c r="N987" s="180">
        <f t="shared" si="62"/>
        <v>1.5801008108700415E-2</v>
      </c>
      <c r="O987" s="180">
        <f t="shared" si="63"/>
        <v>-1.0611848887272534E-3</v>
      </c>
    </row>
    <row r="988" spans="9:15" x14ac:dyDescent="0.35">
      <c r="I988" s="408" t="s">
        <v>1082</v>
      </c>
      <c r="J988" s="409">
        <v>45630</v>
      </c>
      <c r="K988" s="407">
        <v>989.46</v>
      </c>
      <c r="L988" s="41">
        <f t="shared" si="64"/>
        <v>1.5801008108700415E-2</v>
      </c>
      <c r="M988" s="41">
        <f t="shared" si="65"/>
        <v>-1.0611848887272534E-3</v>
      </c>
      <c r="N988" s="180">
        <f t="shared" si="62"/>
        <v>-3.929273084479371E-3</v>
      </c>
      <c r="O988" s="180">
        <f t="shared" si="63"/>
        <v>7.5557003788033822E-3</v>
      </c>
    </row>
    <row r="989" spans="9:15" x14ac:dyDescent="0.35">
      <c r="I989" s="408" t="s">
        <v>1083</v>
      </c>
      <c r="J989" s="409">
        <v>45810</v>
      </c>
      <c r="K989" s="407">
        <v>982.04</v>
      </c>
      <c r="L989" s="41">
        <f t="shared" si="64"/>
        <v>-3.929273084479371E-3</v>
      </c>
      <c r="M989" s="41">
        <f t="shared" si="65"/>
        <v>7.5557003788033822E-3</v>
      </c>
      <c r="N989" s="180">
        <f t="shared" si="62"/>
        <v>-1.1671808590968911E-2</v>
      </c>
      <c r="O989" s="180">
        <f t="shared" si="63"/>
        <v>-3.0539324470149664E-4</v>
      </c>
    </row>
    <row r="990" spans="9:15" x14ac:dyDescent="0.35">
      <c r="I990" s="408" t="s">
        <v>1084</v>
      </c>
      <c r="J990" s="409">
        <v>46351</v>
      </c>
      <c r="K990" s="407">
        <v>982.34</v>
      </c>
      <c r="L990" s="41">
        <f t="shared" si="64"/>
        <v>-1.1671808590968911E-2</v>
      </c>
      <c r="M990" s="41">
        <f t="shared" si="65"/>
        <v>-3.0539324470149664E-4</v>
      </c>
      <c r="N990" s="180">
        <f t="shared" si="62"/>
        <v>-2.0953467249646199E-2</v>
      </c>
      <c r="O990" s="180">
        <f t="shared" si="63"/>
        <v>6.4443419906767864E-3</v>
      </c>
    </row>
    <row r="991" spans="9:15" x14ac:dyDescent="0.35">
      <c r="I991" s="408" t="s">
        <v>1085</v>
      </c>
      <c r="J991" s="409">
        <v>47343</v>
      </c>
      <c r="K991" s="407">
        <v>976.05</v>
      </c>
      <c r="L991" s="41">
        <f t="shared" si="64"/>
        <v>-2.0953467249646199E-2</v>
      </c>
      <c r="M991" s="41">
        <f t="shared" si="65"/>
        <v>6.4443419906767864E-3</v>
      </c>
      <c r="N991" s="180">
        <f t="shared" si="62"/>
        <v>-2.2343830665978316E-2</v>
      </c>
      <c r="O991" s="180">
        <f t="shared" si="63"/>
        <v>-6.635659545884868E-3</v>
      </c>
    </row>
    <row r="992" spans="9:15" x14ac:dyDescent="0.35">
      <c r="I992" s="408" t="s">
        <v>1086</v>
      </c>
      <c r="J992" s="409">
        <v>48425</v>
      </c>
      <c r="K992" s="407">
        <v>982.57</v>
      </c>
      <c r="L992" s="41">
        <f t="shared" si="64"/>
        <v>-2.2343830665978316E-2</v>
      </c>
      <c r="M992" s="41">
        <f t="shared" si="65"/>
        <v>-6.635659545884868E-3</v>
      </c>
      <c r="N992" s="180">
        <f t="shared" si="62"/>
        <v>3.2692143649236546E-2</v>
      </c>
      <c r="O992" s="180">
        <f t="shared" si="63"/>
        <v>4.6837930578044859E-4</v>
      </c>
    </row>
    <row r="993" spans="9:15" x14ac:dyDescent="0.35">
      <c r="I993" s="408" t="s">
        <v>1087</v>
      </c>
      <c r="J993" s="409">
        <v>46892</v>
      </c>
      <c r="K993" s="407">
        <v>982.11</v>
      </c>
      <c r="L993" s="41">
        <f t="shared" si="64"/>
        <v>3.2692143649236546E-2</v>
      </c>
      <c r="M993" s="41">
        <f t="shared" si="65"/>
        <v>4.6837930578044859E-4</v>
      </c>
      <c r="N993" s="180">
        <f t="shared" si="62"/>
        <v>-5.2839945059384344E-2</v>
      </c>
      <c r="O993" s="180">
        <f t="shared" si="63"/>
        <v>9.850595868507955E-3</v>
      </c>
    </row>
    <row r="994" spans="9:15" x14ac:dyDescent="0.35">
      <c r="I994" s="408" t="s">
        <v>1088</v>
      </c>
      <c r="J994" s="409">
        <v>49508</v>
      </c>
      <c r="K994" s="407">
        <v>972.53</v>
      </c>
      <c r="L994" s="41">
        <f t="shared" si="64"/>
        <v>-5.2839945059384344E-2</v>
      </c>
      <c r="M994" s="41">
        <f t="shared" si="65"/>
        <v>9.850595868507955E-3</v>
      </c>
      <c r="N994" s="180">
        <f t="shared" ref="N994:N1057" si="66">(J994-J995)/J995</f>
        <v>3.5862242122442149E-2</v>
      </c>
      <c r="O994" s="180">
        <f t="shared" si="63"/>
        <v>-2.942382612261641E-3</v>
      </c>
    </row>
    <row r="995" spans="9:15" x14ac:dyDescent="0.35">
      <c r="I995" s="408">
        <v>43806</v>
      </c>
      <c r="J995" s="409">
        <v>47794</v>
      </c>
      <c r="K995" s="407">
        <v>975.4</v>
      </c>
      <c r="L995" s="41">
        <f t="shared" si="64"/>
        <v>3.5862242122442149E-2</v>
      </c>
      <c r="M995" s="41">
        <f t="shared" si="65"/>
        <v>-2.942382612261641E-3</v>
      </c>
      <c r="N995" s="180">
        <f t="shared" si="66"/>
        <v>-2.3934975288976024E-2</v>
      </c>
      <c r="O995" s="180">
        <f t="shared" si="63"/>
        <v>-3.3005323768942481E-3</v>
      </c>
    </row>
    <row r="996" spans="9:15" x14ac:dyDescent="0.35">
      <c r="I996" s="408">
        <v>43776</v>
      </c>
      <c r="J996" s="409">
        <v>48966</v>
      </c>
      <c r="K996" s="407">
        <v>978.63</v>
      </c>
      <c r="L996" s="41">
        <f t="shared" si="64"/>
        <v>-2.3934975288976024E-2</v>
      </c>
      <c r="M996" s="41">
        <f t="shared" si="65"/>
        <v>-3.3005323768942481E-3</v>
      </c>
      <c r="N996" s="180">
        <f t="shared" si="66"/>
        <v>-1.2742449292310174E-2</v>
      </c>
      <c r="O996" s="180">
        <f t="shared" si="63"/>
        <v>5.1147743028809312E-3</v>
      </c>
    </row>
    <row r="997" spans="9:15" x14ac:dyDescent="0.35">
      <c r="I997" s="408">
        <v>43745</v>
      </c>
      <c r="J997" s="409">
        <v>49598</v>
      </c>
      <c r="K997" s="407">
        <v>973.65</v>
      </c>
      <c r="L997" s="41">
        <f t="shared" si="64"/>
        <v>-1.2742449292310174E-2</v>
      </c>
      <c r="M997" s="41">
        <f t="shared" si="65"/>
        <v>5.1147743028809312E-3</v>
      </c>
      <c r="N997" s="180">
        <f t="shared" si="66"/>
        <v>-1.786138613861386E-2</v>
      </c>
      <c r="O997" s="180">
        <f t="shared" si="63"/>
        <v>4.7469170837418327E-3</v>
      </c>
    </row>
    <row r="998" spans="9:15" x14ac:dyDescent="0.35">
      <c r="I998" s="408">
        <v>43715</v>
      </c>
      <c r="J998" s="409">
        <v>50500</v>
      </c>
      <c r="K998" s="407">
        <v>969.05</v>
      </c>
      <c r="L998" s="41">
        <f t="shared" si="64"/>
        <v>-1.786138613861386E-2</v>
      </c>
      <c r="M998" s="41">
        <f t="shared" si="65"/>
        <v>4.7469170837418327E-3</v>
      </c>
      <c r="N998" s="180">
        <f t="shared" si="66"/>
        <v>0</v>
      </c>
      <c r="O998" s="180">
        <f t="shared" ref="O998:O1061" si="67">(K998-K999)/K999</f>
        <v>2.7940187302736398E-3</v>
      </c>
    </row>
    <row r="999" spans="9:15" x14ac:dyDescent="0.35">
      <c r="I999" s="408">
        <v>43684</v>
      </c>
      <c r="J999" s="409">
        <v>50500</v>
      </c>
      <c r="K999" s="407">
        <v>966.35</v>
      </c>
      <c r="L999" s="41">
        <f t="shared" si="64"/>
        <v>0</v>
      </c>
      <c r="M999" s="41">
        <f t="shared" si="65"/>
        <v>2.7940187302736398E-3</v>
      </c>
      <c r="N999" s="180">
        <f t="shared" si="66"/>
        <v>-1.5805577751359358E-2</v>
      </c>
      <c r="O999" s="180">
        <f t="shared" si="67"/>
        <v>-9.2172985830582255E-3</v>
      </c>
    </row>
    <row r="1000" spans="9:15" x14ac:dyDescent="0.35">
      <c r="I1000" s="408">
        <v>43592</v>
      </c>
      <c r="J1000" s="409">
        <v>51311</v>
      </c>
      <c r="K1000" s="407">
        <v>975.34</v>
      </c>
      <c r="L1000" s="41">
        <f t="shared" si="64"/>
        <v>-1.5805577751359358E-2</v>
      </c>
      <c r="M1000" s="41">
        <f t="shared" si="65"/>
        <v>-9.2172985830582255E-3</v>
      </c>
      <c r="N1000" s="180">
        <f t="shared" si="66"/>
        <v>1.7893630105735088E-2</v>
      </c>
      <c r="O1000" s="180">
        <f t="shared" si="67"/>
        <v>2.3637260544274318E-3</v>
      </c>
    </row>
    <row r="1001" spans="9:15" x14ac:dyDescent="0.35">
      <c r="I1001" s="408">
        <v>43562</v>
      </c>
      <c r="J1001" s="409">
        <v>50409</v>
      </c>
      <c r="K1001" s="407">
        <v>973.04</v>
      </c>
      <c r="L1001" s="41">
        <f t="shared" si="64"/>
        <v>1.7893630105735088E-2</v>
      </c>
      <c r="M1001" s="41">
        <f t="shared" si="65"/>
        <v>2.3637260544274318E-3</v>
      </c>
      <c r="N1001" s="180">
        <f t="shared" si="66"/>
        <v>-1.8019801980198021E-3</v>
      </c>
      <c r="O1001" s="180">
        <f t="shared" si="67"/>
        <v>1.3171732317079497E-2</v>
      </c>
    </row>
    <row r="1002" spans="9:15" x14ac:dyDescent="0.35">
      <c r="I1002" s="408">
        <v>43531</v>
      </c>
      <c r="J1002" s="409">
        <v>50500</v>
      </c>
      <c r="K1002" s="407">
        <v>960.39</v>
      </c>
      <c r="L1002" s="41">
        <f t="shared" si="64"/>
        <v>-1.8019801980198021E-3</v>
      </c>
      <c r="M1002" s="41">
        <f t="shared" si="65"/>
        <v>1.3171732317079497E-2</v>
      </c>
      <c r="N1002" s="180">
        <f t="shared" si="66"/>
        <v>0</v>
      </c>
      <c r="O1002" s="180">
        <f t="shared" si="67"/>
        <v>-1.6528410154057586E-3</v>
      </c>
    </row>
    <row r="1003" spans="9:15" x14ac:dyDescent="0.35">
      <c r="I1003" s="408">
        <v>43503</v>
      </c>
      <c r="J1003" s="409">
        <v>50500</v>
      </c>
      <c r="K1003" s="407">
        <v>961.98</v>
      </c>
      <c r="L1003" s="41">
        <f t="shared" si="64"/>
        <v>0</v>
      </c>
      <c r="M1003" s="41">
        <f t="shared" si="65"/>
        <v>-1.6528410154057586E-3</v>
      </c>
      <c r="N1003" s="180">
        <f t="shared" si="66"/>
        <v>0</v>
      </c>
      <c r="O1003" s="180">
        <f t="shared" si="67"/>
        <v>-3.7592816975797637E-3</v>
      </c>
    </row>
    <row r="1004" spans="9:15" x14ac:dyDescent="0.35">
      <c r="I1004" s="408">
        <v>43472</v>
      </c>
      <c r="J1004" s="409">
        <v>50500</v>
      </c>
      <c r="K1004" s="407">
        <v>965.61</v>
      </c>
      <c r="L1004" s="41">
        <f t="shared" si="64"/>
        <v>0</v>
      </c>
      <c r="M1004" s="41">
        <f t="shared" si="65"/>
        <v>-3.7592816975797637E-3</v>
      </c>
      <c r="N1004" s="180">
        <f t="shared" si="66"/>
        <v>0</v>
      </c>
      <c r="O1004" s="180">
        <f t="shared" si="67"/>
        <v>1.649577868075874E-2</v>
      </c>
    </row>
    <row r="1005" spans="9:15" x14ac:dyDescent="0.35">
      <c r="I1005" s="408" t="s">
        <v>1089</v>
      </c>
      <c r="J1005" s="409">
        <v>50500</v>
      </c>
      <c r="K1005" s="407">
        <v>949.94</v>
      </c>
      <c r="L1005" s="41">
        <f t="shared" si="64"/>
        <v>0</v>
      </c>
      <c r="M1005" s="41">
        <f t="shared" si="65"/>
        <v>1.649577868075874E-2</v>
      </c>
      <c r="N1005" s="180">
        <f t="shared" si="66"/>
        <v>-3.2807921398885338E-2</v>
      </c>
      <c r="O1005" s="180">
        <f t="shared" si="67"/>
        <v>7.2419972219571853E-3</v>
      </c>
    </row>
    <row r="1006" spans="9:15" x14ac:dyDescent="0.35">
      <c r="I1006" s="408" t="s">
        <v>1090</v>
      </c>
      <c r="J1006" s="409">
        <v>52213</v>
      </c>
      <c r="K1006" s="407">
        <v>943.11</v>
      </c>
      <c r="L1006" s="41">
        <f t="shared" si="64"/>
        <v>-3.2807921398885338E-2</v>
      </c>
      <c r="M1006" s="41">
        <f t="shared" si="65"/>
        <v>7.2419972219571853E-3</v>
      </c>
      <c r="N1006" s="180">
        <f t="shared" si="66"/>
        <v>-1.7207425960269966E-3</v>
      </c>
      <c r="O1006" s="180">
        <f t="shared" si="67"/>
        <v>-1.6702636764567871E-2</v>
      </c>
    </row>
    <row r="1007" spans="9:15" x14ac:dyDescent="0.35">
      <c r="I1007" s="408" t="s">
        <v>1091</v>
      </c>
      <c r="J1007" s="409">
        <v>52303</v>
      </c>
      <c r="K1007" s="407">
        <v>959.13</v>
      </c>
      <c r="L1007" s="41">
        <f t="shared" si="64"/>
        <v>-1.7207425960269966E-3</v>
      </c>
      <c r="M1007" s="41">
        <f t="shared" si="65"/>
        <v>-1.6702636764567871E-2</v>
      </c>
      <c r="N1007" s="180">
        <f t="shared" si="66"/>
        <v>0</v>
      </c>
      <c r="O1007" s="180">
        <f t="shared" si="67"/>
        <v>-1.041525626738046E-3</v>
      </c>
    </row>
    <row r="1008" spans="9:15" x14ac:dyDescent="0.35">
      <c r="I1008" s="408" t="s">
        <v>1092</v>
      </c>
      <c r="J1008" s="409">
        <v>52303</v>
      </c>
      <c r="K1008" s="407">
        <v>960.13</v>
      </c>
      <c r="L1008" s="41">
        <f t="shared" si="64"/>
        <v>0</v>
      </c>
      <c r="M1008" s="41">
        <f t="shared" si="65"/>
        <v>-1.041525626738046E-3</v>
      </c>
      <c r="N1008" s="180">
        <f t="shared" si="66"/>
        <v>0</v>
      </c>
      <c r="O1008" s="180">
        <f t="shared" si="67"/>
        <v>-2.8249467726021989E-3</v>
      </c>
    </row>
    <row r="1009" spans="9:15" x14ac:dyDescent="0.35">
      <c r="I1009" s="408" t="s">
        <v>1093</v>
      </c>
      <c r="J1009" s="409">
        <v>52303</v>
      </c>
      <c r="K1009" s="407">
        <v>962.85</v>
      </c>
      <c r="L1009" s="41">
        <f t="shared" si="64"/>
        <v>0</v>
      </c>
      <c r="M1009" s="41">
        <f t="shared" si="65"/>
        <v>-2.8249467726021989E-3</v>
      </c>
      <c r="N1009" s="180">
        <f t="shared" si="66"/>
        <v>0</v>
      </c>
      <c r="O1009" s="180">
        <f t="shared" si="67"/>
        <v>3.8052543786488502E-3</v>
      </c>
    </row>
    <row r="1010" spans="9:15" x14ac:dyDescent="0.35">
      <c r="I1010" s="408" t="s">
        <v>1094</v>
      </c>
      <c r="J1010" s="409">
        <v>52303</v>
      </c>
      <c r="K1010" s="407">
        <v>959.2</v>
      </c>
      <c r="L1010" s="41">
        <f t="shared" si="64"/>
        <v>0</v>
      </c>
      <c r="M1010" s="41">
        <f t="shared" si="65"/>
        <v>3.8052543786488502E-3</v>
      </c>
      <c r="N1010" s="180">
        <f t="shared" si="66"/>
        <v>0</v>
      </c>
      <c r="O1010" s="180">
        <f t="shared" si="67"/>
        <v>2.0851143685330697E-5</v>
      </c>
    </row>
    <row r="1011" spans="9:15" x14ac:dyDescent="0.35">
      <c r="I1011" s="408" t="s">
        <v>1095</v>
      </c>
      <c r="J1011" s="409">
        <v>52303</v>
      </c>
      <c r="K1011" s="407">
        <v>959.18</v>
      </c>
      <c r="L1011" s="41">
        <f t="shared" si="64"/>
        <v>0</v>
      </c>
      <c r="M1011" s="41">
        <f t="shared" si="65"/>
        <v>2.0851143685330697E-5</v>
      </c>
      <c r="N1011" s="180">
        <f t="shared" si="66"/>
        <v>0</v>
      </c>
      <c r="O1011" s="180">
        <f t="shared" si="67"/>
        <v>9.9927344712484028E-3</v>
      </c>
    </row>
    <row r="1012" spans="9:15" x14ac:dyDescent="0.35">
      <c r="I1012" s="408" t="s">
        <v>1096</v>
      </c>
      <c r="J1012" s="409">
        <v>52303</v>
      </c>
      <c r="K1012" s="407">
        <v>949.69</v>
      </c>
      <c r="L1012" s="41">
        <f t="shared" si="64"/>
        <v>0</v>
      </c>
      <c r="M1012" s="41">
        <f t="shared" si="65"/>
        <v>9.9927344712484028E-3</v>
      </c>
      <c r="N1012" s="180">
        <f t="shared" si="66"/>
        <v>3.4533699134738985E-3</v>
      </c>
      <c r="O1012" s="180">
        <f t="shared" si="67"/>
        <v>6.0168854143494918E-3</v>
      </c>
    </row>
    <row r="1013" spans="9:15" x14ac:dyDescent="0.35">
      <c r="I1013" s="408" t="s">
        <v>1097</v>
      </c>
      <c r="J1013" s="409">
        <v>52123</v>
      </c>
      <c r="K1013" s="407">
        <v>944.01</v>
      </c>
      <c r="L1013" s="41">
        <f t="shared" si="64"/>
        <v>3.4533699134738985E-3</v>
      </c>
      <c r="M1013" s="41">
        <f t="shared" si="65"/>
        <v>6.0168854143494918E-3</v>
      </c>
      <c r="N1013" s="180">
        <f t="shared" si="66"/>
        <v>-3.4414851920539931E-3</v>
      </c>
      <c r="O1013" s="180">
        <f t="shared" si="67"/>
        <v>-3.1047045778552769E-3</v>
      </c>
    </row>
    <row r="1014" spans="9:15" x14ac:dyDescent="0.35">
      <c r="I1014" s="408" t="s">
        <v>1098</v>
      </c>
      <c r="J1014" s="409">
        <v>52303</v>
      </c>
      <c r="K1014" s="407">
        <v>946.95</v>
      </c>
      <c r="L1014" s="41">
        <f t="shared" si="64"/>
        <v>-3.4414851920539931E-3</v>
      </c>
      <c r="M1014" s="41">
        <f t="shared" si="65"/>
        <v>-3.1047045778552769E-3</v>
      </c>
      <c r="N1014" s="180">
        <f t="shared" si="66"/>
        <v>0</v>
      </c>
      <c r="O1014" s="180">
        <f t="shared" si="67"/>
        <v>-6.9839871645640964E-3</v>
      </c>
    </row>
    <row r="1015" spans="9:15" x14ac:dyDescent="0.35">
      <c r="I1015" s="408" t="s">
        <v>1099</v>
      </c>
      <c r="J1015" s="409">
        <v>52303</v>
      </c>
      <c r="K1015" s="407">
        <v>953.61</v>
      </c>
      <c r="L1015" s="41">
        <f t="shared" si="64"/>
        <v>0</v>
      </c>
      <c r="M1015" s="41">
        <f t="shared" si="65"/>
        <v>-6.9839871645640964E-3</v>
      </c>
      <c r="N1015" s="180">
        <f t="shared" si="66"/>
        <v>0</v>
      </c>
      <c r="O1015" s="180">
        <f t="shared" si="67"/>
        <v>3.7154765914449023E-3</v>
      </c>
    </row>
    <row r="1016" spans="9:15" x14ac:dyDescent="0.35">
      <c r="I1016" s="408" t="s">
        <v>1100</v>
      </c>
      <c r="J1016" s="409">
        <v>52303</v>
      </c>
      <c r="K1016" s="407">
        <v>950.08</v>
      </c>
      <c r="L1016" s="41">
        <f t="shared" si="64"/>
        <v>0</v>
      </c>
      <c r="M1016" s="41">
        <f t="shared" si="65"/>
        <v>3.7154765914449023E-3</v>
      </c>
      <c r="N1016" s="180">
        <f t="shared" si="66"/>
        <v>0</v>
      </c>
      <c r="O1016" s="180">
        <f t="shared" si="67"/>
        <v>-4.2864479076054774E-3</v>
      </c>
    </row>
    <row r="1017" spans="9:15" x14ac:dyDescent="0.35">
      <c r="I1017" s="408">
        <v>43805</v>
      </c>
      <c r="J1017" s="409">
        <v>52303</v>
      </c>
      <c r="K1017" s="407">
        <v>954.17</v>
      </c>
      <c r="L1017" s="41">
        <f t="shared" si="64"/>
        <v>0</v>
      </c>
      <c r="M1017" s="41">
        <f t="shared" si="65"/>
        <v>-4.2864479076054774E-3</v>
      </c>
      <c r="N1017" s="180">
        <f t="shared" si="66"/>
        <v>0</v>
      </c>
      <c r="O1017" s="180">
        <f t="shared" si="67"/>
        <v>-8.2114607045226332E-3</v>
      </c>
    </row>
    <row r="1018" spans="9:15" x14ac:dyDescent="0.35">
      <c r="I1018" s="408">
        <v>43775</v>
      </c>
      <c r="J1018" s="409">
        <v>52303</v>
      </c>
      <c r="K1018" s="407">
        <v>962.07</v>
      </c>
      <c r="L1018" s="41">
        <f t="shared" si="64"/>
        <v>0</v>
      </c>
      <c r="M1018" s="41">
        <f t="shared" si="65"/>
        <v>-8.2114607045226332E-3</v>
      </c>
      <c r="N1018" s="180">
        <f t="shared" si="66"/>
        <v>3.3860446728602493E-2</v>
      </c>
      <c r="O1018" s="180">
        <f t="shared" si="67"/>
        <v>-8.6197943711696678E-4</v>
      </c>
    </row>
    <row r="1019" spans="9:15" x14ac:dyDescent="0.35">
      <c r="I1019" s="408">
        <v>43744</v>
      </c>
      <c r="J1019" s="409">
        <v>50590</v>
      </c>
      <c r="K1019" s="407">
        <v>962.9</v>
      </c>
      <c r="L1019" s="41">
        <f t="shared" si="64"/>
        <v>3.3860446728602493E-2</v>
      </c>
      <c r="M1019" s="41">
        <f t="shared" si="65"/>
        <v>-8.6197943711696678E-4</v>
      </c>
      <c r="N1019" s="180">
        <f t="shared" si="66"/>
        <v>-3.2751467411047168E-2</v>
      </c>
      <c r="O1019" s="180">
        <f t="shared" si="67"/>
        <v>4.8211378720207088E-3</v>
      </c>
    </row>
    <row r="1020" spans="9:15" x14ac:dyDescent="0.35">
      <c r="I1020" s="408">
        <v>43652</v>
      </c>
      <c r="J1020" s="409">
        <v>52303</v>
      </c>
      <c r="K1020" s="407">
        <v>958.28</v>
      </c>
      <c r="L1020" s="41">
        <f t="shared" si="64"/>
        <v>-3.2751467411047168E-2</v>
      </c>
      <c r="M1020" s="41">
        <f t="shared" si="65"/>
        <v>4.8211378720207088E-3</v>
      </c>
      <c r="N1020" s="180">
        <f t="shared" si="66"/>
        <v>0</v>
      </c>
      <c r="O1020" s="180">
        <f t="shared" si="67"/>
        <v>1.0620010335263217E-2</v>
      </c>
    </row>
    <row r="1021" spans="9:15" x14ac:dyDescent="0.35">
      <c r="I1021" s="408">
        <v>43622</v>
      </c>
      <c r="J1021" s="409">
        <v>52303</v>
      </c>
      <c r="K1021" s="407">
        <v>948.21</v>
      </c>
      <c r="L1021" s="41">
        <f t="shared" si="64"/>
        <v>0</v>
      </c>
      <c r="M1021" s="41">
        <f t="shared" si="65"/>
        <v>1.0620010335263217E-2</v>
      </c>
      <c r="N1021" s="180">
        <f t="shared" si="66"/>
        <v>0</v>
      </c>
      <c r="O1021" s="180">
        <f t="shared" si="67"/>
        <v>-3.3634290158816196E-3</v>
      </c>
    </row>
    <row r="1022" spans="9:15" x14ac:dyDescent="0.35">
      <c r="I1022" s="408">
        <v>43591</v>
      </c>
      <c r="J1022" s="409">
        <v>52303</v>
      </c>
      <c r="K1022" s="407">
        <v>951.41</v>
      </c>
      <c r="L1022" s="41">
        <f t="shared" si="64"/>
        <v>0</v>
      </c>
      <c r="M1022" s="41">
        <f t="shared" si="65"/>
        <v>-3.3634290158816196E-3</v>
      </c>
      <c r="N1022" s="180">
        <f t="shared" si="66"/>
        <v>1.7548296725744636E-2</v>
      </c>
      <c r="O1022" s="180">
        <f t="shared" si="67"/>
        <v>2.6283695697884688E-4</v>
      </c>
    </row>
    <row r="1023" spans="9:15" x14ac:dyDescent="0.35">
      <c r="I1023" s="408">
        <v>43561</v>
      </c>
      <c r="J1023" s="409">
        <v>51401</v>
      </c>
      <c r="K1023" s="407">
        <v>951.16</v>
      </c>
      <c r="L1023" s="41">
        <f t="shared" si="64"/>
        <v>1.7548296725744636E-2</v>
      </c>
      <c r="M1023" s="41">
        <f t="shared" si="65"/>
        <v>2.6283695697884688E-4</v>
      </c>
      <c r="N1023" s="180">
        <f t="shared" si="66"/>
        <v>0</v>
      </c>
      <c r="O1023" s="180">
        <f t="shared" si="67"/>
        <v>4.9552547888469158E-3</v>
      </c>
    </row>
    <row r="1024" spans="9:15" x14ac:dyDescent="0.35">
      <c r="I1024" s="408">
        <v>43530</v>
      </c>
      <c r="J1024" s="409">
        <v>51401</v>
      </c>
      <c r="K1024" s="407">
        <v>946.47</v>
      </c>
      <c r="L1024" s="41">
        <f t="shared" si="64"/>
        <v>0</v>
      </c>
      <c r="M1024" s="41">
        <f t="shared" si="65"/>
        <v>4.9552547888469158E-3</v>
      </c>
      <c r="N1024" s="180">
        <f t="shared" si="66"/>
        <v>0</v>
      </c>
      <c r="O1024" s="180">
        <f t="shared" si="67"/>
        <v>-1.3970496312038972E-2</v>
      </c>
    </row>
    <row r="1025" spans="9:15" x14ac:dyDescent="0.35">
      <c r="I1025" s="408" t="s">
        <v>1101</v>
      </c>
      <c r="J1025" s="409">
        <v>51401</v>
      </c>
      <c r="K1025" s="407">
        <v>959.88</v>
      </c>
      <c r="L1025" s="41">
        <f t="shared" si="64"/>
        <v>0</v>
      </c>
      <c r="M1025" s="41">
        <f t="shared" si="65"/>
        <v>-1.3970496312038972E-2</v>
      </c>
      <c r="N1025" s="180">
        <f t="shared" si="66"/>
        <v>1.784158415841584E-2</v>
      </c>
      <c r="O1025" s="180">
        <f t="shared" si="67"/>
        <v>-9.7592176119834489E-3</v>
      </c>
    </row>
    <row r="1026" spans="9:15" x14ac:dyDescent="0.35">
      <c r="I1026" s="408" t="s">
        <v>1102</v>
      </c>
      <c r="J1026" s="409">
        <v>50500</v>
      </c>
      <c r="K1026" s="407">
        <v>969.34</v>
      </c>
      <c r="L1026" s="41">
        <f t="shared" si="64"/>
        <v>1.784158415841584E-2</v>
      </c>
      <c r="M1026" s="41">
        <f t="shared" si="65"/>
        <v>-9.7592176119834489E-3</v>
      </c>
      <c r="N1026" s="180">
        <f t="shared" si="66"/>
        <v>6.0612424917041205E-2</v>
      </c>
      <c r="O1026" s="180">
        <f t="shared" si="67"/>
        <v>-2.2644461370606786E-3</v>
      </c>
    </row>
    <row r="1027" spans="9:15" x14ac:dyDescent="0.35">
      <c r="I1027" s="408" t="s">
        <v>1103</v>
      </c>
      <c r="J1027" s="409">
        <v>47614</v>
      </c>
      <c r="K1027" s="407">
        <v>971.54</v>
      </c>
      <c r="L1027" s="41">
        <f t="shared" si="64"/>
        <v>6.0612424917041205E-2</v>
      </c>
      <c r="M1027" s="41">
        <f t="shared" si="65"/>
        <v>-2.2644461370606786E-3</v>
      </c>
      <c r="N1027" s="180">
        <f t="shared" si="66"/>
        <v>-3.7661631167092103E-3</v>
      </c>
      <c r="O1027" s="180">
        <f t="shared" si="67"/>
        <v>-4.732510288066218E-4</v>
      </c>
    </row>
    <row r="1028" spans="9:15" x14ac:dyDescent="0.35">
      <c r="I1028" s="408" t="s">
        <v>1104</v>
      </c>
      <c r="J1028" s="409">
        <v>47794</v>
      </c>
      <c r="K1028" s="407">
        <v>972</v>
      </c>
      <c r="L1028" s="41">
        <f t="shared" ref="L1028:L1091" si="68">(J1027-J1028)/J1028</f>
        <v>-3.7661631167092103E-3</v>
      </c>
      <c r="M1028" s="41">
        <f t="shared" ref="M1028:M1091" si="69">(K1027-K1028)/K1028</f>
        <v>-4.732510288066218E-4</v>
      </c>
      <c r="N1028" s="180">
        <f t="shared" si="66"/>
        <v>0</v>
      </c>
      <c r="O1028" s="180">
        <f t="shared" si="67"/>
        <v>-3.2200504542937284E-3</v>
      </c>
    </row>
    <row r="1029" spans="9:15" x14ac:dyDescent="0.35">
      <c r="I1029" s="408" t="s">
        <v>1105</v>
      </c>
      <c r="J1029" s="409">
        <v>47794</v>
      </c>
      <c r="K1029" s="407">
        <v>975.14</v>
      </c>
      <c r="L1029" s="41">
        <f t="shared" si="68"/>
        <v>0</v>
      </c>
      <c r="M1029" s="41">
        <f t="shared" si="69"/>
        <v>-3.2200504542937284E-3</v>
      </c>
      <c r="N1029" s="180">
        <f t="shared" si="66"/>
        <v>-9.3481189760596956E-3</v>
      </c>
      <c r="O1029" s="180">
        <f t="shared" si="67"/>
        <v>5.267878313041879E-3</v>
      </c>
    </row>
    <row r="1030" spans="9:15" x14ac:dyDescent="0.35">
      <c r="I1030" s="408" t="s">
        <v>1106</v>
      </c>
      <c r="J1030" s="409">
        <v>48245</v>
      </c>
      <c r="K1030" s="407">
        <v>970.03</v>
      </c>
      <c r="L1030" s="41">
        <f t="shared" si="68"/>
        <v>-9.3481189760596956E-3</v>
      </c>
      <c r="M1030" s="41">
        <f t="shared" si="69"/>
        <v>5.267878313041879E-3</v>
      </c>
      <c r="N1030" s="180">
        <f t="shared" si="66"/>
        <v>-9.2615409889929366E-3</v>
      </c>
      <c r="O1030" s="180">
        <f t="shared" si="67"/>
        <v>-1.2903094503973769E-2</v>
      </c>
    </row>
    <row r="1031" spans="9:15" x14ac:dyDescent="0.35">
      <c r="I1031" s="408" t="s">
        <v>1107</v>
      </c>
      <c r="J1031" s="409">
        <v>48696</v>
      </c>
      <c r="K1031" s="407">
        <v>982.71</v>
      </c>
      <c r="L1031" s="41">
        <f t="shared" si="68"/>
        <v>-9.2615409889929366E-3</v>
      </c>
      <c r="M1031" s="41">
        <f t="shared" si="69"/>
        <v>-1.2903094503973769E-2</v>
      </c>
      <c r="N1031" s="180">
        <f t="shared" si="66"/>
        <v>0</v>
      </c>
      <c r="O1031" s="180">
        <f t="shared" si="67"/>
        <v>-1.087641545874013E-3</v>
      </c>
    </row>
    <row r="1032" spans="9:15" x14ac:dyDescent="0.35">
      <c r="I1032" s="408" t="s">
        <v>1108</v>
      </c>
      <c r="J1032" s="409">
        <v>48696</v>
      </c>
      <c r="K1032" s="407">
        <v>983.78</v>
      </c>
      <c r="L1032" s="41">
        <f t="shared" si="68"/>
        <v>0</v>
      </c>
      <c r="M1032" s="41">
        <f t="shared" si="69"/>
        <v>-1.087641545874013E-3</v>
      </c>
      <c r="N1032" s="180">
        <f t="shared" si="66"/>
        <v>-9.1765519767228933E-3</v>
      </c>
      <c r="O1032" s="180">
        <f t="shared" si="67"/>
        <v>-2.5448904480426557E-3</v>
      </c>
    </row>
    <row r="1033" spans="9:15" x14ac:dyDescent="0.35">
      <c r="I1033" s="408" t="s">
        <v>1109</v>
      </c>
      <c r="J1033" s="409">
        <v>49147</v>
      </c>
      <c r="K1033" s="407">
        <v>986.29</v>
      </c>
      <c r="L1033" s="41">
        <f t="shared" si="68"/>
        <v>-9.1765519767228933E-3</v>
      </c>
      <c r="M1033" s="41">
        <f t="shared" si="69"/>
        <v>-2.5448904480426557E-3</v>
      </c>
      <c r="N1033" s="180">
        <f t="shared" si="66"/>
        <v>-3.649117116386563E-3</v>
      </c>
      <c r="O1033" s="180">
        <f t="shared" si="67"/>
        <v>-8.5095174900978786E-4</v>
      </c>
    </row>
    <row r="1034" spans="9:15" x14ac:dyDescent="0.35">
      <c r="I1034" s="408" t="s">
        <v>1110</v>
      </c>
      <c r="J1034" s="409">
        <v>49327</v>
      </c>
      <c r="K1034" s="407">
        <v>987.13</v>
      </c>
      <c r="L1034" s="41">
        <f t="shared" si="68"/>
        <v>-3.649117116386563E-3</v>
      </c>
      <c r="M1034" s="41">
        <f t="shared" si="69"/>
        <v>-8.5095174900978786E-4</v>
      </c>
      <c r="N1034" s="180">
        <f t="shared" si="66"/>
        <v>-1.2630609712158214E-2</v>
      </c>
      <c r="O1034" s="180">
        <f t="shared" si="67"/>
        <v>1.0906521382926406E-2</v>
      </c>
    </row>
    <row r="1035" spans="9:15" x14ac:dyDescent="0.35">
      <c r="I1035" s="408" t="s">
        <v>1111</v>
      </c>
      <c r="J1035" s="409">
        <v>49958</v>
      </c>
      <c r="K1035" s="407">
        <v>976.48</v>
      </c>
      <c r="L1035" s="41">
        <f t="shared" si="68"/>
        <v>-1.2630609712158214E-2</v>
      </c>
      <c r="M1035" s="41">
        <f t="shared" si="69"/>
        <v>1.0906521382926406E-2</v>
      </c>
      <c r="N1035" s="180">
        <f t="shared" si="66"/>
        <v>-2.2941072930316248E-2</v>
      </c>
      <c r="O1035" s="180">
        <f t="shared" si="67"/>
        <v>8.0968340354002145E-4</v>
      </c>
    </row>
    <row r="1036" spans="9:15" x14ac:dyDescent="0.35">
      <c r="I1036" s="408" t="s">
        <v>1112</v>
      </c>
      <c r="J1036" s="409">
        <v>51131</v>
      </c>
      <c r="K1036" s="407">
        <v>975.69</v>
      </c>
      <c r="L1036" s="41">
        <f t="shared" si="68"/>
        <v>-2.2941072930316248E-2</v>
      </c>
      <c r="M1036" s="41">
        <f t="shared" si="69"/>
        <v>8.0968340354002145E-4</v>
      </c>
      <c r="N1036" s="180">
        <f t="shared" si="66"/>
        <v>0</v>
      </c>
      <c r="O1036" s="180">
        <f t="shared" si="67"/>
        <v>5.1248411299319636E-5</v>
      </c>
    </row>
    <row r="1037" spans="9:15" x14ac:dyDescent="0.35">
      <c r="I1037" s="408" t="s">
        <v>1113</v>
      </c>
      <c r="J1037" s="409">
        <v>51131</v>
      </c>
      <c r="K1037" s="407">
        <v>975.64</v>
      </c>
      <c r="L1037" s="41">
        <f t="shared" si="68"/>
        <v>0</v>
      </c>
      <c r="M1037" s="41">
        <f t="shared" si="69"/>
        <v>5.1248411299319636E-5</v>
      </c>
      <c r="N1037" s="180">
        <f t="shared" si="66"/>
        <v>5.3899744414213871E-2</v>
      </c>
      <c r="O1037" s="180">
        <f t="shared" si="67"/>
        <v>1.0669815816189067E-2</v>
      </c>
    </row>
    <row r="1038" spans="9:15" x14ac:dyDescent="0.35">
      <c r="I1038" s="408" t="s">
        <v>1114</v>
      </c>
      <c r="J1038" s="409">
        <v>48516</v>
      </c>
      <c r="K1038" s="407">
        <v>965.34</v>
      </c>
      <c r="L1038" s="41">
        <f t="shared" si="68"/>
        <v>5.3899744414213871E-2</v>
      </c>
      <c r="M1038" s="41">
        <f t="shared" si="69"/>
        <v>1.0669815816189067E-2</v>
      </c>
      <c r="N1038" s="180">
        <f t="shared" si="66"/>
        <v>-6.9201695988335282E-2</v>
      </c>
      <c r="O1038" s="180">
        <f t="shared" si="67"/>
        <v>7.0941223110147396E-3</v>
      </c>
    </row>
    <row r="1039" spans="9:15" x14ac:dyDescent="0.35">
      <c r="I1039" s="408" t="s">
        <v>1115</v>
      </c>
      <c r="J1039" s="409">
        <v>52123</v>
      </c>
      <c r="K1039" s="407">
        <v>958.54</v>
      </c>
      <c r="L1039" s="41">
        <f t="shared" si="68"/>
        <v>-6.9201695988335282E-2</v>
      </c>
      <c r="M1039" s="41">
        <f t="shared" si="69"/>
        <v>7.0941223110147396E-3</v>
      </c>
      <c r="N1039" s="180">
        <f t="shared" si="66"/>
        <v>-3.666808361210195E-2</v>
      </c>
      <c r="O1039" s="180">
        <f t="shared" si="67"/>
        <v>6.2883838118734025E-3</v>
      </c>
    </row>
    <row r="1040" spans="9:15" x14ac:dyDescent="0.35">
      <c r="I1040" s="408">
        <v>43743</v>
      </c>
      <c r="J1040" s="409">
        <v>54107</v>
      </c>
      <c r="K1040" s="407">
        <v>952.55</v>
      </c>
      <c r="L1040" s="41">
        <f t="shared" si="68"/>
        <v>-3.666808361210195E-2</v>
      </c>
      <c r="M1040" s="41">
        <f t="shared" si="69"/>
        <v>6.2883838118734025E-3</v>
      </c>
      <c r="N1040" s="180">
        <f t="shared" si="66"/>
        <v>3.2714293894222514E-2</v>
      </c>
      <c r="O1040" s="180">
        <f t="shared" si="67"/>
        <v>5.849991024381964E-3</v>
      </c>
    </row>
    <row r="1041" spans="9:15" x14ac:dyDescent="0.35">
      <c r="I1041" s="408">
        <v>43713</v>
      </c>
      <c r="J1041" s="409">
        <v>52393</v>
      </c>
      <c r="K1041" s="407">
        <v>947.01</v>
      </c>
      <c r="L1041" s="41">
        <f t="shared" si="68"/>
        <v>3.2714293894222514E-2</v>
      </c>
      <c r="M1041" s="41">
        <f t="shared" si="69"/>
        <v>5.849991024381964E-3</v>
      </c>
      <c r="N1041" s="180">
        <f t="shared" si="66"/>
        <v>-8.5345545378850956E-3</v>
      </c>
      <c r="O1041" s="180">
        <f t="shared" si="67"/>
        <v>-4.4258951662076449E-3</v>
      </c>
    </row>
    <row r="1042" spans="9:15" x14ac:dyDescent="0.35">
      <c r="I1042" s="408">
        <v>43682</v>
      </c>
      <c r="J1042" s="409">
        <v>52844</v>
      </c>
      <c r="K1042" s="407">
        <v>951.22</v>
      </c>
      <c r="L1042" s="41">
        <f t="shared" si="68"/>
        <v>-8.5345545378850956E-3</v>
      </c>
      <c r="M1042" s="41">
        <f t="shared" si="69"/>
        <v>-4.4258951662076449E-3</v>
      </c>
      <c r="N1042" s="180">
        <f t="shared" si="66"/>
        <v>1.0343574938340056E-2</v>
      </c>
      <c r="O1042" s="180">
        <f t="shared" si="67"/>
        <v>-6.6209950290320382E-3</v>
      </c>
    </row>
    <row r="1043" spans="9:15" x14ac:dyDescent="0.35">
      <c r="I1043" s="408">
        <v>43651</v>
      </c>
      <c r="J1043" s="409">
        <v>52303</v>
      </c>
      <c r="K1043" s="407">
        <v>957.56</v>
      </c>
      <c r="L1043" s="41">
        <f t="shared" si="68"/>
        <v>1.0343574938340056E-2</v>
      </c>
      <c r="M1043" s="41">
        <f t="shared" si="69"/>
        <v>-6.6209950290320382E-3</v>
      </c>
      <c r="N1043" s="180">
        <f t="shared" si="66"/>
        <v>-2.0267865505291749E-2</v>
      </c>
      <c r="O1043" s="180">
        <f t="shared" si="67"/>
        <v>-4.2798835036596326E-4</v>
      </c>
    </row>
    <row r="1044" spans="9:15" x14ac:dyDescent="0.35">
      <c r="I1044" s="408">
        <v>43621</v>
      </c>
      <c r="J1044" s="409">
        <v>53385</v>
      </c>
      <c r="K1044" s="407">
        <v>957.97</v>
      </c>
      <c r="L1044" s="41">
        <f t="shared" si="68"/>
        <v>-2.0267865505291749E-2</v>
      </c>
      <c r="M1044" s="41">
        <f t="shared" si="69"/>
        <v>-4.2798835036596326E-4</v>
      </c>
      <c r="N1044" s="180">
        <f t="shared" si="66"/>
        <v>0</v>
      </c>
      <c r="O1044" s="180">
        <f t="shared" si="67"/>
        <v>-1.6599256780339539E-2</v>
      </c>
    </row>
    <row r="1045" spans="9:15" x14ac:dyDescent="0.35">
      <c r="I1045" s="408">
        <v>43529</v>
      </c>
      <c r="J1045" s="409">
        <v>53385</v>
      </c>
      <c r="K1045" s="407">
        <v>974.14</v>
      </c>
      <c r="L1045" s="41">
        <f t="shared" si="68"/>
        <v>0</v>
      </c>
      <c r="M1045" s="41">
        <f t="shared" si="69"/>
        <v>-1.6599256780339539E-2</v>
      </c>
      <c r="N1045" s="180">
        <f t="shared" si="66"/>
        <v>3.3831406822667043E-3</v>
      </c>
      <c r="O1045" s="180">
        <f t="shared" si="67"/>
        <v>-4.4557996934082916E-3</v>
      </c>
    </row>
    <row r="1046" spans="9:15" x14ac:dyDescent="0.35">
      <c r="I1046" s="408">
        <v>43501</v>
      </c>
      <c r="J1046" s="409">
        <v>53205</v>
      </c>
      <c r="K1046" s="407">
        <v>978.5</v>
      </c>
      <c r="L1046" s="41">
        <f t="shared" si="68"/>
        <v>3.3831406822667043E-3</v>
      </c>
      <c r="M1046" s="41">
        <f t="shared" si="69"/>
        <v>-4.4557996934082916E-3</v>
      </c>
      <c r="N1046" s="180">
        <f t="shared" si="66"/>
        <v>-3.4374489555164339E-2</v>
      </c>
      <c r="O1046" s="180">
        <f t="shared" si="67"/>
        <v>-1.1636927851047185E-3</v>
      </c>
    </row>
    <row r="1047" spans="9:15" x14ac:dyDescent="0.35">
      <c r="I1047" s="408" t="s">
        <v>1116</v>
      </c>
      <c r="J1047" s="409">
        <v>55099</v>
      </c>
      <c r="K1047" s="407">
        <v>979.64</v>
      </c>
      <c r="L1047" s="41">
        <f t="shared" si="68"/>
        <v>-3.4374489555164339E-2</v>
      </c>
      <c r="M1047" s="41">
        <f t="shared" si="69"/>
        <v>-1.1636927851047185E-3</v>
      </c>
      <c r="N1047" s="180">
        <f t="shared" si="66"/>
        <v>1.6543048283885981E-3</v>
      </c>
      <c r="O1047" s="180">
        <f t="shared" si="67"/>
        <v>5.6563292373707731E-3</v>
      </c>
    </row>
    <row r="1048" spans="9:15" x14ac:dyDescent="0.35">
      <c r="I1048" s="408" t="s">
        <v>1117</v>
      </c>
      <c r="J1048" s="409">
        <v>55008</v>
      </c>
      <c r="K1048" s="407">
        <v>974.13</v>
      </c>
      <c r="L1048" s="41">
        <f t="shared" si="68"/>
        <v>1.6543048283885981E-3</v>
      </c>
      <c r="M1048" s="41">
        <f t="shared" si="69"/>
        <v>5.6563292373707731E-3</v>
      </c>
      <c r="N1048" s="180">
        <f t="shared" si="66"/>
        <v>-1.454675743461125E-2</v>
      </c>
      <c r="O1048" s="180">
        <f t="shared" si="67"/>
        <v>-2.8559145068173071E-3</v>
      </c>
    </row>
    <row r="1049" spans="9:15" x14ac:dyDescent="0.35">
      <c r="I1049" s="408" t="s">
        <v>1118</v>
      </c>
      <c r="J1049" s="409">
        <v>55820</v>
      </c>
      <c r="K1049" s="407">
        <v>976.92</v>
      </c>
      <c r="L1049" s="41">
        <f t="shared" si="68"/>
        <v>-1.454675743461125E-2</v>
      </c>
      <c r="M1049" s="41">
        <f t="shared" si="69"/>
        <v>-2.8559145068173071E-3</v>
      </c>
      <c r="N1049" s="180">
        <f t="shared" si="66"/>
        <v>4.8785756719292878E-3</v>
      </c>
      <c r="O1049" s="180">
        <f t="shared" si="67"/>
        <v>9.2148760330578085E-3</v>
      </c>
    </row>
    <row r="1050" spans="9:15" x14ac:dyDescent="0.35">
      <c r="I1050" s="408" t="s">
        <v>1119</v>
      </c>
      <c r="J1050" s="409">
        <v>55549</v>
      </c>
      <c r="K1050" s="407">
        <v>968</v>
      </c>
      <c r="L1050" s="41">
        <f t="shared" si="68"/>
        <v>4.8785756719292878E-3</v>
      </c>
      <c r="M1050" s="41">
        <f t="shared" si="69"/>
        <v>9.2148760330578085E-3</v>
      </c>
      <c r="N1050" s="180">
        <f t="shared" si="66"/>
        <v>-4.7835746022645833E-3</v>
      </c>
      <c r="O1050" s="180">
        <f t="shared" si="67"/>
        <v>2.2156420185119857E-3</v>
      </c>
    </row>
    <row r="1051" spans="9:15" x14ac:dyDescent="0.35">
      <c r="I1051" s="408" t="s">
        <v>1120</v>
      </c>
      <c r="J1051" s="409">
        <v>55816</v>
      </c>
      <c r="K1051" s="407">
        <v>965.86</v>
      </c>
      <c r="L1051" s="41">
        <f t="shared" si="68"/>
        <v>-4.7835746022645833E-3</v>
      </c>
      <c r="M1051" s="41">
        <f t="shared" si="69"/>
        <v>2.2156420185119857E-3</v>
      </c>
      <c r="N1051" s="180">
        <f t="shared" si="66"/>
        <v>6.2514277012106906E-2</v>
      </c>
      <c r="O1051" s="180">
        <f t="shared" si="67"/>
        <v>-3.6224009273348729E-4</v>
      </c>
    </row>
    <row r="1052" spans="9:15" x14ac:dyDescent="0.35">
      <c r="I1052" s="408" t="s">
        <v>1121</v>
      </c>
      <c r="J1052" s="409">
        <v>52532</v>
      </c>
      <c r="K1052" s="407">
        <v>966.21</v>
      </c>
      <c r="L1052" s="41">
        <f t="shared" si="68"/>
        <v>6.2514277012106906E-2</v>
      </c>
      <c r="M1052" s="41">
        <f t="shared" si="69"/>
        <v>-3.6224009273348729E-4</v>
      </c>
      <c r="N1052" s="180">
        <f t="shared" si="66"/>
        <v>3.3807659249355361E-3</v>
      </c>
      <c r="O1052" s="180">
        <f t="shared" si="67"/>
        <v>4.063181959887854E-3</v>
      </c>
    </row>
    <row r="1053" spans="9:15" x14ac:dyDescent="0.35">
      <c r="I1053" s="408" t="s">
        <v>1122</v>
      </c>
      <c r="J1053" s="409">
        <v>52355</v>
      </c>
      <c r="K1053" s="407">
        <v>962.3</v>
      </c>
      <c r="L1053" s="41">
        <f t="shared" si="68"/>
        <v>3.3807659249355361E-3</v>
      </c>
      <c r="M1053" s="41">
        <f t="shared" si="69"/>
        <v>4.063181959887854E-3</v>
      </c>
      <c r="N1053" s="180">
        <f t="shared" si="66"/>
        <v>-1.6659779873032569E-2</v>
      </c>
      <c r="O1053" s="180">
        <f t="shared" si="67"/>
        <v>-1.0081267359325243E-2</v>
      </c>
    </row>
    <row r="1054" spans="9:15" x14ac:dyDescent="0.35">
      <c r="I1054" s="408" t="s">
        <v>1123</v>
      </c>
      <c r="J1054" s="409">
        <v>53242</v>
      </c>
      <c r="K1054" s="407">
        <v>972.1</v>
      </c>
      <c r="L1054" s="41">
        <f t="shared" si="68"/>
        <v>-1.6659779873032569E-2</v>
      </c>
      <c r="M1054" s="41">
        <f t="shared" si="69"/>
        <v>-1.0081267359325243E-2</v>
      </c>
      <c r="N1054" s="180">
        <f t="shared" si="66"/>
        <v>0</v>
      </c>
      <c r="O1054" s="180">
        <f t="shared" si="67"/>
        <v>-5.1884523675511289E-3</v>
      </c>
    </row>
    <row r="1055" spans="9:15" x14ac:dyDescent="0.35">
      <c r="I1055" s="408" t="s">
        <v>1124</v>
      </c>
      <c r="J1055" s="409">
        <v>53242</v>
      </c>
      <c r="K1055" s="407">
        <v>977.17</v>
      </c>
      <c r="L1055" s="41">
        <f t="shared" si="68"/>
        <v>0</v>
      </c>
      <c r="M1055" s="41">
        <f t="shared" si="69"/>
        <v>-5.1884523675511289E-3</v>
      </c>
      <c r="N1055" s="180">
        <f t="shared" si="66"/>
        <v>0</v>
      </c>
      <c r="O1055" s="180">
        <f t="shared" si="67"/>
        <v>-5.8296876589683773E-3</v>
      </c>
    </row>
    <row r="1056" spans="9:15" x14ac:dyDescent="0.35">
      <c r="I1056" s="408">
        <v>43803</v>
      </c>
      <c r="J1056" s="409">
        <v>53242</v>
      </c>
      <c r="K1056" s="407">
        <v>982.9</v>
      </c>
      <c r="L1056" s="41">
        <f t="shared" si="68"/>
        <v>0</v>
      </c>
      <c r="M1056" s="41">
        <f t="shared" si="69"/>
        <v>-5.8296876589683773E-3</v>
      </c>
      <c r="N1056" s="180">
        <f t="shared" si="66"/>
        <v>8.3903104225458817E-3</v>
      </c>
      <c r="O1056" s="180">
        <f t="shared" si="67"/>
        <v>-3.09346315736099E-3</v>
      </c>
    </row>
    <row r="1057" spans="9:15" x14ac:dyDescent="0.35">
      <c r="I1057" s="408">
        <v>43773</v>
      </c>
      <c r="J1057" s="409">
        <v>52799</v>
      </c>
      <c r="K1057" s="407">
        <v>985.95</v>
      </c>
      <c r="L1057" s="41">
        <f t="shared" si="68"/>
        <v>8.3903104225458817E-3</v>
      </c>
      <c r="M1057" s="41">
        <f t="shared" si="69"/>
        <v>-3.09346315736099E-3</v>
      </c>
      <c r="N1057" s="180">
        <f t="shared" si="66"/>
        <v>-1.6639249721103484E-3</v>
      </c>
      <c r="O1057" s="180">
        <f t="shared" si="67"/>
        <v>4.1144300394130593E-3</v>
      </c>
    </row>
    <row r="1058" spans="9:15" x14ac:dyDescent="0.35">
      <c r="I1058" s="408">
        <v>43742</v>
      </c>
      <c r="J1058" s="409">
        <v>52887</v>
      </c>
      <c r="K1058" s="407">
        <v>981.91</v>
      </c>
      <c r="L1058" s="41">
        <f t="shared" si="68"/>
        <v>-1.6639249721103484E-3</v>
      </c>
      <c r="M1058" s="41">
        <f t="shared" si="69"/>
        <v>4.1144300394130593E-3</v>
      </c>
      <c r="N1058" s="180">
        <f t="shared" ref="N1058:N1121" si="70">(J1058-J1059)/J1059</f>
        <v>-3.3543767078111752E-3</v>
      </c>
      <c r="O1058" s="180">
        <f t="shared" si="67"/>
        <v>-6.6465684687601672E-3</v>
      </c>
    </row>
    <row r="1059" spans="9:15" x14ac:dyDescent="0.35">
      <c r="I1059" s="408">
        <v>43712</v>
      </c>
      <c r="J1059" s="409">
        <v>53065</v>
      </c>
      <c r="K1059" s="407">
        <v>988.48</v>
      </c>
      <c r="L1059" s="41">
        <f t="shared" si="68"/>
        <v>-3.3543767078111752E-3</v>
      </c>
      <c r="M1059" s="41">
        <f t="shared" si="69"/>
        <v>-6.6465684687601672E-3</v>
      </c>
      <c r="N1059" s="180">
        <f t="shared" si="70"/>
        <v>-3.3244431088238608E-3</v>
      </c>
      <c r="O1059" s="180">
        <f t="shared" si="67"/>
        <v>-9.102209390913758E-3</v>
      </c>
    </row>
    <row r="1060" spans="9:15" x14ac:dyDescent="0.35">
      <c r="I1060" s="408">
        <v>43681</v>
      </c>
      <c r="J1060" s="409">
        <v>53242</v>
      </c>
      <c r="K1060" s="407">
        <v>997.56</v>
      </c>
      <c r="L1060" s="41">
        <f t="shared" si="68"/>
        <v>-3.3244431088238608E-3</v>
      </c>
      <c r="M1060" s="41">
        <f t="shared" si="69"/>
        <v>-9.102209390913758E-3</v>
      </c>
      <c r="N1060" s="180">
        <f t="shared" si="70"/>
        <v>0</v>
      </c>
      <c r="O1060" s="180">
        <f t="shared" si="67"/>
        <v>8.3901097790267005E-3</v>
      </c>
    </row>
    <row r="1061" spans="9:15" x14ac:dyDescent="0.35">
      <c r="I1061" s="408">
        <v>43589</v>
      </c>
      <c r="J1061" s="409">
        <v>53242</v>
      </c>
      <c r="K1061" s="407">
        <v>989.26</v>
      </c>
      <c r="L1061" s="41">
        <f t="shared" si="68"/>
        <v>0</v>
      </c>
      <c r="M1061" s="41">
        <f t="shared" si="69"/>
        <v>8.3901097790267005E-3</v>
      </c>
      <c r="N1061" s="180">
        <f t="shared" si="70"/>
        <v>0</v>
      </c>
      <c r="O1061" s="180">
        <f t="shared" si="67"/>
        <v>2.381169508871146E-3</v>
      </c>
    </row>
    <row r="1062" spans="9:15" x14ac:dyDescent="0.35">
      <c r="I1062" s="408">
        <v>43559</v>
      </c>
      <c r="J1062" s="409">
        <v>53242</v>
      </c>
      <c r="K1062" s="407">
        <v>986.91</v>
      </c>
      <c r="L1062" s="41">
        <f t="shared" si="68"/>
        <v>0</v>
      </c>
      <c r="M1062" s="41">
        <f t="shared" si="69"/>
        <v>2.381169508871146E-3</v>
      </c>
      <c r="N1062" s="180">
        <f t="shared" si="70"/>
        <v>0</v>
      </c>
      <c r="O1062" s="180">
        <f t="shared" ref="O1062:O1125" si="71">(K1062-K1063)/K1063</f>
        <v>2.4886739938645873E-3</v>
      </c>
    </row>
    <row r="1063" spans="9:15" x14ac:dyDescent="0.35">
      <c r="I1063" s="408">
        <v>43528</v>
      </c>
      <c r="J1063" s="409">
        <v>53242</v>
      </c>
      <c r="K1063" s="407">
        <v>984.46</v>
      </c>
      <c r="L1063" s="41">
        <f t="shared" si="68"/>
        <v>0</v>
      </c>
      <c r="M1063" s="41">
        <f t="shared" si="69"/>
        <v>2.4886739938645873E-3</v>
      </c>
      <c r="N1063" s="180">
        <f t="shared" si="70"/>
        <v>1.6555668435113068E-3</v>
      </c>
      <c r="O1063" s="180">
        <f t="shared" si="71"/>
        <v>-1.3694322435356804E-3</v>
      </c>
    </row>
    <row r="1064" spans="9:15" x14ac:dyDescent="0.35">
      <c r="I1064" s="408">
        <v>43500</v>
      </c>
      <c r="J1064" s="409">
        <v>53154</v>
      </c>
      <c r="K1064" s="407">
        <v>985.81</v>
      </c>
      <c r="L1064" s="41">
        <f t="shared" si="68"/>
        <v>1.6555668435113068E-3</v>
      </c>
      <c r="M1064" s="41">
        <f t="shared" si="69"/>
        <v>-1.3694322435356804E-3</v>
      </c>
      <c r="N1064" s="180">
        <f t="shared" si="70"/>
        <v>0</v>
      </c>
      <c r="O1064" s="180">
        <f t="shared" si="71"/>
        <v>-2.7515603977623618E-3</v>
      </c>
    </row>
    <row r="1065" spans="9:15" x14ac:dyDescent="0.35">
      <c r="I1065" s="408">
        <v>43469</v>
      </c>
      <c r="J1065" s="409">
        <v>53154</v>
      </c>
      <c r="K1065" s="407">
        <v>988.53</v>
      </c>
      <c r="L1065" s="41">
        <f t="shared" si="68"/>
        <v>0</v>
      </c>
      <c r="M1065" s="41">
        <f t="shared" si="69"/>
        <v>-2.7515603977623618E-3</v>
      </c>
      <c r="N1065" s="180">
        <f t="shared" si="70"/>
        <v>-1.6528304721836144E-3</v>
      </c>
      <c r="O1065" s="180">
        <f t="shared" si="71"/>
        <v>7.9224275052000304E-3</v>
      </c>
    </row>
    <row r="1066" spans="9:15" x14ac:dyDescent="0.35">
      <c r="I1066" s="408" t="s">
        <v>1125</v>
      </c>
      <c r="J1066" s="409">
        <v>53242</v>
      </c>
      <c r="K1066" s="407">
        <v>980.76</v>
      </c>
      <c r="L1066" s="41">
        <f t="shared" si="68"/>
        <v>-1.6528304721836144E-3</v>
      </c>
      <c r="M1066" s="41">
        <f t="shared" si="69"/>
        <v>7.9224275052000304E-3</v>
      </c>
      <c r="N1066" s="180">
        <f t="shared" si="70"/>
        <v>-8.2703125582088439E-3</v>
      </c>
      <c r="O1066" s="180">
        <f t="shared" si="71"/>
        <v>-2.2584386254044103E-3</v>
      </c>
    </row>
    <row r="1067" spans="9:15" x14ac:dyDescent="0.35">
      <c r="I1067" s="408" t="s">
        <v>1126</v>
      </c>
      <c r="J1067" s="409">
        <v>53686</v>
      </c>
      <c r="K1067" s="407">
        <v>982.98</v>
      </c>
      <c r="L1067" s="41">
        <f t="shared" si="68"/>
        <v>-8.2703125582088439E-3</v>
      </c>
      <c r="M1067" s="41">
        <f t="shared" si="69"/>
        <v>-2.2584386254044103E-3</v>
      </c>
      <c r="N1067" s="180">
        <f t="shared" si="70"/>
        <v>8.3392810187446001E-3</v>
      </c>
      <c r="O1067" s="180">
        <f t="shared" si="71"/>
        <v>7.244520498816541E-3</v>
      </c>
    </row>
    <row r="1068" spans="9:15" x14ac:dyDescent="0.35">
      <c r="I1068" s="408" t="s">
        <v>1127</v>
      </c>
      <c r="J1068" s="409">
        <v>53242</v>
      </c>
      <c r="K1068" s="407">
        <v>975.91</v>
      </c>
      <c r="L1068" s="41">
        <f t="shared" si="68"/>
        <v>8.3392810187446001E-3</v>
      </c>
      <c r="M1068" s="41">
        <f t="shared" si="69"/>
        <v>7.244520498816541E-3</v>
      </c>
      <c r="N1068" s="180">
        <f t="shared" si="70"/>
        <v>0</v>
      </c>
      <c r="O1068" s="180">
        <f t="shared" si="71"/>
        <v>6.3106445725363272E-3</v>
      </c>
    </row>
    <row r="1069" spans="9:15" x14ac:dyDescent="0.35">
      <c r="I1069" s="408" t="s">
        <v>1128</v>
      </c>
      <c r="J1069" s="409">
        <v>53242</v>
      </c>
      <c r="K1069" s="407">
        <v>969.79</v>
      </c>
      <c r="L1069" s="41">
        <f t="shared" si="68"/>
        <v>0</v>
      </c>
      <c r="M1069" s="41">
        <f t="shared" si="69"/>
        <v>6.3106445725363272E-3</v>
      </c>
      <c r="N1069" s="180">
        <f t="shared" si="70"/>
        <v>-3.332085361287907E-3</v>
      </c>
      <c r="O1069" s="180">
        <f t="shared" si="71"/>
        <v>-2.8863896419854893E-4</v>
      </c>
    </row>
    <row r="1070" spans="9:15" x14ac:dyDescent="0.35">
      <c r="I1070" s="408" t="s">
        <v>1129</v>
      </c>
      <c r="J1070" s="409">
        <v>53420</v>
      </c>
      <c r="K1070" s="407">
        <v>970.07</v>
      </c>
      <c r="L1070" s="41">
        <f t="shared" si="68"/>
        <v>-3.332085361287907E-3</v>
      </c>
      <c r="M1070" s="41">
        <f t="shared" si="69"/>
        <v>-2.8863896419854893E-4</v>
      </c>
      <c r="N1070" s="180">
        <f t="shared" si="70"/>
        <v>-6.6015806601580664E-3</v>
      </c>
      <c r="O1070" s="180">
        <f t="shared" si="71"/>
        <v>-1.8852848661387044E-2</v>
      </c>
    </row>
    <row r="1071" spans="9:15" x14ac:dyDescent="0.35">
      <c r="I1071" s="408" t="s">
        <v>1130</v>
      </c>
      <c r="J1071" s="409">
        <v>53775</v>
      </c>
      <c r="K1071" s="407">
        <v>988.71</v>
      </c>
      <c r="L1071" s="41">
        <f t="shared" si="68"/>
        <v>-6.6015806601580664E-3</v>
      </c>
      <c r="M1071" s="41">
        <f t="shared" si="69"/>
        <v>-1.8852848661387044E-2</v>
      </c>
      <c r="N1071" s="180">
        <f t="shared" si="70"/>
        <v>1.0010893655384847E-2</v>
      </c>
      <c r="O1071" s="180">
        <f t="shared" si="71"/>
        <v>7.058607834749194E-3</v>
      </c>
    </row>
    <row r="1072" spans="9:15" x14ac:dyDescent="0.35">
      <c r="I1072" s="408" t="s">
        <v>1131</v>
      </c>
      <c r="J1072" s="409">
        <v>53242</v>
      </c>
      <c r="K1072" s="407">
        <v>981.78</v>
      </c>
      <c r="L1072" s="41">
        <f t="shared" si="68"/>
        <v>1.0010893655384847E-2</v>
      </c>
      <c r="M1072" s="41">
        <f t="shared" si="69"/>
        <v>7.058607834749194E-3</v>
      </c>
      <c r="N1072" s="180">
        <f t="shared" si="70"/>
        <v>-2.4389350044893995E-2</v>
      </c>
      <c r="O1072" s="180">
        <f t="shared" si="71"/>
        <v>-2.0472912301706059E-2</v>
      </c>
    </row>
    <row r="1073" spans="9:15" x14ac:dyDescent="0.35">
      <c r="I1073" s="408" t="s">
        <v>1132</v>
      </c>
      <c r="J1073" s="409">
        <v>54573</v>
      </c>
      <c r="K1073" s="409">
        <v>1002.3</v>
      </c>
      <c r="L1073" s="41">
        <f t="shared" si="68"/>
        <v>-2.4389350044893995E-2</v>
      </c>
      <c r="M1073" s="41">
        <f t="shared" si="69"/>
        <v>-2.0472912301706059E-2</v>
      </c>
      <c r="N1073" s="180">
        <f t="shared" si="70"/>
        <v>-8.0702328371230706E-3</v>
      </c>
      <c r="O1073" s="180">
        <f t="shared" si="71"/>
        <v>-4.2619139868268876E-3</v>
      </c>
    </row>
    <row r="1074" spans="9:15" x14ac:dyDescent="0.35">
      <c r="I1074" s="408" t="s">
        <v>1133</v>
      </c>
      <c r="J1074" s="409">
        <v>55017</v>
      </c>
      <c r="K1074" s="409">
        <v>1006.59</v>
      </c>
      <c r="L1074" s="41">
        <f t="shared" si="68"/>
        <v>-8.0702328371230706E-3</v>
      </c>
      <c r="M1074" s="41">
        <f t="shared" si="69"/>
        <v>-4.2619139868268876E-3</v>
      </c>
      <c r="N1074" s="180">
        <f t="shared" si="70"/>
        <v>-6.4111825471357365E-3</v>
      </c>
      <c r="O1074" s="180">
        <f t="shared" si="71"/>
        <v>-5.2082303876030099E-3</v>
      </c>
    </row>
    <row r="1075" spans="9:15" x14ac:dyDescent="0.35">
      <c r="I1075" s="408" t="s">
        <v>1134</v>
      </c>
      <c r="J1075" s="409">
        <v>55372</v>
      </c>
      <c r="K1075" s="409">
        <v>1011.86</v>
      </c>
      <c r="L1075" s="41">
        <f t="shared" si="68"/>
        <v>-6.4111825471357365E-3</v>
      </c>
      <c r="M1075" s="41">
        <f t="shared" si="69"/>
        <v>-5.2082303876030099E-3</v>
      </c>
      <c r="N1075" s="180">
        <f t="shared" si="70"/>
        <v>-1.6047312525919114E-3</v>
      </c>
      <c r="O1075" s="180">
        <f t="shared" si="71"/>
        <v>7.7082420427837398E-3</v>
      </c>
    </row>
    <row r="1076" spans="9:15" x14ac:dyDescent="0.35">
      <c r="I1076" s="408" t="s">
        <v>1135</v>
      </c>
      <c r="J1076" s="409">
        <v>55461</v>
      </c>
      <c r="K1076" s="409">
        <v>1004.12</v>
      </c>
      <c r="L1076" s="41">
        <f t="shared" si="68"/>
        <v>-1.6047312525919114E-3</v>
      </c>
      <c r="M1076" s="41">
        <f t="shared" si="69"/>
        <v>7.7082420427837398E-3</v>
      </c>
      <c r="N1076" s="180">
        <f t="shared" si="70"/>
        <v>0</v>
      </c>
      <c r="O1076" s="180">
        <f t="shared" si="71"/>
        <v>-4.2838443536551999E-3</v>
      </c>
    </row>
    <row r="1077" spans="9:15" x14ac:dyDescent="0.35">
      <c r="I1077" s="408" t="s">
        <v>1136</v>
      </c>
      <c r="J1077" s="409">
        <v>55461</v>
      </c>
      <c r="K1077" s="409">
        <v>1008.44</v>
      </c>
      <c r="L1077" s="41">
        <f t="shared" si="68"/>
        <v>0</v>
      </c>
      <c r="M1077" s="41">
        <f t="shared" si="69"/>
        <v>-4.2838443536551999E-3</v>
      </c>
      <c r="N1077" s="180">
        <f t="shared" si="70"/>
        <v>-6.3601834599398025E-3</v>
      </c>
      <c r="O1077" s="180">
        <f t="shared" si="71"/>
        <v>3.0136959051532079E-3</v>
      </c>
    </row>
    <row r="1078" spans="9:15" x14ac:dyDescent="0.35">
      <c r="I1078" s="408" t="s">
        <v>1137</v>
      </c>
      <c r="J1078" s="409">
        <v>55816</v>
      </c>
      <c r="K1078" s="409">
        <v>1005.41</v>
      </c>
      <c r="L1078" s="41">
        <f t="shared" si="68"/>
        <v>-6.3601834599398025E-3</v>
      </c>
      <c r="M1078" s="41">
        <f t="shared" si="69"/>
        <v>3.0136959051532079E-3</v>
      </c>
      <c r="N1078" s="180">
        <f t="shared" si="70"/>
        <v>1.7797228300510576E-2</v>
      </c>
      <c r="O1078" s="180">
        <f t="shared" si="71"/>
        <v>4.0846083170214499E-3</v>
      </c>
    </row>
    <row r="1079" spans="9:15" x14ac:dyDescent="0.35">
      <c r="I1079" s="408">
        <v>43802</v>
      </c>
      <c r="J1079" s="409">
        <v>54840</v>
      </c>
      <c r="K1079" s="409">
        <v>1001.32</v>
      </c>
      <c r="L1079" s="41">
        <f t="shared" si="68"/>
        <v>1.7797228300510576E-2</v>
      </c>
      <c r="M1079" s="41">
        <f t="shared" si="69"/>
        <v>4.0846083170214499E-3</v>
      </c>
      <c r="N1079" s="180">
        <f t="shared" si="70"/>
        <v>-1.9032627361190612E-2</v>
      </c>
      <c r="O1079" s="180">
        <f t="shared" si="71"/>
        <v>1.6981515336177155E-2</v>
      </c>
    </row>
    <row r="1080" spans="9:15" x14ac:dyDescent="0.35">
      <c r="I1080" s="408">
        <v>43772</v>
      </c>
      <c r="J1080" s="409">
        <v>55904</v>
      </c>
      <c r="K1080" s="407">
        <v>984.6</v>
      </c>
      <c r="L1080" s="41">
        <f t="shared" si="68"/>
        <v>-1.9032627361190612E-2</v>
      </c>
      <c r="M1080" s="41">
        <f t="shared" si="69"/>
        <v>1.6981515336177155E-2</v>
      </c>
      <c r="N1080" s="180">
        <f t="shared" si="70"/>
        <v>0</v>
      </c>
      <c r="O1080" s="180">
        <f t="shared" si="71"/>
        <v>-6.5973103273278587E-4</v>
      </c>
    </row>
    <row r="1081" spans="9:15" x14ac:dyDescent="0.35">
      <c r="I1081" s="408">
        <v>43680</v>
      </c>
      <c r="J1081" s="409">
        <v>55904</v>
      </c>
      <c r="K1081" s="407">
        <v>985.25</v>
      </c>
      <c r="L1081" s="41">
        <f t="shared" si="68"/>
        <v>0</v>
      </c>
      <c r="M1081" s="41">
        <f t="shared" si="69"/>
        <v>-6.5973103273278587E-4</v>
      </c>
      <c r="N1081" s="180">
        <f t="shared" si="70"/>
        <v>-6.3101014948719319E-3</v>
      </c>
      <c r="O1081" s="180">
        <f t="shared" si="71"/>
        <v>-8.832731406496758E-3</v>
      </c>
    </row>
    <row r="1082" spans="9:15" x14ac:dyDescent="0.35">
      <c r="I1082" s="408">
        <v>43649</v>
      </c>
      <c r="J1082" s="409">
        <v>56259</v>
      </c>
      <c r="K1082" s="407">
        <v>994.03</v>
      </c>
      <c r="L1082" s="41">
        <f t="shared" si="68"/>
        <v>-6.3101014948719319E-3</v>
      </c>
      <c r="M1082" s="41">
        <f t="shared" si="69"/>
        <v>-8.832731406496758E-3</v>
      </c>
      <c r="N1082" s="180">
        <f t="shared" si="70"/>
        <v>6.3501717229536344E-3</v>
      </c>
      <c r="O1082" s="180">
        <f t="shared" si="71"/>
        <v>-4.6254864302309361E-4</v>
      </c>
    </row>
    <row r="1083" spans="9:15" x14ac:dyDescent="0.35">
      <c r="I1083" s="408">
        <v>43619</v>
      </c>
      <c r="J1083" s="409">
        <v>55904</v>
      </c>
      <c r="K1083" s="407">
        <v>994.49</v>
      </c>
      <c r="L1083" s="41">
        <f t="shared" si="68"/>
        <v>6.3501717229536344E-3</v>
      </c>
      <c r="M1083" s="41">
        <f t="shared" si="69"/>
        <v>-4.6254864302309361E-4</v>
      </c>
      <c r="N1083" s="180">
        <f t="shared" si="70"/>
        <v>-4.7533424720941414E-3</v>
      </c>
      <c r="O1083" s="180">
        <f t="shared" si="71"/>
        <v>2.0555191697314359E-3</v>
      </c>
    </row>
    <row r="1084" spans="9:15" x14ac:dyDescent="0.35">
      <c r="I1084" s="408">
        <v>43588</v>
      </c>
      <c r="J1084" s="409">
        <v>56171</v>
      </c>
      <c r="K1084" s="407">
        <v>992.45</v>
      </c>
      <c r="L1084" s="41">
        <f t="shared" si="68"/>
        <v>-4.7533424720941414E-3</v>
      </c>
      <c r="M1084" s="41">
        <f t="shared" si="69"/>
        <v>2.0555191697314359E-3</v>
      </c>
      <c r="N1084" s="180">
        <f t="shared" si="70"/>
        <v>-1.5641941733767041E-3</v>
      </c>
      <c r="O1084" s="180">
        <f t="shared" si="71"/>
        <v>-1.5493113612812641E-3</v>
      </c>
    </row>
    <row r="1085" spans="9:15" x14ac:dyDescent="0.35">
      <c r="I1085" s="408">
        <v>43558</v>
      </c>
      <c r="J1085" s="409">
        <v>56259</v>
      </c>
      <c r="K1085" s="407">
        <v>993.99</v>
      </c>
      <c r="L1085" s="41">
        <f t="shared" si="68"/>
        <v>-1.5641941733767041E-3</v>
      </c>
      <c r="M1085" s="41">
        <f t="shared" si="69"/>
        <v>-1.5493113612812641E-3</v>
      </c>
      <c r="N1085" s="180">
        <f t="shared" si="70"/>
        <v>4.7505938242280287E-3</v>
      </c>
      <c r="O1085" s="180">
        <f t="shared" si="71"/>
        <v>1.4658595592213402E-2</v>
      </c>
    </row>
    <row r="1086" spans="9:15" x14ac:dyDescent="0.35">
      <c r="I1086" s="408">
        <v>43468</v>
      </c>
      <c r="J1086" s="409">
        <v>55993</v>
      </c>
      <c r="K1086" s="407">
        <v>979.63</v>
      </c>
      <c r="L1086" s="41">
        <f t="shared" si="68"/>
        <v>4.7505938242280287E-3</v>
      </c>
      <c r="M1086" s="41">
        <f t="shared" si="69"/>
        <v>1.4658595592213402E-2</v>
      </c>
      <c r="N1086" s="180">
        <f t="shared" si="70"/>
        <v>-6.3001348761269251E-3</v>
      </c>
      <c r="O1086" s="180">
        <f t="shared" si="71"/>
        <v>1.4666431893274745E-2</v>
      </c>
    </row>
    <row r="1087" spans="9:15" x14ac:dyDescent="0.35">
      <c r="I1087" s="408" t="s">
        <v>1138</v>
      </c>
      <c r="J1087" s="409">
        <v>56348</v>
      </c>
      <c r="K1087" s="407">
        <v>965.47</v>
      </c>
      <c r="L1087" s="41">
        <f t="shared" si="68"/>
        <v>-6.3001348761269251E-3</v>
      </c>
      <c r="M1087" s="41">
        <f t="shared" si="69"/>
        <v>1.4666431893274745E-2</v>
      </c>
      <c r="N1087" s="180">
        <f t="shared" si="70"/>
        <v>1.2761062583126641E-2</v>
      </c>
      <c r="O1087" s="180">
        <f t="shared" si="71"/>
        <v>-2.5043674957334824E-2</v>
      </c>
    </row>
    <row r="1088" spans="9:15" x14ac:dyDescent="0.35">
      <c r="I1088" s="408" t="s">
        <v>1139</v>
      </c>
      <c r="J1088" s="409">
        <v>55638</v>
      </c>
      <c r="K1088" s="407">
        <v>990.27</v>
      </c>
      <c r="L1088" s="41">
        <f t="shared" si="68"/>
        <v>1.2761062583126641E-2</v>
      </c>
      <c r="M1088" s="41">
        <f t="shared" si="69"/>
        <v>-2.5043674957334824E-2</v>
      </c>
      <c r="N1088" s="180">
        <f t="shared" si="70"/>
        <v>-3.1890497348430556E-3</v>
      </c>
      <c r="O1088" s="180">
        <f t="shared" si="71"/>
        <v>3.2520819403076169E-3</v>
      </c>
    </row>
    <row r="1089" spans="9:15" x14ac:dyDescent="0.35">
      <c r="I1089" s="408" t="s">
        <v>1140</v>
      </c>
      <c r="J1089" s="409">
        <v>55816</v>
      </c>
      <c r="K1089" s="407">
        <v>987.06</v>
      </c>
      <c r="L1089" s="41">
        <f t="shared" si="68"/>
        <v>-3.1890497348430556E-3</v>
      </c>
      <c r="M1089" s="41">
        <f t="shared" si="69"/>
        <v>3.2520819403076169E-3</v>
      </c>
      <c r="N1089" s="180">
        <f t="shared" si="70"/>
        <v>-4.7430548125958422E-3</v>
      </c>
      <c r="O1089" s="180">
        <f t="shared" si="71"/>
        <v>-7.4112808342467595E-3</v>
      </c>
    </row>
    <row r="1090" spans="9:15" x14ac:dyDescent="0.35">
      <c r="I1090" s="408" t="s">
        <v>1141</v>
      </c>
      <c r="J1090" s="409">
        <v>56082</v>
      </c>
      <c r="K1090" s="407">
        <v>994.43</v>
      </c>
      <c r="L1090" s="41">
        <f t="shared" si="68"/>
        <v>-4.7430548125958422E-3</v>
      </c>
      <c r="M1090" s="41">
        <f t="shared" si="69"/>
        <v>-7.4112808342467595E-3</v>
      </c>
      <c r="N1090" s="180">
        <f t="shared" si="70"/>
        <v>-1.4046869780770381E-2</v>
      </c>
      <c r="O1090" s="180">
        <f t="shared" si="71"/>
        <v>5.5819033076821775E-3</v>
      </c>
    </row>
    <row r="1091" spans="9:15" x14ac:dyDescent="0.35">
      <c r="I1091" s="408" t="s">
        <v>1142</v>
      </c>
      <c r="J1091" s="409">
        <v>56881</v>
      </c>
      <c r="K1091" s="407">
        <v>988.91</v>
      </c>
      <c r="L1091" s="41">
        <f t="shared" si="68"/>
        <v>-1.4046869780770381E-2</v>
      </c>
      <c r="M1091" s="41">
        <f t="shared" si="69"/>
        <v>5.5819033076821775E-3</v>
      </c>
      <c r="N1091" s="180">
        <f t="shared" si="70"/>
        <v>0</v>
      </c>
      <c r="O1091" s="180">
        <f t="shared" si="71"/>
        <v>1.3568658424212138E-3</v>
      </c>
    </row>
    <row r="1092" spans="9:15" x14ac:dyDescent="0.35">
      <c r="I1092" s="408" t="s">
        <v>1143</v>
      </c>
      <c r="J1092" s="409">
        <v>56881</v>
      </c>
      <c r="K1092" s="407">
        <v>987.57</v>
      </c>
      <c r="L1092" s="41">
        <f t="shared" ref="L1092:L1155" si="72">(J1091-J1092)/J1092</f>
        <v>0</v>
      </c>
      <c r="M1092" s="41">
        <f t="shared" ref="M1092:M1155" si="73">(K1091-K1092)/K1092</f>
        <v>1.3568658424212138E-3</v>
      </c>
      <c r="N1092" s="180">
        <f t="shared" si="70"/>
        <v>-4.7538513060951103E-2</v>
      </c>
      <c r="O1092" s="180">
        <f t="shared" si="71"/>
        <v>1.7504997012095867E-2</v>
      </c>
    </row>
    <row r="1093" spans="9:15" x14ac:dyDescent="0.35">
      <c r="I1093" s="408" t="s">
        <v>1144</v>
      </c>
      <c r="J1093" s="409">
        <v>59720</v>
      </c>
      <c r="K1093" s="407">
        <v>970.58</v>
      </c>
      <c r="L1093" s="41">
        <f t="shared" si="72"/>
        <v>-4.7538513060951103E-2</v>
      </c>
      <c r="M1093" s="41">
        <f t="shared" si="73"/>
        <v>1.7504997012095867E-2</v>
      </c>
      <c r="N1093" s="180">
        <f t="shared" si="70"/>
        <v>6.4869298527156657E-2</v>
      </c>
      <c r="O1093" s="180">
        <f t="shared" si="71"/>
        <v>6.4603100534038659E-3</v>
      </c>
    </row>
    <row r="1094" spans="9:15" x14ac:dyDescent="0.35">
      <c r="I1094" s="408" t="s">
        <v>1145</v>
      </c>
      <c r="J1094" s="409">
        <v>56082</v>
      </c>
      <c r="K1094" s="407">
        <v>964.35</v>
      </c>
      <c r="L1094" s="41">
        <f t="shared" si="72"/>
        <v>6.4869298527156657E-2</v>
      </c>
      <c r="M1094" s="41">
        <f t="shared" si="73"/>
        <v>6.4603100534038659E-3</v>
      </c>
      <c r="N1094" s="180">
        <f t="shared" si="70"/>
        <v>1.9357653089045204E-2</v>
      </c>
      <c r="O1094" s="180">
        <f t="shared" si="71"/>
        <v>3.1727868511391534E-3</v>
      </c>
    </row>
    <row r="1095" spans="9:15" x14ac:dyDescent="0.35">
      <c r="I1095" s="408" t="s">
        <v>1146</v>
      </c>
      <c r="J1095" s="409">
        <v>55017</v>
      </c>
      <c r="K1095" s="407">
        <v>961.3</v>
      </c>
      <c r="L1095" s="41">
        <f t="shared" si="72"/>
        <v>1.9357653089045204E-2</v>
      </c>
      <c r="M1095" s="41">
        <f t="shared" si="73"/>
        <v>3.1727868511391534E-3</v>
      </c>
      <c r="N1095" s="180">
        <f t="shared" si="70"/>
        <v>-4.8116057377493989E-3</v>
      </c>
      <c r="O1095" s="180">
        <f t="shared" si="71"/>
        <v>1.0947638528115733E-2</v>
      </c>
    </row>
    <row r="1096" spans="9:15" x14ac:dyDescent="0.35">
      <c r="I1096" s="408" t="s">
        <v>1147</v>
      </c>
      <c r="J1096" s="409">
        <v>55283</v>
      </c>
      <c r="K1096" s="407">
        <v>950.89</v>
      </c>
      <c r="L1096" s="41">
        <f t="shared" si="72"/>
        <v>-4.8116057377493989E-3</v>
      </c>
      <c r="M1096" s="41">
        <f t="shared" si="73"/>
        <v>1.0947638528115733E-2</v>
      </c>
      <c r="N1096" s="180">
        <f t="shared" si="70"/>
        <v>4.8348692222403983E-3</v>
      </c>
      <c r="O1096" s="180">
        <f t="shared" si="71"/>
        <v>-1.5225654703152713E-3</v>
      </c>
    </row>
    <row r="1097" spans="9:15" x14ac:dyDescent="0.35">
      <c r="I1097" s="408" t="s">
        <v>1148</v>
      </c>
      <c r="J1097" s="409">
        <v>55017</v>
      </c>
      <c r="K1097" s="407">
        <v>952.34</v>
      </c>
      <c r="L1097" s="41">
        <f t="shared" si="72"/>
        <v>4.8348692222403983E-3</v>
      </c>
      <c r="M1097" s="41">
        <f t="shared" si="73"/>
        <v>-1.5225654703152713E-3</v>
      </c>
      <c r="N1097" s="180">
        <f t="shared" si="70"/>
        <v>-8.0056255747281875E-3</v>
      </c>
      <c r="O1097" s="180">
        <f t="shared" si="71"/>
        <v>7.5006612007405783E-3</v>
      </c>
    </row>
    <row r="1098" spans="9:15" x14ac:dyDescent="0.35">
      <c r="I1098" s="408" t="s">
        <v>1149</v>
      </c>
      <c r="J1098" s="409">
        <v>55461</v>
      </c>
      <c r="K1098" s="407">
        <v>945.25</v>
      </c>
      <c r="L1098" s="41">
        <f t="shared" si="72"/>
        <v>-8.0056255747281875E-3</v>
      </c>
      <c r="M1098" s="41">
        <f t="shared" si="73"/>
        <v>7.5006612007405783E-3</v>
      </c>
      <c r="N1098" s="180">
        <f t="shared" si="70"/>
        <v>2.4588952521707001E-2</v>
      </c>
      <c r="O1098" s="180">
        <f t="shared" si="71"/>
        <v>8.2236491243040683E-3</v>
      </c>
    </row>
    <row r="1099" spans="9:15" x14ac:dyDescent="0.35">
      <c r="I1099" s="408">
        <v>43801</v>
      </c>
      <c r="J1099" s="409">
        <v>54130</v>
      </c>
      <c r="K1099" s="407">
        <v>937.54</v>
      </c>
      <c r="L1099" s="41">
        <f t="shared" si="72"/>
        <v>2.4588952521707001E-2</v>
      </c>
      <c r="M1099" s="41">
        <f t="shared" si="73"/>
        <v>8.2236491243040683E-3</v>
      </c>
      <c r="N1099" s="180">
        <f t="shared" si="70"/>
        <v>-2.2430109080401647E-2</v>
      </c>
      <c r="O1099" s="180">
        <f t="shared" si="71"/>
        <v>1.2352877659000044E-2</v>
      </c>
    </row>
    <row r="1100" spans="9:15" x14ac:dyDescent="0.35">
      <c r="I1100" s="408">
        <v>43771</v>
      </c>
      <c r="J1100" s="409">
        <v>55372</v>
      </c>
      <c r="K1100" s="407">
        <v>926.1</v>
      </c>
      <c r="L1100" s="41">
        <f t="shared" si="72"/>
        <v>-2.2430109080401647E-2</v>
      </c>
      <c r="M1100" s="41">
        <f t="shared" si="73"/>
        <v>1.2352877659000044E-2</v>
      </c>
      <c r="N1100" s="180">
        <f t="shared" si="70"/>
        <v>1.1342258588884222E-2</v>
      </c>
      <c r="O1100" s="180">
        <f t="shared" si="71"/>
        <v>1.9181881211000763E-2</v>
      </c>
    </row>
    <row r="1101" spans="9:15" x14ac:dyDescent="0.35">
      <c r="I1101" s="408">
        <v>43467</v>
      </c>
      <c r="J1101" s="409">
        <v>54751</v>
      </c>
      <c r="K1101" s="407">
        <v>908.67</v>
      </c>
      <c r="L1101" s="41">
        <f t="shared" si="72"/>
        <v>1.1342258588884222E-2</v>
      </c>
      <c r="M1101" s="41">
        <f t="shared" si="73"/>
        <v>1.9181881211000763E-2</v>
      </c>
      <c r="N1101" s="180">
        <f t="shared" si="70"/>
        <v>9.8306835368327863E-3</v>
      </c>
      <c r="O1101" s="180">
        <f t="shared" si="71"/>
        <v>-2.1742711250206095E-3</v>
      </c>
    </row>
    <row r="1102" spans="9:15" x14ac:dyDescent="0.35">
      <c r="I1102" s="408" t="s">
        <v>1150</v>
      </c>
      <c r="J1102" s="409">
        <v>54218</v>
      </c>
      <c r="K1102" s="407">
        <v>910.65</v>
      </c>
      <c r="L1102" s="41">
        <f t="shared" si="72"/>
        <v>9.8306835368327863E-3</v>
      </c>
      <c r="M1102" s="41">
        <f t="shared" si="73"/>
        <v>-2.1742711250206095E-3</v>
      </c>
      <c r="N1102" s="180">
        <f t="shared" si="70"/>
        <v>1.6257158692037687E-3</v>
      </c>
      <c r="O1102" s="180">
        <f t="shared" si="71"/>
        <v>-5.6669287211740639E-3</v>
      </c>
    </row>
    <row r="1103" spans="9:15" x14ac:dyDescent="0.35">
      <c r="I1103" s="408" t="s">
        <v>1151</v>
      </c>
      <c r="J1103" s="409">
        <v>54130</v>
      </c>
      <c r="K1103" s="407">
        <v>915.84</v>
      </c>
      <c r="L1103" s="41">
        <f t="shared" si="72"/>
        <v>1.6257158692037687E-3</v>
      </c>
      <c r="M1103" s="41">
        <f t="shared" si="73"/>
        <v>-5.6669287211740639E-3</v>
      </c>
      <c r="N1103" s="180">
        <f t="shared" si="70"/>
        <v>1.4981905458363804E-2</v>
      </c>
      <c r="O1103" s="180">
        <f t="shared" si="71"/>
        <v>-9.8260784120967929E-5</v>
      </c>
    </row>
    <row r="1104" spans="9:15" x14ac:dyDescent="0.35">
      <c r="I1104" s="408" t="s">
        <v>1152</v>
      </c>
      <c r="J1104" s="409">
        <v>53331</v>
      </c>
      <c r="K1104" s="407">
        <v>915.93</v>
      </c>
      <c r="L1104" s="41">
        <f t="shared" si="72"/>
        <v>1.4981905458363804E-2</v>
      </c>
      <c r="M1104" s="41">
        <f t="shared" si="73"/>
        <v>-9.8260784120967929E-5</v>
      </c>
      <c r="N1104" s="180">
        <f t="shared" si="70"/>
        <v>-1.7971900491649328E-2</v>
      </c>
      <c r="O1104" s="180">
        <f t="shared" si="71"/>
        <v>4.111030717621522E-3</v>
      </c>
    </row>
    <row r="1105" spans="9:15" x14ac:dyDescent="0.35">
      <c r="I1105" s="408" t="s">
        <v>1153</v>
      </c>
      <c r="J1105" s="409">
        <v>54307</v>
      </c>
      <c r="K1105" s="407">
        <v>912.18</v>
      </c>
      <c r="L1105" s="41">
        <f t="shared" si="72"/>
        <v>-1.7971900491649328E-2</v>
      </c>
      <c r="M1105" s="41">
        <f t="shared" si="73"/>
        <v>4.111030717621522E-3</v>
      </c>
      <c r="N1105" s="180">
        <f t="shared" si="70"/>
        <v>3.2699057823757619E-3</v>
      </c>
      <c r="O1105" s="180">
        <f t="shared" si="71"/>
        <v>3.6308423554264088E-3</v>
      </c>
    </row>
    <row r="1106" spans="9:15" x14ac:dyDescent="0.35">
      <c r="I1106" s="408" t="s">
        <v>1154</v>
      </c>
      <c r="J1106" s="409">
        <v>54130</v>
      </c>
      <c r="K1106" s="407">
        <v>908.88</v>
      </c>
      <c r="L1106" s="41">
        <f t="shared" si="72"/>
        <v>3.2699057823757619E-3</v>
      </c>
      <c r="M1106" s="41">
        <f t="shared" si="73"/>
        <v>3.6308423554264088E-3</v>
      </c>
      <c r="N1106" s="180">
        <f t="shared" si="70"/>
        <v>-8.1175672951825997E-3</v>
      </c>
      <c r="O1106" s="180">
        <f t="shared" si="71"/>
        <v>9.9032779850165425E-5</v>
      </c>
    </row>
    <row r="1107" spans="9:15" x14ac:dyDescent="0.35">
      <c r="I1107" s="408" t="s">
        <v>1155</v>
      </c>
      <c r="J1107" s="409">
        <v>54573</v>
      </c>
      <c r="K1107" s="407">
        <v>908.79</v>
      </c>
      <c r="L1107" s="41">
        <f t="shared" si="72"/>
        <v>-8.1175672951825997E-3</v>
      </c>
      <c r="M1107" s="41">
        <f t="shared" si="73"/>
        <v>9.9032779850165425E-5</v>
      </c>
      <c r="N1107" s="180">
        <f t="shared" si="70"/>
        <v>-3.3027978099473748E-2</v>
      </c>
      <c r="O1107" s="180">
        <f t="shared" si="71"/>
        <v>6.7167301636241014E-4</v>
      </c>
    </row>
    <row r="1108" spans="9:15" x14ac:dyDescent="0.35">
      <c r="I1108" s="408" t="s">
        <v>1156</v>
      </c>
      <c r="J1108" s="409">
        <v>56437</v>
      </c>
      <c r="K1108" s="407">
        <v>908.18</v>
      </c>
      <c r="L1108" s="41">
        <f t="shared" si="72"/>
        <v>-3.3027978099473748E-2</v>
      </c>
      <c r="M1108" s="41">
        <f t="shared" si="73"/>
        <v>6.7167301636241014E-4</v>
      </c>
      <c r="N1108" s="180">
        <f t="shared" si="70"/>
        <v>-1.2424099252804171E-2</v>
      </c>
      <c r="O1108" s="180">
        <f t="shared" si="71"/>
        <v>1.798025481220005E-3</v>
      </c>
    </row>
    <row r="1109" spans="9:15" x14ac:dyDescent="0.35">
      <c r="I1109" s="408" t="s">
        <v>1157</v>
      </c>
      <c r="J1109" s="409">
        <v>57147</v>
      </c>
      <c r="K1109" s="407">
        <v>906.55</v>
      </c>
      <c r="L1109" s="41">
        <f t="shared" si="72"/>
        <v>-1.2424099252804171E-2</v>
      </c>
      <c r="M1109" s="41">
        <f t="shared" si="73"/>
        <v>1.798025481220005E-3</v>
      </c>
      <c r="N1109" s="180">
        <f t="shared" si="70"/>
        <v>-7.6923076923076927E-3</v>
      </c>
      <c r="O1109" s="180">
        <f t="shared" si="71"/>
        <v>-4.9393556884913016E-3</v>
      </c>
    </row>
    <row r="1110" spans="9:15" x14ac:dyDescent="0.35">
      <c r="I1110" s="408" t="s">
        <v>1158</v>
      </c>
      <c r="J1110" s="409">
        <v>57590</v>
      </c>
      <c r="K1110" s="407">
        <v>911.05</v>
      </c>
      <c r="L1110" s="41">
        <f t="shared" si="72"/>
        <v>-7.6923076923076927E-3</v>
      </c>
      <c r="M1110" s="41">
        <f t="shared" si="73"/>
        <v>-4.9393556884913016E-3</v>
      </c>
      <c r="N1110" s="180">
        <f t="shared" si="70"/>
        <v>1.882319640519407E-2</v>
      </c>
      <c r="O1110" s="180">
        <f t="shared" si="71"/>
        <v>9.6974398758727706E-3</v>
      </c>
    </row>
    <row r="1111" spans="9:15" x14ac:dyDescent="0.35">
      <c r="I1111" s="408" t="s">
        <v>1159</v>
      </c>
      <c r="J1111" s="409">
        <v>56526</v>
      </c>
      <c r="K1111" s="407">
        <v>902.3</v>
      </c>
      <c r="L1111" s="41">
        <f t="shared" si="72"/>
        <v>1.882319640519407E-2</v>
      </c>
      <c r="M1111" s="41">
        <f t="shared" si="73"/>
        <v>9.6974398758727706E-3</v>
      </c>
      <c r="N1111" s="180">
        <f t="shared" si="70"/>
        <v>3.0743982494529542E-2</v>
      </c>
      <c r="O1111" s="180">
        <f t="shared" si="71"/>
        <v>4.5460089367879475E-4</v>
      </c>
    </row>
    <row r="1112" spans="9:15" x14ac:dyDescent="0.35">
      <c r="I1112" s="408" t="s">
        <v>1160</v>
      </c>
      <c r="J1112" s="409">
        <v>54840</v>
      </c>
      <c r="K1112" s="407">
        <v>901.89</v>
      </c>
      <c r="L1112" s="41">
        <f t="shared" si="72"/>
        <v>3.0743982494529542E-2</v>
      </c>
      <c r="M1112" s="41">
        <f t="shared" si="73"/>
        <v>4.5460089367879475E-4</v>
      </c>
      <c r="N1112" s="180">
        <f t="shared" si="70"/>
        <v>-1.9032627361190612E-2</v>
      </c>
      <c r="O1112" s="180">
        <f t="shared" si="71"/>
        <v>-7.4942225156818081E-3</v>
      </c>
    </row>
    <row r="1113" spans="9:15" x14ac:dyDescent="0.35">
      <c r="I1113" s="408" t="s">
        <v>1161</v>
      </c>
      <c r="J1113" s="409">
        <v>55904</v>
      </c>
      <c r="K1113" s="407">
        <v>908.7</v>
      </c>
      <c r="L1113" s="41">
        <f t="shared" si="72"/>
        <v>-1.9032627361190612E-2</v>
      </c>
      <c r="M1113" s="41">
        <f t="shared" si="73"/>
        <v>-7.4942225156818081E-3</v>
      </c>
      <c r="N1113" s="180">
        <f t="shared" si="70"/>
        <v>-1.5894843998356938E-3</v>
      </c>
      <c r="O1113" s="180">
        <f t="shared" si="71"/>
        <v>-1.0773019083632756E-3</v>
      </c>
    </row>
    <row r="1114" spans="9:15" x14ac:dyDescent="0.35">
      <c r="I1114" s="408" t="s">
        <v>1162</v>
      </c>
      <c r="J1114" s="409">
        <v>55993</v>
      </c>
      <c r="K1114" s="407">
        <v>909.68</v>
      </c>
      <c r="L1114" s="41">
        <f t="shared" si="72"/>
        <v>-1.5894843998356938E-3</v>
      </c>
      <c r="M1114" s="41">
        <f t="shared" si="73"/>
        <v>-1.0773019083632756E-3</v>
      </c>
      <c r="N1114" s="180">
        <f t="shared" si="70"/>
        <v>-3.3687117093795842E-2</v>
      </c>
      <c r="O1114" s="180">
        <f t="shared" si="71"/>
        <v>8.738079396762027E-3</v>
      </c>
    </row>
    <row r="1115" spans="9:15" x14ac:dyDescent="0.35">
      <c r="I1115" s="408" t="s">
        <v>1163</v>
      </c>
      <c r="J1115" s="409">
        <v>57945</v>
      </c>
      <c r="K1115" s="407">
        <v>901.8</v>
      </c>
      <c r="L1115" s="41">
        <f t="shared" si="72"/>
        <v>-3.3687117093795842E-2</v>
      </c>
      <c r="M1115" s="41">
        <f t="shared" si="73"/>
        <v>8.738079396762027E-3</v>
      </c>
      <c r="N1115" s="180">
        <f t="shared" si="70"/>
        <v>2.5103492198280439E-2</v>
      </c>
      <c r="O1115" s="180">
        <f t="shared" si="71"/>
        <v>-1.0080756832206155E-3</v>
      </c>
    </row>
    <row r="1116" spans="9:15" x14ac:dyDescent="0.35">
      <c r="I1116" s="408">
        <v>43770</v>
      </c>
      <c r="J1116" s="409">
        <v>56526</v>
      </c>
      <c r="K1116" s="407">
        <v>902.71</v>
      </c>
      <c r="L1116" s="41">
        <f t="shared" si="72"/>
        <v>2.5103492198280439E-2</v>
      </c>
      <c r="M1116" s="41">
        <f t="shared" si="73"/>
        <v>-1.0080756832206155E-3</v>
      </c>
      <c r="N1116" s="180">
        <f t="shared" si="70"/>
        <v>-4.2094560244026434E-2</v>
      </c>
      <c r="O1116" s="180">
        <f t="shared" si="71"/>
        <v>4.9092730713570986E-3</v>
      </c>
    </row>
    <row r="1117" spans="9:15" x14ac:dyDescent="0.35">
      <c r="I1117" s="408">
        <v>43739</v>
      </c>
      <c r="J1117" s="409">
        <v>59010</v>
      </c>
      <c r="K1117" s="407">
        <v>898.3</v>
      </c>
      <c r="L1117" s="41">
        <f t="shared" si="72"/>
        <v>-4.2094560244026434E-2</v>
      </c>
      <c r="M1117" s="41">
        <f t="shared" si="73"/>
        <v>4.9092730713570986E-3</v>
      </c>
      <c r="N1117" s="180">
        <f t="shared" si="70"/>
        <v>4.7242138141548949E-2</v>
      </c>
      <c r="O1117" s="180">
        <f t="shared" si="71"/>
        <v>1.460439915718063E-3</v>
      </c>
    </row>
    <row r="1118" spans="9:15" x14ac:dyDescent="0.35">
      <c r="I1118" s="408">
        <v>43709</v>
      </c>
      <c r="J1118" s="409">
        <v>56348</v>
      </c>
      <c r="K1118" s="407">
        <v>896.99</v>
      </c>
      <c r="L1118" s="41">
        <f t="shared" si="72"/>
        <v>4.7242138141548949E-2</v>
      </c>
      <c r="M1118" s="41">
        <f t="shared" si="73"/>
        <v>1.460439915718063E-3</v>
      </c>
      <c r="N1118" s="180">
        <f t="shared" si="70"/>
        <v>-6.2606916741618605E-3</v>
      </c>
      <c r="O1118" s="180">
        <f t="shared" si="71"/>
        <v>1.0761290904173751E-2</v>
      </c>
    </row>
    <row r="1119" spans="9:15" x14ac:dyDescent="0.35">
      <c r="I1119" s="408">
        <v>43678</v>
      </c>
      <c r="J1119" s="409">
        <v>56703</v>
      </c>
      <c r="K1119" s="407">
        <v>887.44</v>
      </c>
      <c r="L1119" s="41">
        <f t="shared" si="72"/>
        <v>-6.2606916741618605E-3</v>
      </c>
      <c r="M1119" s="41">
        <f t="shared" si="73"/>
        <v>1.0761290904173751E-2</v>
      </c>
      <c r="N1119" s="180">
        <f t="shared" si="70"/>
        <v>-1.5671221298774476E-3</v>
      </c>
      <c r="O1119" s="180">
        <f t="shared" si="71"/>
        <v>-2.4729103907197652E-3</v>
      </c>
    </row>
    <row r="1120" spans="9:15" x14ac:dyDescent="0.35">
      <c r="I1120" s="408">
        <v>43647</v>
      </c>
      <c r="J1120" s="409">
        <v>56792</v>
      </c>
      <c r="K1120" s="407">
        <v>889.64</v>
      </c>
      <c r="L1120" s="41">
        <f t="shared" si="72"/>
        <v>-1.5671221298774476E-3</v>
      </c>
      <c r="M1120" s="41">
        <f t="shared" si="73"/>
        <v>-2.4729103907197652E-3</v>
      </c>
      <c r="N1120" s="180">
        <f t="shared" si="70"/>
        <v>-2.8831355381510996E-2</v>
      </c>
      <c r="O1120" s="180">
        <f t="shared" si="71"/>
        <v>9.9216710182767724E-3</v>
      </c>
    </row>
    <row r="1121" spans="9:15" x14ac:dyDescent="0.35">
      <c r="I1121" s="408">
        <v>43556</v>
      </c>
      <c r="J1121" s="409">
        <v>58478</v>
      </c>
      <c r="K1121" s="407">
        <v>880.9</v>
      </c>
      <c r="L1121" s="41">
        <f t="shared" si="72"/>
        <v>-2.8831355381510996E-2</v>
      </c>
      <c r="M1121" s="41">
        <f t="shared" si="73"/>
        <v>9.9216710182767724E-3</v>
      </c>
      <c r="N1121" s="180">
        <f t="shared" si="70"/>
        <v>2.3290811416172327E-2</v>
      </c>
      <c r="O1121" s="180">
        <f t="shared" si="71"/>
        <v>3.0516271549269544E-3</v>
      </c>
    </row>
    <row r="1122" spans="9:15" x14ac:dyDescent="0.35">
      <c r="I1122" s="408">
        <v>43525</v>
      </c>
      <c r="J1122" s="409">
        <v>57147</v>
      </c>
      <c r="K1122" s="407">
        <v>878.22</v>
      </c>
      <c r="L1122" s="41">
        <f t="shared" si="72"/>
        <v>2.3290811416172327E-2</v>
      </c>
      <c r="M1122" s="41">
        <f t="shared" si="73"/>
        <v>3.0516271549269544E-3</v>
      </c>
      <c r="N1122" s="180">
        <f t="shared" ref="N1122:N1185" si="74">(J1122-J1123)/J1123</f>
        <v>-9.2234608783092632E-3</v>
      </c>
      <c r="O1122" s="180">
        <f t="shared" si="71"/>
        <v>-1.5172413793103417E-2</v>
      </c>
    </row>
    <row r="1123" spans="9:15" x14ac:dyDescent="0.35">
      <c r="I1123" s="408">
        <v>43497</v>
      </c>
      <c r="J1123" s="409">
        <v>57679</v>
      </c>
      <c r="K1123" s="407">
        <v>891.75</v>
      </c>
      <c r="L1123" s="41">
        <f t="shared" si="72"/>
        <v>-9.2234608783092632E-3</v>
      </c>
      <c r="M1123" s="41">
        <f t="shared" si="73"/>
        <v>-1.5172413793103417E-2</v>
      </c>
      <c r="N1123" s="180">
        <f t="shared" si="74"/>
        <v>0</v>
      </c>
      <c r="O1123" s="180">
        <f t="shared" si="71"/>
        <v>-8.851143926322223E-4</v>
      </c>
    </row>
    <row r="1124" spans="9:15" x14ac:dyDescent="0.35">
      <c r="I1124" s="408" t="s">
        <v>1164</v>
      </c>
      <c r="J1124" s="409">
        <v>57679</v>
      </c>
      <c r="K1124" s="407">
        <v>892.54</v>
      </c>
      <c r="L1124" s="41">
        <f t="shared" si="72"/>
        <v>0</v>
      </c>
      <c r="M1124" s="41">
        <f t="shared" si="73"/>
        <v>-8.851143926322223E-4</v>
      </c>
      <c r="N1124" s="180">
        <f t="shared" si="74"/>
        <v>-3.0765508062982872E-3</v>
      </c>
      <c r="O1124" s="180">
        <f t="shared" si="71"/>
        <v>-9.1806263251961919E-3</v>
      </c>
    </row>
    <row r="1125" spans="9:15" x14ac:dyDescent="0.35">
      <c r="I1125" s="408" t="s">
        <v>1165</v>
      </c>
      <c r="J1125" s="409">
        <v>57857</v>
      </c>
      <c r="K1125" s="407">
        <v>900.81</v>
      </c>
      <c r="L1125" s="41">
        <f t="shared" si="72"/>
        <v>-3.0765508062982872E-3</v>
      </c>
      <c r="M1125" s="41">
        <f t="shared" si="73"/>
        <v>-9.1806263251961919E-3</v>
      </c>
      <c r="N1125" s="180">
        <f t="shared" si="74"/>
        <v>0</v>
      </c>
      <c r="O1125" s="180">
        <f t="shared" si="71"/>
        <v>1.0159798149705574E-2</v>
      </c>
    </row>
    <row r="1126" spans="9:15" x14ac:dyDescent="0.35">
      <c r="I1126" s="408" t="s">
        <v>1166</v>
      </c>
      <c r="J1126" s="409">
        <v>57857</v>
      </c>
      <c r="K1126" s="407">
        <v>891.75</v>
      </c>
      <c r="L1126" s="41">
        <f t="shared" si="72"/>
        <v>0</v>
      </c>
      <c r="M1126" s="41">
        <f t="shared" si="73"/>
        <v>1.0159798149705574E-2</v>
      </c>
      <c r="N1126" s="180">
        <f t="shared" si="74"/>
        <v>-1.0619378227709565E-2</v>
      </c>
      <c r="O1126" s="180">
        <f t="shared" ref="O1126:O1189" si="75">(K1126-K1127)/K1127</f>
        <v>-6.8935563623405286E-3</v>
      </c>
    </row>
    <row r="1127" spans="9:15" x14ac:dyDescent="0.35">
      <c r="I1127" s="408" t="s">
        <v>1167</v>
      </c>
      <c r="J1127" s="409">
        <v>58478</v>
      </c>
      <c r="K1127" s="407">
        <v>897.94</v>
      </c>
      <c r="L1127" s="41">
        <f t="shared" si="72"/>
        <v>-1.0619378227709565E-2</v>
      </c>
      <c r="M1127" s="41">
        <f t="shared" si="73"/>
        <v>-6.8935563623405286E-3</v>
      </c>
      <c r="N1127" s="180">
        <f t="shared" si="74"/>
        <v>-1.050779201001709E-2</v>
      </c>
      <c r="O1127" s="180">
        <f t="shared" si="75"/>
        <v>-1.1688826274544215E-2</v>
      </c>
    </row>
    <row r="1128" spans="9:15" x14ac:dyDescent="0.35">
      <c r="I1128" s="408" t="s">
        <v>1168</v>
      </c>
      <c r="J1128" s="409">
        <v>59099</v>
      </c>
      <c r="K1128" s="407">
        <v>908.56</v>
      </c>
      <c r="L1128" s="41">
        <f t="shared" si="72"/>
        <v>-1.050779201001709E-2</v>
      </c>
      <c r="M1128" s="41">
        <f t="shared" si="73"/>
        <v>-1.1688826274544215E-2</v>
      </c>
      <c r="N1128" s="180">
        <f t="shared" si="74"/>
        <v>-2.058301983725825E-2</v>
      </c>
      <c r="O1128" s="180">
        <f t="shared" si="75"/>
        <v>-4.0558612676211232E-3</v>
      </c>
    </row>
    <row r="1129" spans="9:15" x14ac:dyDescent="0.35">
      <c r="I1129" s="408" t="s">
        <v>1169</v>
      </c>
      <c r="J1129" s="409">
        <v>60341</v>
      </c>
      <c r="K1129" s="407">
        <v>912.26</v>
      </c>
      <c r="L1129" s="41">
        <f t="shared" si="72"/>
        <v>-2.058301983725825E-2</v>
      </c>
      <c r="M1129" s="41">
        <f t="shared" si="73"/>
        <v>-4.0558612676211232E-3</v>
      </c>
      <c r="N1129" s="180">
        <f t="shared" si="74"/>
        <v>0</v>
      </c>
      <c r="O1129" s="180">
        <f t="shared" si="75"/>
        <v>-6.5124586164837274E-3</v>
      </c>
    </row>
    <row r="1130" spans="9:15" x14ac:dyDescent="0.35">
      <c r="I1130" s="408" t="s">
        <v>1170</v>
      </c>
      <c r="J1130" s="409">
        <v>60341</v>
      </c>
      <c r="K1130" s="407">
        <v>918.24</v>
      </c>
      <c r="L1130" s="41">
        <f t="shared" si="72"/>
        <v>0</v>
      </c>
      <c r="M1130" s="41">
        <f t="shared" si="73"/>
        <v>-6.5124586164837274E-3</v>
      </c>
      <c r="N1130" s="180">
        <f t="shared" si="74"/>
        <v>-1.4502931617370854E-2</v>
      </c>
      <c r="O1130" s="180">
        <f t="shared" si="75"/>
        <v>-1.0878551847178103E-3</v>
      </c>
    </row>
    <row r="1131" spans="9:15" x14ac:dyDescent="0.35">
      <c r="I1131" s="408" t="s">
        <v>1171</v>
      </c>
      <c r="J1131" s="409">
        <v>61229</v>
      </c>
      <c r="K1131" s="407">
        <v>919.24</v>
      </c>
      <c r="L1131" s="41">
        <f t="shared" si="72"/>
        <v>-1.4502931617370854E-2</v>
      </c>
      <c r="M1131" s="41">
        <f t="shared" si="73"/>
        <v>-1.0878551847178103E-3</v>
      </c>
      <c r="N1131" s="180">
        <f t="shared" si="74"/>
        <v>2.9155951581464677E-3</v>
      </c>
      <c r="O1131" s="180">
        <f t="shared" si="75"/>
        <v>-8.6384470207603037E-3</v>
      </c>
    </row>
    <row r="1132" spans="9:15" x14ac:dyDescent="0.35">
      <c r="I1132" s="408" t="s">
        <v>1172</v>
      </c>
      <c r="J1132" s="409">
        <v>61051</v>
      </c>
      <c r="K1132" s="407">
        <v>927.25</v>
      </c>
      <c r="L1132" s="41">
        <f t="shared" si="72"/>
        <v>2.9155951581464677E-3</v>
      </c>
      <c r="M1132" s="41">
        <f t="shared" si="73"/>
        <v>-8.6384470207603037E-3</v>
      </c>
      <c r="N1132" s="180">
        <f t="shared" si="74"/>
        <v>5.8461485115900068E-2</v>
      </c>
      <c r="O1132" s="180">
        <f t="shared" si="75"/>
        <v>-6.8548171156214612E-3</v>
      </c>
    </row>
    <row r="1133" spans="9:15" x14ac:dyDescent="0.35">
      <c r="I1133" s="408" t="s">
        <v>1173</v>
      </c>
      <c r="J1133" s="409">
        <v>57679</v>
      </c>
      <c r="K1133" s="407">
        <v>933.65</v>
      </c>
      <c r="L1133" s="41">
        <f t="shared" si="72"/>
        <v>5.8461485115900068E-2</v>
      </c>
      <c r="M1133" s="41">
        <f t="shared" si="73"/>
        <v>-6.8548171156214612E-3</v>
      </c>
      <c r="N1133" s="180">
        <f t="shared" si="74"/>
        <v>-6.2053825514269453E-2</v>
      </c>
      <c r="O1133" s="180">
        <f t="shared" si="75"/>
        <v>-1.9316415276669035E-2</v>
      </c>
    </row>
    <row r="1134" spans="9:15" x14ac:dyDescent="0.35">
      <c r="I1134" s="408" t="s">
        <v>1174</v>
      </c>
      <c r="J1134" s="409">
        <v>61495</v>
      </c>
      <c r="K1134" s="407">
        <v>952.04</v>
      </c>
      <c r="L1134" s="41">
        <f t="shared" si="72"/>
        <v>-6.2053825514269453E-2</v>
      </c>
      <c r="M1134" s="41">
        <f t="shared" si="73"/>
        <v>-1.9316415276669035E-2</v>
      </c>
      <c r="N1134" s="180">
        <f t="shared" si="74"/>
        <v>3.743504959848843E-2</v>
      </c>
      <c r="O1134" s="180">
        <f t="shared" si="75"/>
        <v>-8.5498568081229225E-3</v>
      </c>
    </row>
    <row r="1135" spans="9:15" x14ac:dyDescent="0.35">
      <c r="I1135" s="408" t="s">
        <v>1175</v>
      </c>
      <c r="J1135" s="409">
        <v>59276</v>
      </c>
      <c r="K1135" s="407">
        <v>960.25</v>
      </c>
      <c r="L1135" s="41">
        <f t="shared" si="72"/>
        <v>3.743504959848843E-2</v>
      </c>
      <c r="M1135" s="41">
        <f t="shared" si="73"/>
        <v>-8.5498568081229225E-3</v>
      </c>
      <c r="N1135" s="180">
        <f t="shared" si="74"/>
        <v>-1.9096475260632136E-2</v>
      </c>
      <c r="O1135" s="180">
        <f t="shared" si="75"/>
        <v>-1.0714880159786667E-3</v>
      </c>
    </row>
    <row r="1136" spans="9:15" x14ac:dyDescent="0.35">
      <c r="I1136" s="408">
        <v>43446</v>
      </c>
      <c r="J1136" s="409">
        <v>60430</v>
      </c>
      <c r="K1136" s="407">
        <v>961.28</v>
      </c>
      <c r="L1136" s="41">
        <f t="shared" si="72"/>
        <v>-1.9096475260632136E-2</v>
      </c>
      <c r="M1136" s="41">
        <f t="shared" si="73"/>
        <v>-1.0714880159786667E-3</v>
      </c>
      <c r="N1136" s="180">
        <f t="shared" si="74"/>
        <v>0</v>
      </c>
      <c r="O1136" s="180">
        <f t="shared" si="75"/>
        <v>7.0187936055646789E-3</v>
      </c>
    </row>
    <row r="1137" spans="9:15" x14ac:dyDescent="0.35">
      <c r="I1137" s="408">
        <v>43416</v>
      </c>
      <c r="J1137" s="409">
        <v>60430</v>
      </c>
      <c r="K1137" s="407">
        <v>954.58</v>
      </c>
      <c r="L1137" s="41">
        <f t="shared" si="72"/>
        <v>0</v>
      </c>
      <c r="M1137" s="41">
        <f t="shared" si="73"/>
        <v>7.0187936055646789E-3</v>
      </c>
      <c r="N1137" s="180">
        <f t="shared" si="74"/>
        <v>0</v>
      </c>
      <c r="O1137" s="180">
        <f t="shared" si="75"/>
        <v>-1.3704505748568826E-3</v>
      </c>
    </row>
    <row r="1138" spans="9:15" x14ac:dyDescent="0.35">
      <c r="I1138" s="408">
        <v>43385</v>
      </c>
      <c r="J1138" s="409">
        <v>60430</v>
      </c>
      <c r="K1138" s="407">
        <v>955.89</v>
      </c>
      <c r="L1138" s="41">
        <f t="shared" si="72"/>
        <v>0</v>
      </c>
      <c r="M1138" s="41">
        <f t="shared" si="73"/>
        <v>-1.3704505748568826E-3</v>
      </c>
      <c r="N1138" s="180">
        <f t="shared" si="74"/>
        <v>2.4063718013895948E-2</v>
      </c>
      <c r="O1138" s="180">
        <f t="shared" si="75"/>
        <v>-2.8166369354990614E-3</v>
      </c>
    </row>
    <row r="1139" spans="9:15" x14ac:dyDescent="0.35">
      <c r="I1139" s="408">
        <v>43293</v>
      </c>
      <c r="J1139" s="409">
        <v>59010</v>
      </c>
      <c r="K1139" s="407">
        <v>958.59</v>
      </c>
      <c r="L1139" s="41">
        <f t="shared" si="72"/>
        <v>2.4063718013895948E-2</v>
      </c>
      <c r="M1139" s="41">
        <f t="shared" si="73"/>
        <v>-2.8166369354990614E-3</v>
      </c>
      <c r="N1139" s="180">
        <f t="shared" si="74"/>
        <v>0</v>
      </c>
      <c r="O1139" s="180">
        <f t="shared" si="75"/>
        <v>3.948388177876439E-3</v>
      </c>
    </row>
    <row r="1140" spans="9:15" x14ac:dyDescent="0.35">
      <c r="I1140" s="408">
        <v>43263</v>
      </c>
      <c r="J1140" s="409">
        <v>59010</v>
      </c>
      <c r="K1140" s="407">
        <v>954.82</v>
      </c>
      <c r="L1140" s="41">
        <f t="shared" si="72"/>
        <v>0</v>
      </c>
      <c r="M1140" s="41">
        <f t="shared" si="73"/>
        <v>3.948388177876439E-3</v>
      </c>
      <c r="N1140" s="180">
        <f t="shared" si="74"/>
        <v>-2.0629678190297578E-2</v>
      </c>
      <c r="O1140" s="180">
        <f t="shared" si="75"/>
        <v>-2.4238878325009263E-3</v>
      </c>
    </row>
    <row r="1141" spans="9:15" x14ac:dyDescent="0.35">
      <c r="I1141" s="408">
        <v>43232</v>
      </c>
      <c r="J1141" s="409">
        <v>60253</v>
      </c>
      <c r="K1141" s="407">
        <v>957.14</v>
      </c>
      <c r="L1141" s="41">
        <f t="shared" si="72"/>
        <v>-2.0629678190297578E-2</v>
      </c>
      <c r="M1141" s="41">
        <f t="shared" si="73"/>
        <v>-2.4238878325009263E-3</v>
      </c>
      <c r="N1141" s="180">
        <f t="shared" si="74"/>
        <v>-8.7521592498149212E-3</v>
      </c>
      <c r="O1141" s="180">
        <f t="shared" si="75"/>
        <v>-1.7729756789454398E-3</v>
      </c>
    </row>
    <row r="1142" spans="9:15" x14ac:dyDescent="0.35">
      <c r="I1142" s="408">
        <v>43202</v>
      </c>
      <c r="J1142" s="409">
        <v>60785</v>
      </c>
      <c r="K1142" s="407">
        <v>958.84</v>
      </c>
      <c r="L1142" s="41">
        <f t="shared" si="72"/>
        <v>-8.7521592498149212E-3</v>
      </c>
      <c r="M1142" s="41">
        <f t="shared" si="73"/>
        <v>-1.7729756789454398E-3</v>
      </c>
      <c r="N1142" s="180">
        <f t="shared" si="74"/>
        <v>-1.4620363373525644E-3</v>
      </c>
      <c r="O1142" s="180">
        <f t="shared" si="75"/>
        <v>7.6188274361857523E-3</v>
      </c>
    </row>
    <row r="1143" spans="9:15" x14ac:dyDescent="0.35">
      <c r="I1143" s="408">
        <v>43171</v>
      </c>
      <c r="J1143" s="409">
        <v>60874</v>
      </c>
      <c r="K1143" s="407">
        <v>951.59</v>
      </c>
      <c r="L1143" s="41">
        <f t="shared" si="72"/>
        <v>-1.4620363373525644E-3</v>
      </c>
      <c r="M1143" s="41">
        <f t="shared" si="73"/>
        <v>7.6188274361857523E-3</v>
      </c>
      <c r="N1143" s="180">
        <f t="shared" si="74"/>
        <v>-5.7979062209083934E-3</v>
      </c>
      <c r="O1143" s="180">
        <f t="shared" si="75"/>
        <v>2.7036069678589233E-2</v>
      </c>
    </row>
    <row r="1144" spans="9:15" x14ac:dyDescent="0.35">
      <c r="I1144" s="408" t="s">
        <v>1176</v>
      </c>
      <c r="J1144" s="409">
        <v>61229</v>
      </c>
      <c r="K1144" s="407">
        <v>926.54</v>
      </c>
      <c r="L1144" s="41">
        <f t="shared" si="72"/>
        <v>-5.7979062209083934E-3</v>
      </c>
      <c r="M1144" s="41">
        <f t="shared" si="73"/>
        <v>2.7036069678589233E-2</v>
      </c>
      <c r="N1144" s="180">
        <f t="shared" si="74"/>
        <v>4.0725443203644213E-2</v>
      </c>
      <c r="O1144" s="180">
        <f t="shared" si="75"/>
        <v>-2.6974827091358344E-4</v>
      </c>
    </row>
    <row r="1145" spans="9:15" x14ac:dyDescent="0.35">
      <c r="I1145" s="408" t="s">
        <v>1177</v>
      </c>
      <c r="J1145" s="409">
        <v>58833</v>
      </c>
      <c r="K1145" s="407">
        <v>926.79</v>
      </c>
      <c r="L1145" s="41">
        <f t="shared" si="72"/>
        <v>4.0725443203644213E-2</v>
      </c>
      <c r="M1145" s="41">
        <f t="shared" si="73"/>
        <v>-2.6974827091358344E-4</v>
      </c>
      <c r="N1145" s="180">
        <f t="shared" si="74"/>
        <v>4.7391002474586531E-2</v>
      </c>
      <c r="O1145" s="180">
        <f t="shared" si="75"/>
        <v>-3.6658783057407886E-3</v>
      </c>
    </row>
    <row r="1146" spans="9:15" x14ac:dyDescent="0.35">
      <c r="I1146" s="408" t="s">
        <v>1178</v>
      </c>
      <c r="J1146" s="409">
        <v>56171</v>
      </c>
      <c r="K1146" s="407">
        <v>930.2</v>
      </c>
      <c r="L1146" s="41">
        <f t="shared" si="72"/>
        <v>4.7391002474586531E-2</v>
      </c>
      <c r="M1146" s="41">
        <f t="shared" si="73"/>
        <v>-3.6658783057407886E-3</v>
      </c>
      <c r="N1146" s="180">
        <f t="shared" si="74"/>
        <v>-4.8110489747500422E-2</v>
      </c>
      <c r="O1146" s="180">
        <f t="shared" si="75"/>
        <v>7.6696420833694875E-3</v>
      </c>
    </row>
    <row r="1147" spans="9:15" x14ac:dyDescent="0.35">
      <c r="I1147" s="408" t="s">
        <v>1179</v>
      </c>
      <c r="J1147" s="409">
        <v>59010</v>
      </c>
      <c r="K1147" s="407">
        <v>923.12</v>
      </c>
      <c r="L1147" s="41">
        <f t="shared" si="72"/>
        <v>-4.8110489747500422E-2</v>
      </c>
      <c r="M1147" s="41">
        <f t="shared" si="73"/>
        <v>7.6696420833694875E-3</v>
      </c>
      <c r="N1147" s="180">
        <f t="shared" si="74"/>
        <v>-7.4679584216368958E-3</v>
      </c>
      <c r="O1147" s="180">
        <f t="shared" si="75"/>
        <v>2.2691986145945645E-3</v>
      </c>
    </row>
    <row r="1148" spans="9:15" x14ac:dyDescent="0.35">
      <c r="I1148" s="408" t="s">
        <v>1180</v>
      </c>
      <c r="J1148" s="409">
        <v>59454</v>
      </c>
      <c r="K1148" s="407">
        <v>921.03</v>
      </c>
      <c r="L1148" s="41">
        <f t="shared" si="72"/>
        <v>-7.4679584216368958E-3</v>
      </c>
      <c r="M1148" s="41">
        <f t="shared" si="73"/>
        <v>2.2691986145945645E-3</v>
      </c>
      <c r="N1148" s="180">
        <f t="shared" si="74"/>
        <v>1.4991998652404616E-3</v>
      </c>
      <c r="O1148" s="180">
        <f t="shared" si="75"/>
        <v>3.3334422693551483E-3</v>
      </c>
    </row>
    <row r="1149" spans="9:15" x14ac:dyDescent="0.35">
      <c r="I1149" s="408" t="s">
        <v>1181</v>
      </c>
      <c r="J1149" s="409">
        <v>59365</v>
      </c>
      <c r="K1149" s="407">
        <v>917.97</v>
      </c>
      <c r="L1149" s="41">
        <f t="shared" si="72"/>
        <v>1.4991998652404616E-3</v>
      </c>
      <c r="M1149" s="41">
        <f t="shared" si="73"/>
        <v>3.3334422693551483E-3</v>
      </c>
      <c r="N1149" s="180">
        <f t="shared" si="74"/>
        <v>-1.3280366996875207E-2</v>
      </c>
      <c r="O1149" s="180">
        <f t="shared" si="75"/>
        <v>-6.9773479587199889E-3</v>
      </c>
    </row>
    <row r="1150" spans="9:15" x14ac:dyDescent="0.35">
      <c r="I1150" s="408" t="s">
        <v>1182</v>
      </c>
      <c r="J1150" s="409">
        <v>60164</v>
      </c>
      <c r="K1150" s="407">
        <v>924.42</v>
      </c>
      <c r="L1150" s="41">
        <f t="shared" si="72"/>
        <v>-1.3280366996875207E-2</v>
      </c>
      <c r="M1150" s="41">
        <f t="shared" si="73"/>
        <v>-6.9773479587199889E-3</v>
      </c>
      <c r="N1150" s="180">
        <f t="shared" si="74"/>
        <v>-2.5857741940706919E-2</v>
      </c>
      <c r="O1150" s="180">
        <f t="shared" si="75"/>
        <v>2.0161290322580796E-3</v>
      </c>
    </row>
    <row r="1151" spans="9:15" x14ac:dyDescent="0.35">
      <c r="I1151" s="408" t="s">
        <v>1183</v>
      </c>
      <c r="J1151" s="409">
        <v>61761</v>
      </c>
      <c r="K1151" s="407">
        <v>922.56</v>
      </c>
      <c r="L1151" s="41">
        <f t="shared" si="72"/>
        <v>-2.5857741940706919E-2</v>
      </c>
      <c r="M1151" s="41">
        <f t="shared" si="73"/>
        <v>2.0161290322580796E-3</v>
      </c>
      <c r="N1151" s="180">
        <f t="shared" si="74"/>
        <v>3.7250390474111147E-2</v>
      </c>
      <c r="O1151" s="180">
        <f t="shared" si="75"/>
        <v>3.8519292289612454E-3</v>
      </c>
    </row>
    <row r="1152" spans="9:15" x14ac:dyDescent="0.35">
      <c r="I1152" s="408" t="s">
        <v>1184</v>
      </c>
      <c r="J1152" s="409">
        <v>59543</v>
      </c>
      <c r="K1152" s="407">
        <v>919.02</v>
      </c>
      <c r="L1152" s="41">
        <f t="shared" si="72"/>
        <v>3.7250390474111147E-2</v>
      </c>
      <c r="M1152" s="41">
        <f t="shared" si="73"/>
        <v>3.8519292289612454E-3</v>
      </c>
      <c r="N1152" s="180">
        <f t="shared" si="74"/>
        <v>-5.4918019776836025E-2</v>
      </c>
      <c r="O1152" s="180">
        <f t="shared" si="75"/>
        <v>3.231229395454486E-3</v>
      </c>
    </row>
    <row r="1153" spans="9:15" x14ac:dyDescent="0.35">
      <c r="I1153" s="408" t="s">
        <v>1185</v>
      </c>
      <c r="J1153" s="409">
        <v>63003</v>
      </c>
      <c r="K1153" s="407">
        <v>916.06</v>
      </c>
      <c r="L1153" s="41">
        <f t="shared" si="72"/>
        <v>-5.4918019776836025E-2</v>
      </c>
      <c r="M1153" s="41">
        <f t="shared" si="73"/>
        <v>3.231229395454486E-3</v>
      </c>
      <c r="N1153" s="180">
        <f t="shared" si="74"/>
        <v>-3.0066506558285609E-2</v>
      </c>
      <c r="O1153" s="180">
        <f t="shared" si="75"/>
        <v>1.9895567752925204E-2</v>
      </c>
    </row>
    <row r="1154" spans="9:15" x14ac:dyDescent="0.35">
      <c r="I1154" s="408" t="s">
        <v>1186</v>
      </c>
      <c r="J1154" s="409">
        <v>64956</v>
      </c>
      <c r="K1154" s="407">
        <v>898.19</v>
      </c>
      <c r="L1154" s="41">
        <f t="shared" si="72"/>
        <v>-3.0066506558285609E-2</v>
      </c>
      <c r="M1154" s="41">
        <f t="shared" si="73"/>
        <v>1.9895567752925204E-2</v>
      </c>
      <c r="N1154" s="180">
        <f t="shared" si="74"/>
        <v>5.4754481683554172E-2</v>
      </c>
      <c r="O1154" s="180">
        <f t="shared" si="75"/>
        <v>1.1592264392800283E-3</v>
      </c>
    </row>
    <row r="1155" spans="9:15" x14ac:dyDescent="0.35">
      <c r="I1155" s="408" t="s">
        <v>1187</v>
      </c>
      <c r="J1155" s="409">
        <v>61584</v>
      </c>
      <c r="K1155" s="407">
        <v>897.15</v>
      </c>
      <c r="L1155" s="41">
        <f t="shared" si="72"/>
        <v>5.4754481683554172E-2</v>
      </c>
      <c r="M1155" s="41">
        <f t="shared" si="73"/>
        <v>1.1592264392800283E-3</v>
      </c>
      <c r="N1155" s="180">
        <f t="shared" si="74"/>
        <v>-1.4269036191464522E-3</v>
      </c>
      <c r="O1155" s="180">
        <f t="shared" si="75"/>
        <v>-4.1956644800372651E-3</v>
      </c>
    </row>
    <row r="1156" spans="9:15" x14ac:dyDescent="0.35">
      <c r="I1156" s="408" t="s">
        <v>1188</v>
      </c>
      <c r="J1156" s="409">
        <v>61672</v>
      </c>
      <c r="K1156" s="407">
        <v>900.93</v>
      </c>
      <c r="L1156" s="41">
        <f t="shared" ref="L1156:L1219" si="76">(J1155-J1156)/J1156</f>
        <v>-1.4269036191464522E-3</v>
      </c>
      <c r="M1156" s="41">
        <f t="shared" ref="M1156:M1219" si="77">(K1155-K1156)/K1156</f>
        <v>-4.1956644800372651E-3</v>
      </c>
      <c r="N1156" s="180">
        <f t="shared" si="74"/>
        <v>1.4592415892078638E-2</v>
      </c>
      <c r="O1156" s="180">
        <f t="shared" si="75"/>
        <v>-4.9150632883430663E-3</v>
      </c>
    </row>
    <row r="1157" spans="9:15" x14ac:dyDescent="0.35">
      <c r="I1157" s="408" t="s">
        <v>1189</v>
      </c>
      <c r="J1157" s="409">
        <v>60785</v>
      </c>
      <c r="K1157" s="407">
        <v>905.38</v>
      </c>
      <c r="L1157" s="41">
        <f t="shared" si="76"/>
        <v>1.4592415892078638E-2</v>
      </c>
      <c r="M1157" s="41">
        <f t="shared" si="77"/>
        <v>-4.9150632883430663E-3</v>
      </c>
      <c r="N1157" s="180">
        <f t="shared" si="74"/>
        <v>3.7871156111803576E-2</v>
      </c>
      <c r="O1157" s="180">
        <f t="shared" si="75"/>
        <v>-1.387618176273255E-2</v>
      </c>
    </row>
    <row r="1158" spans="9:15" x14ac:dyDescent="0.35">
      <c r="I1158" s="408">
        <v>43445</v>
      </c>
      <c r="J1158" s="409">
        <v>58567</v>
      </c>
      <c r="K1158" s="407">
        <v>918.12</v>
      </c>
      <c r="L1158" s="41">
        <f t="shared" si="76"/>
        <v>3.7871156111803576E-2</v>
      </c>
      <c r="M1158" s="41">
        <f t="shared" si="77"/>
        <v>-1.387618176273255E-2</v>
      </c>
      <c r="N1158" s="180">
        <f t="shared" si="74"/>
        <v>-5.1715483881413837E-2</v>
      </c>
      <c r="O1158" s="180">
        <f t="shared" si="75"/>
        <v>4.1890428638616207E-3</v>
      </c>
    </row>
    <row r="1159" spans="9:15" x14ac:dyDescent="0.35">
      <c r="I1159" s="408">
        <v>43354</v>
      </c>
      <c r="J1159" s="409">
        <v>61761</v>
      </c>
      <c r="K1159" s="407">
        <v>914.29</v>
      </c>
      <c r="L1159" s="41">
        <f t="shared" si="76"/>
        <v>-5.1715483881413837E-2</v>
      </c>
      <c r="M1159" s="41">
        <f t="shared" si="77"/>
        <v>4.1890428638616207E-3</v>
      </c>
      <c r="N1159" s="180">
        <f t="shared" si="74"/>
        <v>1.4431184330003892E-3</v>
      </c>
      <c r="O1159" s="180">
        <f t="shared" si="75"/>
        <v>-1.2944250118754599E-2</v>
      </c>
    </row>
    <row r="1160" spans="9:15" x14ac:dyDescent="0.35">
      <c r="I1160" s="408">
        <v>43323</v>
      </c>
      <c r="J1160" s="409">
        <v>61672</v>
      </c>
      <c r="K1160" s="407">
        <v>926.28</v>
      </c>
      <c r="L1160" s="41">
        <f t="shared" si="76"/>
        <v>1.4431184330003892E-3</v>
      </c>
      <c r="M1160" s="41">
        <f t="shared" si="77"/>
        <v>-1.2944250118754599E-2</v>
      </c>
      <c r="N1160" s="180">
        <f t="shared" si="74"/>
        <v>-4.3106927783787274E-3</v>
      </c>
      <c r="O1160" s="180">
        <f t="shared" si="75"/>
        <v>4.4677713195107188E-3</v>
      </c>
    </row>
    <row r="1161" spans="9:15" x14ac:dyDescent="0.35">
      <c r="I1161" s="408">
        <v>43292</v>
      </c>
      <c r="J1161" s="409">
        <v>61939</v>
      </c>
      <c r="K1161" s="407">
        <v>922.16</v>
      </c>
      <c r="L1161" s="41">
        <f t="shared" si="76"/>
        <v>-4.3106927783787274E-3</v>
      </c>
      <c r="M1161" s="41">
        <f t="shared" si="77"/>
        <v>4.4677713195107188E-3</v>
      </c>
      <c r="N1161" s="180">
        <f t="shared" si="74"/>
        <v>4.1797019544521814E-2</v>
      </c>
      <c r="O1161" s="180">
        <f t="shared" si="75"/>
        <v>1.1929938723498037E-4</v>
      </c>
    </row>
    <row r="1162" spans="9:15" x14ac:dyDescent="0.35">
      <c r="I1162" s="408">
        <v>43262</v>
      </c>
      <c r="J1162" s="409">
        <v>59454</v>
      </c>
      <c r="K1162" s="407">
        <v>922.05</v>
      </c>
      <c r="L1162" s="41">
        <f t="shared" si="76"/>
        <v>4.1797019544521814E-2</v>
      </c>
      <c r="M1162" s="41">
        <f t="shared" si="77"/>
        <v>1.1929938723498037E-4</v>
      </c>
      <c r="N1162" s="180">
        <f t="shared" si="74"/>
        <v>9.0460107601703973E-3</v>
      </c>
      <c r="O1162" s="180">
        <f t="shared" si="75"/>
        <v>-3.7600077793264598E-3</v>
      </c>
    </row>
    <row r="1163" spans="9:15" x14ac:dyDescent="0.35">
      <c r="I1163" s="408">
        <v>43231</v>
      </c>
      <c r="J1163" s="409">
        <v>58921</v>
      </c>
      <c r="K1163" s="407">
        <v>925.53</v>
      </c>
      <c r="L1163" s="41">
        <f t="shared" si="76"/>
        <v>9.0460107601703973E-3</v>
      </c>
      <c r="M1163" s="41">
        <f t="shared" si="77"/>
        <v>-3.7600077793264598E-3</v>
      </c>
      <c r="N1163" s="180">
        <f t="shared" si="74"/>
        <v>-5.1436022924850278E-2</v>
      </c>
      <c r="O1163" s="180">
        <f t="shared" si="75"/>
        <v>7.2443396838435981E-4</v>
      </c>
    </row>
    <row r="1164" spans="9:15" x14ac:dyDescent="0.35">
      <c r="I1164" s="408">
        <v>43142</v>
      </c>
      <c r="J1164" s="409">
        <v>62116</v>
      </c>
      <c r="K1164" s="407">
        <v>924.86</v>
      </c>
      <c r="L1164" s="41">
        <f t="shared" si="76"/>
        <v>-5.1436022924850278E-2</v>
      </c>
      <c r="M1164" s="41">
        <f t="shared" si="77"/>
        <v>7.2443396838435981E-4</v>
      </c>
      <c r="N1164" s="180">
        <f t="shared" si="74"/>
        <v>1.59633627739614E-2</v>
      </c>
      <c r="O1164" s="180">
        <f t="shared" si="75"/>
        <v>1.8613154764527046E-2</v>
      </c>
    </row>
    <row r="1165" spans="9:15" x14ac:dyDescent="0.35">
      <c r="I1165" s="408">
        <v>43111</v>
      </c>
      <c r="J1165" s="409">
        <v>61140</v>
      </c>
      <c r="K1165" s="407">
        <v>907.96</v>
      </c>
      <c r="L1165" s="41">
        <f t="shared" si="76"/>
        <v>1.59633627739614E-2</v>
      </c>
      <c r="M1165" s="41">
        <f t="shared" si="77"/>
        <v>1.8613154764527046E-2</v>
      </c>
      <c r="N1165" s="180">
        <f t="shared" si="74"/>
        <v>4.3932590025099458E-2</v>
      </c>
      <c r="O1165" s="180">
        <f t="shared" si="75"/>
        <v>-7.433643797280111E-3</v>
      </c>
    </row>
    <row r="1166" spans="9:15" x14ac:dyDescent="0.35">
      <c r="I1166" s="408" t="s">
        <v>1190</v>
      </c>
      <c r="J1166" s="409">
        <v>58567</v>
      </c>
      <c r="K1166" s="407">
        <v>914.76</v>
      </c>
      <c r="L1166" s="41">
        <f t="shared" si="76"/>
        <v>4.3932590025099458E-2</v>
      </c>
      <c r="M1166" s="41">
        <f t="shared" si="77"/>
        <v>-7.433643797280111E-3</v>
      </c>
      <c r="N1166" s="180">
        <f t="shared" si="74"/>
        <v>0</v>
      </c>
      <c r="O1166" s="180">
        <f t="shared" si="75"/>
        <v>2.9335313776457411E-2</v>
      </c>
    </row>
    <row r="1167" spans="9:15" x14ac:dyDescent="0.35">
      <c r="I1167" s="408" t="s">
        <v>1191</v>
      </c>
      <c r="J1167" s="409">
        <v>58567</v>
      </c>
      <c r="K1167" s="407">
        <v>888.69</v>
      </c>
      <c r="L1167" s="41">
        <f t="shared" si="76"/>
        <v>0</v>
      </c>
      <c r="M1167" s="41">
        <f t="shared" si="77"/>
        <v>2.9335313776457411E-2</v>
      </c>
      <c r="N1167" s="180">
        <f t="shared" si="74"/>
        <v>3.1254402028454711E-2</v>
      </c>
      <c r="O1167" s="180">
        <f t="shared" si="75"/>
        <v>-1.4626133525347701E-4</v>
      </c>
    </row>
    <row r="1168" spans="9:15" x14ac:dyDescent="0.35">
      <c r="I1168" s="408" t="s">
        <v>1192</v>
      </c>
      <c r="J1168" s="409">
        <v>56792</v>
      </c>
      <c r="K1168" s="407">
        <v>888.82</v>
      </c>
      <c r="L1168" s="41">
        <f t="shared" si="76"/>
        <v>3.1254402028454711E-2</v>
      </c>
      <c r="M1168" s="41">
        <f t="shared" si="77"/>
        <v>-1.4626133525347701E-4</v>
      </c>
      <c r="N1168" s="180">
        <f t="shared" si="74"/>
        <v>-4.1905661650583709E-2</v>
      </c>
      <c r="O1168" s="180">
        <f t="shared" si="75"/>
        <v>-1.3321196243422659E-2</v>
      </c>
    </row>
    <row r="1169" spans="9:15" x14ac:dyDescent="0.35">
      <c r="I1169" s="408" t="s">
        <v>1193</v>
      </c>
      <c r="J1169" s="409">
        <v>59276</v>
      </c>
      <c r="K1169" s="407">
        <v>900.82</v>
      </c>
      <c r="L1169" s="41">
        <f t="shared" si="76"/>
        <v>-4.1905661650583709E-2</v>
      </c>
      <c r="M1169" s="41">
        <f t="shared" si="77"/>
        <v>-1.3321196243422659E-2</v>
      </c>
      <c r="N1169" s="180">
        <f t="shared" si="74"/>
        <v>-1.4991998652404616E-3</v>
      </c>
      <c r="O1169" s="180">
        <f t="shared" si="75"/>
        <v>-1.027280617906535E-2</v>
      </c>
    </row>
    <row r="1170" spans="9:15" x14ac:dyDescent="0.35">
      <c r="I1170" s="408" t="s">
        <v>1194</v>
      </c>
      <c r="J1170" s="409">
        <v>59365</v>
      </c>
      <c r="K1170" s="407">
        <v>910.17</v>
      </c>
      <c r="L1170" s="41">
        <f t="shared" si="76"/>
        <v>-1.4991998652404616E-3</v>
      </c>
      <c r="M1170" s="41">
        <f t="shared" si="77"/>
        <v>-1.027280617906535E-2</v>
      </c>
      <c r="N1170" s="180">
        <f t="shared" si="74"/>
        <v>-3.8794708634899047E-2</v>
      </c>
      <c r="O1170" s="180">
        <f t="shared" si="75"/>
        <v>-1.361178242822934E-2</v>
      </c>
    </row>
    <row r="1171" spans="9:15" x14ac:dyDescent="0.35">
      <c r="I1171" s="408" t="s">
        <v>1195</v>
      </c>
      <c r="J1171" s="409">
        <v>61761</v>
      </c>
      <c r="K1171" s="407">
        <v>922.73</v>
      </c>
      <c r="L1171" s="41">
        <f t="shared" si="76"/>
        <v>-3.8794708634899047E-2</v>
      </c>
      <c r="M1171" s="41">
        <f t="shared" si="77"/>
        <v>-1.361178242822934E-2</v>
      </c>
      <c r="N1171" s="180">
        <f t="shared" si="74"/>
        <v>0</v>
      </c>
      <c r="O1171" s="180">
        <f t="shared" si="75"/>
        <v>-1.8038055508258058E-2</v>
      </c>
    </row>
    <row r="1172" spans="9:15" x14ac:dyDescent="0.35">
      <c r="I1172" s="408" t="s">
        <v>1196</v>
      </c>
      <c r="J1172" s="409">
        <v>61761</v>
      </c>
      <c r="K1172" s="407">
        <v>939.68</v>
      </c>
      <c r="L1172" s="41">
        <f t="shared" si="76"/>
        <v>0</v>
      </c>
      <c r="M1172" s="41">
        <f t="shared" si="77"/>
        <v>-1.8038055508258058E-2</v>
      </c>
      <c r="N1172" s="180">
        <f t="shared" si="74"/>
        <v>-4.2884550276492493E-3</v>
      </c>
      <c r="O1172" s="180">
        <f t="shared" si="75"/>
        <v>-1.4504305146249164E-2</v>
      </c>
    </row>
    <row r="1173" spans="9:15" x14ac:dyDescent="0.35">
      <c r="I1173" s="408" t="s">
        <v>1197</v>
      </c>
      <c r="J1173" s="409">
        <v>62027</v>
      </c>
      <c r="K1173" s="407">
        <v>953.51</v>
      </c>
      <c r="L1173" s="41">
        <f t="shared" si="76"/>
        <v>-4.2884550276492493E-3</v>
      </c>
      <c r="M1173" s="41">
        <f t="shared" si="77"/>
        <v>-1.4504305146249164E-2</v>
      </c>
      <c r="N1173" s="180">
        <f t="shared" si="74"/>
        <v>0</v>
      </c>
      <c r="O1173" s="180">
        <f t="shared" si="75"/>
        <v>-5.0607287449392947E-3</v>
      </c>
    </row>
    <row r="1174" spans="9:15" x14ac:dyDescent="0.35">
      <c r="I1174" s="408" t="s">
        <v>1198</v>
      </c>
      <c r="J1174" s="409">
        <v>62027</v>
      </c>
      <c r="K1174" s="407">
        <v>958.36</v>
      </c>
      <c r="L1174" s="41">
        <f t="shared" si="76"/>
        <v>0</v>
      </c>
      <c r="M1174" s="41">
        <f t="shared" si="77"/>
        <v>-5.0607287449392947E-3</v>
      </c>
      <c r="N1174" s="180">
        <f t="shared" si="74"/>
        <v>1.420752676019955E-3</v>
      </c>
      <c r="O1174" s="180">
        <f t="shared" si="75"/>
        <v>-5.3037458353659313E-3</v>
      </c>
    </row>
    <row r="1175" spans="9:15" x14ac:dyDescent="0.35">
      <c r="I1175" s="408" t="s">
        <v>1199</v>
      </c>
      <c r="J1175" s="409">
        <v>61939</v>
      </c>
      <c r="K1175" s="407">
        <v>963.47</v>
      </c>
      <c r="L1175" s="41">
        <f t="shared" si="76"/>
        <v>1.420752676019955E-3</v>
      </c>
      <c r="M1175" s="41">
        <f t="shared" si="77"/>
        <v>-5.3037458353659313E-3</v>
      </c>
      <c r="N1175" s="180">
        <f t="shared" si="74"/>
        <v>-1.9657808518383692E-2</v>
      </c>
      <c r="O1175" s="180">
        <f t="shared" si="75"/>
        <v>-8.367641004528607E-3</v>
      </c>
    </row>
    <row r="1176" spans="9:15" x14ac:dyDescent="0.35">
      <c r="I1176" s="408" t="s">
        <v>1200</v>
      </c>
      <c r="J1176" s="409">
        <v>63181</v>
      </c>
      <c r="K1176" s="407">
        <v>971.6</v>
      </c>
      <c r="L1176" s="41">
        <f t="shared" si="76"/>
        <v>-1.9657808518383692E-2</v>
      </c>
      <c r="M1176" s="41">
        <f t="shared" si="77"/>
        <v>-8.367641004528607E-3</v>
      </c>
      <c r="N1176" s="180">
        <f t="shared" si="74"/>
        <v>4.2279265675911944E-3</v>
      </c>
      <c r="O1176" s="180">
        <f t="shared" si="75"/>
        <v>8.5429274318278726E-3</v>
      </c>
    </row>
    <row r="1177" spans="9:15" x14ac:dyDescent="0.35">
      <c r="I1177" s="408" t="s">
        <v>1201</v>
      </c>
      <c r="J1177" s="409">
        <v>62915</v>
      </c>
      <c r="K1177" s="407">
        <v>963.37</v>
      </c>
      <c r="L1177" s="41">
        <f t="shared" si="76"/>
        <v>4.2279265675911944E-3</v>
      </c>
      <c r="M1177" s="41">
        <f t="shared" si="77"/>
        <v>8.5429274318278726E-3</v>
      </c>
      <c r="N1177" s="180">
        <f t="shared" si="74"/>
        <v>1.2863030459140962E-2</v>
      </c>
      <c r="O1177" s="180">
        <f t="shared" si="75"/>
        <v>1.2326089697784896E-2</v>
      </c>
    </row>
    <row r="1178" spans="9:15" x14ac:dyDescent="0.35">
      <c r="I1178" s="408" t="s">
        <v>1202</v>
      </c>
      <c r="J1178" s="409">
        <v>62116</v>
      </c>
      <c r="K1178" s="407">
        <v>951.64</v>
      </c>
      <c r="L1178" s="41">
        <f t="shared" si="76"/>
        <v>1.2863030459140962E-2</v>
      </c>
      <c r="M1178" s="41">
        <f t="shared" si="77"/>
        <v>1.2326089697784896E-2</v>
      </c>
      <c r="N1178" s="180">
        <f t="shared" si="74"/>
        <v>-2.3717092337917484E-2</v>
      </c>
      <c r="O1178" s="180">
        <f t="shared" si="75"/>
        <v>-1.9008741547088957E-2</v>
      </c>
    </row>
    <row r="1179" spans="9:15" x14ac:dyDescent="0.35">
      <c r="I1179" s="408">
        <v>43444</v>
      </c>
      <c r="J1179" s="409">
        <v>63625</v>
      </c>
      <c r="K1179" s="407">
        <v>970.08</v>
      </c>
      <c r="L1179" s="41">
        <f t="shared" si="76"/>
        <v>-2.3717092337917484E-2</v>
      </c>
      <c r="M1179" s="41">
        <f t="shared" si="77"/>
        <v>-1.9008741547088957E-2</v>
      </c>
      <c r="N1179" s="180">
        <f t="shared" si="74"/>
        <v>-1.3811937909060945E-3</v>
      </c>
      <c r="O1179" s="180">
        <f t="shared" si="75"/>
        <v>2.5573798221780603E-2</v>
      </c>
    </row>
    <row r="1180" spans="9:15" x14ac:dyDescent="0.35">
      <c r="I1180" s="408">
        <v>43414</v>
      </c>
      <c r="J1180" s="409">
        <v>63713</v>
      </c>
      <c r="K1180" s="407">
        <v>945.89</v>
      </c>
      <c r="L1180" s="41">
        <f t="shared" si="76"/>
        <v>-1.3811937909060945E-3</v>
      </c>
      <c r="M1180" s="41">
        <f t="shared" si="77"/>
        <v>2.5573798221780603E-2</v>
      </c>
      <c r="N1180" s="180">
        <f t="shared" si="74"/>
        <v>1.3831041257367387E-3</v>
      </c>
      <c r="O1180" s="180">
        <f t="shared" si="75"/>
        <v>-4.8362107127047416E-2</v>
      </c>
    </row>
    <row r="1181" spans="9:15" x14ac:dyDescent="0.35">
      <c r="I1181" s="408">
        <v>43383</v>
      </c>
      <c r="J1181" s="409">
        <v>63625</v>
      </c>
      <c r="K1181" s="407">
        <v>993.96</v>
      </c>
      <c r="L1181" s="41">
        <f t="shared" si="76"/>
        <v>1.3831041257367387E-3</v>
      </c>
      <c r="M1181" s="41">
        <f t="shared" si="77"/>
        <v>-4.8362107127047416E-2</v>
      </c>
      <c r="N1181" s="180">
        <f t="shared" si="74"/>
        <v>-1.9146869748870768E-2</v>
      </c>
      <c r="O1181" s="180">
        <f t="shared" si="75"/>
        <v>-2.2385287947078551E-3</v>
      </c>
    </row>
    <row r="1182" spans="9:15" x14ac:dyDescent="0.35">
      <c r="I1182" s="408">
        <v>43353</v>
      </c>
      <c r="J1182" s="409">
        <v>64867</v>
      </c>
      <c r="K1182" s="407">
        <v>996.19</v>
      </c>
      <c r="L1182" s="41">
        <f t="shared" si="76"/>
        <v>-1.9146869748870768E-2</v>
      </c>
      <c r="M1182" s="41">
        <f t="shared" si="77"/>
        <v>-2.2385287947078551E-3</v>
      </c>
      <c r="N1182" s="180">
        <f t="shared" si="74"/>
        <v>-9.4826533105301734E-3</v>
      </c>
      <c r="O1182" s="180">
        <f t="shared" si="75"/>
        <v>7.0272657912751494E-5</v>
      </c>
    </row>
    <row r="1183" spans="9:15" x14ac:dyDescent="0.35">
      <c r="I1183" s="408">
        <v>43322</v>
      </c>
      <c r="J1183" s="409">
        <v>65488</v>
      </c>
      <c r="K1183" s="407">
        <v>996.12</v>
      </c>
      <c r="L1183" s="41">
        <f t="shared" si="76"/>
        <v>-9.4826533105301734E-3</v>
      </c>
      <c r="M1183" s="41">
        <f t="shared" si="77"/>
        <v>7.0272657912751494E-5</v>
      </c>
      <c r="N1183" s="180">
        <f t="shared" si="74"/>
        <v>-2.7106874181463772E-3</v>
      </c>
      <c r="O1183" s="180">
        <f t="shared" si="75"/>
        <v>-1.2167911224823712E-2</v>
      </c>
    </row>
    <row r="1184" spans="9:15" x14ac:dyDescent="0.35">
      <c r="I1184" s="408">
        <v>43230</v>
      </c>
      <c r="J1184" s="409">
        <v>65666</v>
      </c>
      <c r="K1184" s="409">
        <v>1008.39</v>
      </c>
      <c r="L1184" s="41">
        <f t="shared" si="76"/>
        <v>-2.7106874181463772E-3</v>
      </c>
      <c r="M1184" s="41">
        <f t="shared" si="77"/>
        <v>-1.2167911224823712E-2</v>
      </c>
      <c r="N1184" s="180">
        <f t="shared" si="74"/>
        <v>1.3571831587294327E-3</v>
      </c>
      <c r="O1184" s="180">
        <f t="shared" si="75"/>
        <v>-1.4878568218674917E-2</v>
      </c>
    </row>
    <row r="1185" spans="9:15" x14ac:dyDescent="0.35">
      <c r="I1185" s="408">
        <v>43200</v>
      </c>
      <c r="J1185" s="409">
        <v>65577</v>
      </c>
      <c r="K1185" s="409">
        <v>1023.62</v>
      </c>
      <c r="L1185" s="41">
        <f t="shared" si="76"/>
        <v>1.3571831587294327E-3</v>
      </c>
      <c r="M1185" s="41">
        <f t="shared" si="77"/>
        <v>-1.4878568218674917E-2</v>
      </c>
      <c r="N1185" s="180">
        <f t="shared" si="74"/>
        <v>8.1944529856712387E-3</v>
      </c>
      <c r="O1185" s="180">
        <f t="shared" si="75"/>
        <v>3.155625245001987E-3</v>
      </c>
    </row>
    <row r="1186" spans="9:15" x14ac:dyDescent="0.35">
      <c r="I1186" s="408">
        <v>43169</v>
      </c>
      <c r="J1186" s="409">
        <v>65044</v>
      </c>
      <c r="K1186" s="409">
        <v>1020.4</v>
      </c>
      <c r="L1186" s="41">
        <f t="shared" si="76"/>
        <v>8.1944529856712387E-3</v>
      </c>
      <c r="M1186" s="41">
        <f t="shared" si="77"/>
        <v>3.155625245001987E-3</v>
      </c>
      <c r="N1186" s="180">
        <f t="shared" ref="N1186:N1249" si="78">(J1186-J1187)/J1187</f>
        <v>-1.3664348333410098E-3</v>
      </c>
      <c r="O1186" s="180">
        <f t="shared" si="75"/>
        <v>1.5803060493330457E-3</v>
      </c>
    </row>
    <row r="1187" spans="9:15" x14ac:dyDescent="0.35">
      <c r="I1187" s="408">
        <v>43141</v>
      </c>
      <c r="J1187" s="409">
        <v>65133</v>
      </c>
      <c r="K1187" s="409">
        <v>1018.79</v>
      </c>
      <c r="L1187" s="41">
        <f t="shared" si="76"/>
        <v>-1.3664348333410098E-3</v>
      </c>
      <c r="M1187" s="41">
        <f t="shared" si="77"/>
        <v>1.5803060493330457E-3</v>
      </c>
      <c r="N1187" s="180">
        <f t="shared" si="78"/>
        <v>0</v>
      </c>
      <c r="O1187" s="180">
        <f t="shared" si="75"/>
        <v>5.8348471684700736E-3</v>
      </c>
    </row>
    <row r="1188" spans="9:15" x14ac:dyDescent="0.35">
      <c r="I1188" s="408">
        <v>43110</v>
      </c>
      <c r="J1188" s="409">
        <v>65133</v>
      </c>
      <c r="K1188" s="409">
        <v>1012.88</v>
      </c>
      <c r="L1188" s="41">
        <f t="shared" si="76"/>
        <v>0</v>
      </c>
      <c r="M1188" s="41">
        <f t="shared" si="77"/>
        <v>5.8348471684700736E-3</v>
      </c>
      <c r="N1188" s="180">
        <f t="shared" si="78"/>
        <v>-1.871186440677966E-2</v>
      </c>
      <c r="O1188" s="180">
        <f t="shared" si="75"/>
        <v>-4.1784236036691473E-3</v>
      </c>
    </row>
    <row r="1189" spans="9:15" x14ac:dyDescent="0.35">
      <c r="I1189" s="408" t="s">
        <v>1203</v>
      </c>
      <c r="J1189" s="409">
        <v>66375</v>
      </c>
      <c r="K1189" s="409">
        <v>1017.13</v>
      </c>
      <c r="L1189" s="41">
        <f t="shared" si="76"/>
        <v>-1.871186440677966E-2</v>
      </c>
      <c r="M1189" s="41">
        <f t="shared" si="77"/>
        <v>-4.1784236036691473E-3</v>
      </c>
      <c r="N1189" s="180">
        <f t="shared" si="78"/>
        <v>-2.6745601250131473E-3</v>
      </c>
      <c r="O1189" s="180">
        <f t="shared" si="75"/>
        <v>1.7333582831874006E-3</v>
      </c>
    </row>
    <row r="1190" spans="9:15" x14ac:dyDescent="0.35">
      <c r="I1190" s="408" t="s">
        <v>1204</v>
      </c>
      <c r="J1190" s="409">
        <v>66553</v>
      </c>
      <c r="K1190" s="409">
        <v>1015.37</v>
      </c>
      <c r="L1190" s="41">
        <f t="shared" si="76"/>
        <v>-2.6745601250131473E-3</v>
      </c>
      <c r="M1190" s="41">
        <f t="shared" si="77"/>
        <v>1.7333582831874006E-3</v>
      </c>
      <c r="N1190" s="180">
        <f t="shared" si="78"/>
        <v>-6.6271624102571753E-3</v>
      </c>
      <c r="O1190" s="180">
        <f t="shared" ref="O1190:O1251" si="79">(K1190-K1191)/K1191</f>
        <v>5.7051732847337002E-3</v>
      </c>
    </row>
    <row r="1191" spans="9:15" x14ac:dyDescent="0.35">
      <c r="I1191" s="408" t="s">
        <v>1205</v>
      </c>
      <c r="J1191" s="409">
        <v>66997</v>
      </c>
      <c r="K1191" s="409">
        <v>1009.61</v>
      </c>
      <c r="L1191" s="41">
        <f t="shared" si="76"/>
        <v>-6.6271624102571753E-3</v>
      </c>
      <c r="M1191" s="41">
        <f t="shared" si="77"/>
        <v>5.7051732847337002E-3</v>
      </c>
      <c r="N1191" s="180">
        <f t="shared" si="78"/>
        <v>-1.3117686517105165E-3</v>
      </c>
      <c r="O1191" s="180">
        <f t="shared" si="79"/>
        <v>-1.1179927577814231E-3</v>
      </c>
    </row>
    <row r="1192" spans="9:15" x14ac:dyDescent="0.35">
      <c r="I1192" s="408" t="s">
        <v>1206</v>
      </c>
      <c r="J1192" s="409">
        <v>67085</v>
      </c>
      <c r="K1192" s="409">
        <v>1010.74</v>
      </c>
      <c r="L1192" s="41">
        <f t="shared" si="76"/>
        <v>-1.3117686517105165E-3</v>
      </c>
      <c r="M1192" s="41">
        <f t="shared" si="77"/>
        <v>-1.1179927577814231E-3</v>
      </c>
      <c r="N1192" s="180">
        <f t="shared" si="78"/>
        <v>-2.6463285907556903E-3</v>
      </c>
      <c r="O1192" s="180">
        <f t="shared" si="79"/>
        <v>-5.4385982260276927E-4</v>
      </c>
    </row>
    <row r="1193" spans="9:15" x14ac:dyDescent="0.35">
      <c r="I1193" s="408" t="s">
        <v>1207</v>
      </c>
      <c r="J1193" s="409">
        <v>67263</v>
      </c>
      <c r="K1193" s="409">
        <v>1011.29</v>
      </c>
      <c r="L1193" s="41">
        <f t="shared" si="76"/>
        <v>-2.6463285907556903E-3</v>
      </c>
      <c r="M1193" s="41">
        <f t="shared" si="77"/>
        <v>-5.4385982260276927E-4</v>
      </c>
      <c r="N1193" s="180">
        <f t="shared" si="78"/>
        <v>1.472385233907101E-2</v>
      </c>
      <c r="O1193" s="180">
        <f t="shared" si="79"/>
        <v>8.2953627725654167E-3</v>
      </c>
    </row>
    <row r="1194" spans="9:15" x14ac:dyDescent="0.35">
      <c r="I1194" s="408" t="s">
        <v>1208</v>
      </c>
      <c r="J1194" s="409">
        <v>66287</v>
      </c>
      <c r="K1194" s="409">
        <v>1002.97</v>
      </c>
      <c r="L1194" s="41">
        <f t="shared" si="76"/>
        <v>1.472385233907101E-2</v>
      </c>
      <c r="M1194" s="41">
        <f t="shared" si="77"/>
        <v>8.2953627725654167E-3</v>
      </c>
      <c r="N1194" s="180">
        <f t="shared" si="78"/>
        <v>6.7433136400224776E-3</v>
      </c>
      <c r="O1194" s="180">
        <f t="shared" si="79"/>
        <v>-1.7616497800425799E-3</v>
      </c>
    </row>
    <row r="1195" spans="9:15" x14ac:dyDescent="0.35">
      <c r="I1195" s="408" t="s">
        <v>1209</v>
      </c>
      <c r="J1195" s="409">
        <v>65843</v>
      </c>
      <c r="K1195" s="409">
        <v>1004.74</v>
      </c>
      <c r="L1195" s="41">
        <f t="shared" si="76"/>
        <v>6.7433136400224776E-3</v>
      </c>
      <c r="M1195" s="41">
        <f t="shared" si="77"/>
        <v>-1.7616497800425799E-3</v>
      </c>
      <c r="N1195" s="180">
        <f t="shared" si="78"/>
        <v>-1.349875629436389E-3</v>
      </c>
      <c r="O1195" s="180">
        <f t="shared" si="79"/>
        <v>9.2412158225687029E-3</v>
      </c>
    </row>
    <row r="1196" spans="9:15" x14ac:dyDescent="0.35">
      <c r="I1196" s="408" t="s">
        <v>1210</v>
      </c>
      <c r="J1196" s="409">
        <v>65932</v>
      </c>
      <c r="K1196" s="407">
        <v>995.54</v>
      </c>
      <c r="L1196" s="41">
        <f t="shared" si="76"/>
        <v>-1.349875629436389E-3</v>
      </c>
      <c r="M1196" s="41">
        <f t="shared" si="77"/>
        <v>9.2412158225687029E-3</v>
      </c>
      <c r="N1196" s="180">
        <f t="shared" si="78"/>
        <v>-2.677396421062185E-3</v>
      </c>
      <c r="O1196" s="180">
        <f t="shared" si="79"/>
        <v>2.0634329484946548E-3</v>
      </c>
    </row>
    <row r="1197" spans="9:15" x14ac:dyDescent="0.35">
      <c r="I1197" s="408" t="s">
        <v>1211</v>
      </c>
      <c r="J1197" s="409">
        <v>66109</v>
      </c>
      <c r="K1197" s="407">
        <v>993.49</v>
      </c>
      <c r="L1197" s="41">
        <f t="shared" si="76"/>
        <v>-2.677396421062185E-3</v>
      </c>
      <c r="M1197" s="41">
        <f t="shared" si="77"/>
        <v>2.0634329484946548E-3</v>
      </c>
      <c r="N1197" s="180">
        <f t="shared" si="78"/>
        <v>0</v>
      </c>
      <c r="O1197" s="180">
        <f t="shared" si="79"/>
        <v>5.9537671753019869E-3</v>
      </c>
    </row>
    <row r="1198" spans="9:15" x14ac:dyDescent="0.35">
      <c r="I1198" s="408" t="s">
        <v>1212</v>
      </c>
      <c r="J1198" s="409">
        <v>66109</v>
      </c>
      <c r="K1198" s="407">
        <v>987.61</v>
      </c>
      <c r="L1198" s="41">
        <f t="shared" si="76"/>
        <v>0</v>
      </c>
      <c r="M1198" s="41">
        <f t="shared" si="77"/>
        <v>5.9537671753019869E-3</v>
      </c>
      <c r="N1198" s="180">
        <f t="shared" si="78"/>
        <v>6.7462613833642977E-3</v>
      </c>
      <c r="O1198" s="180">
        <f t="shared" si="79"/>
        <v>-3.7625839772429419E-3</v>
      </c>
    </row>
    <row r="1199" spans="9:15" x14ac:dyDescent="0.35">
      <c r="I1199" s="408" t="s">
        <v>1213</v>
      </c>
      <c r="J1199" s="409">
        <v>65666</v>
      </c>
      <c r="K1199" s="407">
        <v>991.34</v>
      </c>
      <c r="L1199" s="41">
        <f t="shared" si="76"/>
        <v>6.7462613833642977E-3</v>
      </c>
      <c r="M1199" s="41">
        <f t="shared" si="77"/>
        <v>-3.7625839772429419E-3</v>
      </c>
      <c r="N1199" s="180">
        <f t="shared" si="78"/>
        <v>-1.9866561189306985E-2</v>
      </c>
      <c r="O1199" s="180">
        <f t="shared" si="79"/>
        <v>3.4313477402702426E-3</v>
      </c>
    </row>
    <row r="1200" spans="9:15" x14ac:dyDescent="0.35">
      <c r="I1200" s="408" t="s">
        <v>1214</v>
      </c>
      <c r="J1200" s="409">
        <v>66997</v>
      </c>
      <c r="K1200" s="407">
        <v>987.95</v>
      </c>
      <c r="L1200" s="41">
        <f t="shared" si="76"/>
        <v>-1.9866561189306985E-2</v>
      </c>
      <c r="M1200" s="41">
        <f t="shared" si="77"/>
        <v>3.4313477402702426E-3</v>
      </c>
      <c r="N1200" s="180">
        <f t="shared" si="78"/>
        <v>6.6713746938530192E-3</v>
      </c>
      <c r="O1200" s="180">
        <f t="shared" si="79"/>
        <v>9.5237130322899924E-4</v>
      </c>
    </row>
    <row r="1201" spans="9:15" x14ac:dyDescent="0.35">
      <c r="I1201" s="408">
        <v>43443</v>
      </c>
      <c r="J1201" s="409">
        <v>66553</v>
      </c>
      <c r="K1201" s="407">
        <v>987.01</v>
      </c>
      <c r="L1201" s="41">
        <f t="shared" si="76"/>
        <v>6.6713746938530192E-3</v>
      </c>
      <c r="M1201" s="41">
        <f t="shared" si="77"/>
        <v>9.5237130322899924E-4</v>
      </c>
      <c r="N1201" s="180">
        <f t="shared" si="78"/>
        <v>0</v>
      </c>
      <c r="O1201" s="180">
        <f t="shared" si="79"/>
        <v>1.9795748482326412E-3</v>
      </c>
    </row>
    <row r="1202" spans="9:15" x14ac:dyDescent="0.35">
      <c r="I1202" s="408">
        <v>43413</v>
      </c>
      <c r="J1202" s="409">
        <v>66553</v>
      </c>
      <c r="K1202" s="407">
        <v>985.06</v>
      </c>
      <c r="L1202" s="41">
        <f t="shared" si="76"/>
        <v>0</v>
      </c>
      <c r="M1202" s="41">
        <f t="shared" si="77"/>
        <v>1.9795748482326412E-3</v>
      </c>
      <c r="N1202" s="180">
        <f t="shared" si="78"/>
        <v>1.0783226766702611E-2</v>
      </c>
      <c r="O1202" s="180">
        <f t="shared" si="79"/>
        <v>1.5169940433250111E-2</v>
      </c>
    </row>
    <row r="1203" spans="9:15" x14ac:dyDescent="0.35">
      <c r="I1203" s="408">
        <v>43382</v>
      </c>
      <c r="J1203" s="409">
        <v>65843</v>
      </c>
      <c r="K1203" s="407">
        <v>970.34</v>
      </c>
      <c r="L1203" s="41">
        <f t="shared" si="76"/>
        <v>1.0783226766702611E-2</v>
      </c>
      <c r="M1203" s="41">
        <f t="shared" si="77"/>
        <v>1.5169940433250111E-2</v>
      </c>
      <c r="N1203" s="180">
        <f t="shared" si="78"/>
        <v>4.0563002272138099E-3</v>
      </c>
      <c r="O1203" s="180">
        <f t="shared" si="79"/>
        <v>1.4862214882857411E-3</v>
      </c>
    </row>
    <row r="1204" spans="9:15" x14ac:dyDescent="0.35">
      <c r="I1204" s="408">
        <v>43290</v>
      </c>
      <c r="J1204" s="409">
        <v>65577</v>
      </c>
      <c r="K1204" s="407">
        <v>968.9</v>
      </c>
      <c r="L1204" s="41">
        <f t="shared" si="76"/>
        <v>4.0563002272138099E-3</v>
      </c>
      <c r="M1204" s="41">
        <f t="shared" si="77"/>
        <v>1.4862214882857411E-3</v>
      </c>
      <c r="N1204" s="180">
        <f t="shared" si="78"/>
        <v>1.3590276081114098E-3</v>
      </c>
      <c r="O1204" s="180">
        <f t="shared" si="79"/>
        <v>1.1177323912793833E-2</v>
      </c>
    </row>
    <row r="1205" spans="9:15" x14ac:dyDescent="0.35">
      <c r="I1205" s="408">
        <v>43260</v>
      </c>
      <c r="J1205" s="409">
        <v>65488</v>
      </c>
      <c r="K1205" s="407">
        <v>958.19</v>
      </c>
      <c r="L1205" s="41">
        <f t="shared" si="76"/>
        <v>1.3590276081114098E-3</v>
      </c>
      <c r="M1205" s="41">
        <f t="shared" si="77"/>
        <v>1.1177323912793833E-2</v>
      </c>
      <c r="N1205" s="180">
        <f t="shared" si="78"/>
        <v>-1.4684641309581126E-2</v>
      </c>
      <c r="O1205" s="180">
        <f t="shared" si="79"/>
        <v>-1.0584032051546817E-2</v>
      </c>
    </row>
    <row r="1206" spans="9:15" x14ac:dyDescent="0.35">
      <c r="I1206" s="408">
        <v>43229</v>
      </c>
      <c r="J1206" s="409">
        <v>66464</v>
      </c>
      <c r="K1206" s="407">
        <v>968.44</v>
      </c>
      <c r="L1206" s="41">
        <f t="shared" si="76"/>
        <v>-1.4684641309581126E-2</v>
      </c>
      <c r="M1206" s="41">
        <f t="shared" si="77"/>
        <v>-1.0584032051546817E-2</v>
      </c>
      <c r="N1206" s="180">
        <f t="shared" si="78"/>
        <v>-1.9632716277011578E-2</v>
      </c>
      <c r="O1206" s="180">
        <f t="shared" si="79"/>
        <v>-7.6848986618029795E-3</v>
      </c>
    </row>
    <row r="1207" spans="9:15" x14ac:dyDescent="0.35">
      <c r="I1207" s="408">
        <v>43199</v>
      </c>
      <c r="J1207" s="409">
        <v>67795</v>
      </c>
      <c r="K1207" s="407">
        <v>975.94</v>
      </c>
      <c r="L1207" s="41">
        <f t="shared" si="76"/>
        <v>-1.9632716277011578E-2</v>
      </c>
      <c r="M1207" s="41">
        <f t="shared" si="77"/>
        <v>-7.6848986618029795E-3</v>
      </c>
      <c r="N1207" s="180">
        <f t="shared" si="78"/>
        <v>0</v>
      </c>
      <c r="O1207" s="180">
        <f t="shared" si="79"/>
        <v>-1.3743759726741626E-2</v>
      </c>
    </row>
    <row r="1208" spans="9:15" x14ac:dyDescent="0.35">
      <c r="I1208" s="408" t="s">
        <v>1215</v>
      </c>
      <c r="J1208" s="409">
        <v>67795</v>
      </c>
      <c r="K1208" s="407">
        <v>989.54</v>
      </c>
      <c r="L1208" s="41">
        <f t="shared" si="76"/>
        <v>0</v>
      </c>
      <c r="M1208" s="41">
        <f t="shared" si="77"/>
        <v>-1.3743759726741626E-2</v>
      </c>
      <c r="N1208" s="180">
        <f t="shared" si="78"/>
        <v>-1.3110600436037948E-3</v>
      </c>
      <c r="O1208" s="180">
        <f t="shared" si="79"/>
        <v>-8.5464947348383238E-3</v>
      </c>
    </row>
    <row r="1209" spans="9:15" x14ac:dyDescent="0.35">
      <c r="I1209" s="408" t="s">
        <v>1216</v>
      </c>
      <c r="J1209" s="409">
        <v>67884</v>
      </c>
      <c r="K1209" s="407">
        <v>998.07</v>
      </c>
      <c r="L1209" s="41">
        <f t="shared" si="76"/>
        <v>-1.3110600436037948E-3</v>
      </c>
      <c r="M1209" s="41">
        <f t="shared" si="77"/>
        <v>-8.5464947348383238E-3</v>
      </c>
      <c r="N1209" s="180">
        <f t="shared" si="78"/>
        <v>4.6849458717577029E-2</v>
      </c>
      <c r="O1209" s="180">
        <f t="shared" si="79"/>
        <v>1.0018519080725069E-2</v>
      </c>
    </row>
    <row r="1210" spans="9:15" x14ac:dyDescent="0.35">
      <c r="I1210" s="408" t="s">
        <v>1217</v>
      </c>
      <c r="J1210" s="409">
        <v>64846</v>
      </c>
      <c r="K1210" s="407">
        <v>988.17</v>
      </c>
      <c r="L1210" s="41">
        <f t="shared" si="76"/>
        <v>4.6849458717577029E-2</v>
      </c>
      <c r="M1210" s="41">
        <f t="shared" si="77"/>
        <v>1.0018519080725069E-2</v>
      </c>
      <c r="N1210" s="180">
        <f t="shared" si="78"/>
        <v>1.0518770160976142E-2</v>
      </c>
      <c r="O1210" s="180">
        <f t="shared" si="79"/>
        <v>-7.0539294004160966E-3</v>
      </c>
    </row>
    <row r="1211" spans="9:15" x14ac:dyDescent="0.35">
      <c r="I1211" s="408" t="s">
        <v>1218</v>
      </c>
      <c r="J1211" s="409">
        <v>64171</v>
      </c>
      <c r="K1211" s="407">
        <v>995.19</v>
      </c>
      <c r="L1211" s="41">
        <f t="shared" si="76"/>
        <v>1.0518770160976142E-2</v>
      </c>
      <c r="M1211" s="41">
        <f t="shared" si="77"/>
        <v>-7.0539294004160966E-3</v>
      </c>
      <c r="N1211" s="180">
        <f t="shared" si="78"/>
        <v>0</v>
      </c>
      <c r="O1211" s="180">
        <f t="shared" si="79"/>
        <v>3.2966368255505441E-3</v>
      </c>
    </row>
    <row r="1212" spans="9:15" x14ac:dyDescent="0.35">
      <c r="I1212" s="408" t="s">
        <v>1219</v>
      </c>
      <c r="J1212" s="409">
        <v>64171</v>
      </c>
      <c r="K1212" s="407">
        <v>991.92</v>
      </c>
      <c r="L1212" s="41">
        <f t="shared" si="76"/>
        <v>0</v>
      </c>
      <c r="M1212" s="41">
        <f t="shared" si="77"/>
        <v>3.2966368255505441E-3</v>
      </c>
      <c r="N1212" s="180">
        <f t="shared" si="78"/>
        <v>0</v>
      </c>
      <c r="O1212" s="180">
        <f t="shared" si="79"/>
        <v>4.9338939263461881E-3</v>
      </c>
    </row>
    <row r="1213" spans="9:15" x14ac:dyDescent="0.35">
      <c r="I1213" s="408" t="s">
        <v>1220</v>
      </c>
      <c r="J1213" s="409">
        <v>64171</v>
      </c>
      <c r="K1213" s="407">
        <v>987.05</v>
      </c>
      <c r="L1213" s="41">
        <f t="shared" si="76"/>
        <v>0</v>
      </c>
      <c r="M1213" s="41">
        <f t="shared" si="77"/>
        <v>4.9338939263461881E-3</v>
      </c>
      <c r="N1213" s="180">
        <f t="shared" si="78"/>
        <v>-5.2395789734765693E-3</v>
      </c>
      <c r="O1213" s="180">
        <f t="shared" si="79"/>
        <v>-3.1396856263172411E-4</v>
      </c>
    </row>
    <row r="1214" spans="9:15" x14ac:dyDescent="0.35">
      <c r="I1214" s="408" t="s">
        <v>1221</v>
      </c>
      <c r="J1214" s="409">
        <v>64509</v>
      </c>
      <c r="K1214" s="407">
        <v>987.36</v>
      </c>
      <c r="L1214" s="41">
        <f t="shared" si="76"/>
        <v>-5.2395789734765693E-3</v>
      </c>
      <c r="M1214" s="41">
        <f t="shared" si="77"/>
        <v>-3.1396856263172411E-4</v>
      </c>
      <c r="N1214" s="180">
        <f t="shared" si="78"/>
        <v>0</v>
      </c>
      <c r="O1214" s="180">
        <f t="shared" si="79"/>
        <v>5.3046886931731778E-3</v>
      </c>
    </row>
    <row r="1215" spans="9:15" x14ac:dyDescent="0.35">
      <c r="I1215" s="408" t="s">
        <v>1222</v>
      </c>
      <c r="J1215" s="409">
        <v>64509</v>
      </c>
      <c r="K1215" s="407">
        <v>982.15</v>
      </c>
      <c r="L1215" s="41">
        <f t="shared" si="76"/>
        <v>0</v>
      </c>
      <c r="M1215" s="41">
        <f t="shared" si="77"/>
        <v>5.3046886931731778E-3</v>
      </c>
      <c r="N1215" s="180">
        <f t="shared" si="78"/>
        <v>1.5969761398535318E-2</v>
      </c>
      <c r="O1215" s="180">
        <f t="shared" si="79"/>
        <v>3.0024203184198903E-3</v>
      </c>
    </row>
    <row r="1216" spans="9:15" x14ac:dyDescent="0.35">
      <c r="I1216" s="408" t="s">
        <v>1223</v>
      </c>
      <c r="J1216" s="409">
        <v>63495</v>
      </c>
      <c r="K1216" s="407">
        <v>979.21</v>
      </c>
      <c r="L1216" s="41">
        <f t="shared" si="76"/>
        <v>1.5969761398535318E-2</v>
      </c>
      <c r="M1216" s="41">
        <f t="shared" si="77"/>
        <v>3.0024203184198903E-3</v>
      </c>
      <c r="N1216" s="180">
        <f t="shared" si="78"/>
        <v>1.6212669248743639E-2</v>
      </c>
      <c r="O1216" s="180">
        <f t="shared" si="79"/>
        <v>9.8904725562591854E-3</v>
      </c>
    </row>
    <row r="1217" spans="9:15" x14ac:dyDescent="0.35">
      <c r="I1217" s="408" t="s">
        <v>1224</v>
      </c>
      <c r="J1217" s="409">
        <v>62482</v>
      </c>
      <c r="K1217" s="407">
        <v>969.62</v>
      </c>
      <c r="L1217" s="41">
        <f t="shared" si="76"/>
        <v>1.6212669248743639E-2</v>
      </c>
      <c r="M1217" s="41">
        <f t="shared" si="77"/>
        <v>9.8904725562591854E-3</v>
      </c>
      <c r="N1217" s="180">
        <f t="shared" si="78"/>
        <v>-1.5954012126939129E-2</v>
      </c>
      <c r="O1217" s="180">
        <f t="shared" si="79"/>
        <v>7.6376847494014641E-4</v>
      </c>
    </row>
    <row r="1218" spans="9:15" x14ac:dyDescent="0.35">
      <c r="I1218" s="408" t="s">
        <v>1225</v>
      </c>
      <c r="J1218" s="409">
        <v>63495</v>
      </c>
      <c r="K1218" s="407">
        <v>968.88</v>
      </c>
      <c r="L1218" s="41">
        <f t="shared" si="76"/>
        <v>-1.5954012126939129E-2</v>
      </c>
      <c r="M1218" s="41">
        <f t="shared" si="77"/>
        <v>7.6376847494014641E-4</v>
      </c>
      <c r="N1218" s="180">
        <f t="shared" si="78"/>
        <v>0</v>
      </c>
      <c r="O1218" s="180">
        <f t="shared" si="79"/>
        <v>4.770398639399368E-3</v>
      </c>
    </row>
    <row r="1219" spans="9:15" x14ac:dyDescent="0.35">
      <c r="I1219" s="408" t="s">
        <v>1226</v>
      </c>
      <c r="J1219" s="409">
        <v>63495</v>
      </c>
      <c r="K1219" s="407">
        <v>964.28</v>
      </c>
      <c r="L1219" s="41">
        <f t="shared" si="76"/>
        <v>0</v>
      </c>
      <c r="M1219" s="41">
        <f t="shared" si="77"/>
        <v>4.770398639399368E-3</v>
      </c>
      <c r="N1219" s="180">
        <f t="shared" si="78"/>
        <v>0</v>
      </c>
      <c r="O1219" s="180">
        <f t="shared" si="79"/>
        <v>3.026930318191714E-3</v>
      </c>
    </row>
    <row r="1220" spans="9:15" x14ac:dyDescent="0.35">
      <c r="I1220" s="408" t="s">
        <v>1227</v>
      </c>
      <c r="J1220" s="409">
        <v>63495</v>
      </c>
      <c r="K1220" s="407">
        <v>961.37</v>
      </c>
      <c r="L1220" s="41">
        <f t="shared" ref="L1220:L1252" si="80">(J1219-J1220)/J1220</f>
        <v>0</v>
      </c>
      <c r="M1220" s="41">
        <f t="shared" ref="M1220:M1252" si="81">(K1219-K1220)/K1220</f>
        <v>3.026930318191714E-3</v>
      </c>
      <c r="N1220" s="180">
        <f t="shared" si="78"/>
        <v>1.0744985673352435E-2</v>
      </c>
      <c r="O1220" s="180">
        <f t="shared" si="79"/>
        <v>-1.7275394318541894E-2</v>
      </c>
    </row>
    <row r="1221" spans="9:15" x14ac:dyDescent="0.35">
      <c r="I1221" s="408" t="s">
        <v>1228</v>
      </c>
      <c r="J1221" s="409">
        <v>62820</v>
      </c>
      <c r="K1221" s="407">
        <v>978.27</v>
      </c>
      <c r="L1221" s="41">
        <f t="shared" si="80"/>
        <v>1.0744985673352435E-2</v>
      </c>
      <c r="M1221" s="41">
        <f t="shared" si="81"/>
        <v>-1.7275394318541894E-2</v>
      </c>
      <c r="N1221" s="180">
        <f t="shared" si="78"/>
        <v>1.0877960865087539E-2</v>
      </c>
      <c r="O1221" s="180">
        <f t="shared" si="79"/>
        <v>2.3516420596296492E-4</v>
      </c>
    </row>
    <row r="1222" spans="9:15" x14ac:dyDescent="0.35">
      <c r="I1222" s="408" t="s">
        <v>1229</v>
      </c>
      <c r="J1222" s="409">
        <v>62144</v>
      </c>
      <c r="K1222" s="407">
        <v>978.04</v>
      </c>
      <c r="L1222" s="41">
        <f t="shared" si="80"/>
        <v>1.0877960865087539E-2</v>
      </c>
      <c r="M1222" s="41">
        <f t="shared" si="81"/>
        <v>2.3516420596296492E-4</v>
      </c>
      <c r="N1222" s="180">
        <f t="shared" si="78"/>
        <v>-4.3419049907874709E-3</v>
      </c>
      <c r="O1222" s="180">
        <f t="shared" si="79"/>
        <v>9.8815657686866249E-3</v>
      </c>
    </row>
    <row r="1223" spans="9:15" x14ac:dyDescent="0.35">
      <c r="I1223" s="408">
        <v>43381</v>
      </c>
      <c r="J1223" s="409">
        <v>62415</v>
      </c>
      <c r="K1223" s="407">
        <v>968.47</v>
      </c>
      <c r="L1223" s="41">
        <f t="shared" si="80"/>
        <v>-4.3419049907874709E-3</v>
      </c>
      <c r="M1223" s="41">
        <f t="shared" si="81"/>
        <v>9.8815657686866249E-3</v>
      </c>
      <c r="N1223" s="180">
        <f t="shared" si="78"/>
        <v>-9.6472716309918601E-3</v>
      </c>
      <c r="O1223" s="180">
        <f t="shared" si="79"/>
        <v>5.158277114686069E-3</v>
      </c>
    </row>
    <row r="1224" spans="9:15" x14ac:dyDescent="0.35">
      <c r="I1224" s="408">
        <v>43351</v>
      </c>
      <c r="J1224" s="409">
        <v>63023</v>
      </c>
      <c r="K1224" s="407">
        <v>963.5</v>
      </c>
      <c r="L1224" s="41">
        <f t="shared" si="80"/>
        <v>-9.6472716309918601E-3</v>
      </c>
      <c r="M1224" s="41">
        <f t="shared" si="81"/>
        <v>5.158277114686069E-3</v>
      </c>
      <c r="N1224" s="180">
        <f t="shared" si="78"/>
        <v>6.9963668466266005E-2</v>
      </c>
      <c r="O1224" s="180">
        <f t="shared" si="79"/>
        <v>-2.8666935742597639E-3</v>
      </c>
    </row>
    <row r="1225" spans="9:15" x14ac:dyDescent="0.35">
      <c r="I1225" s="408">
        <v>43320</v>
      </c>
      <c r="J1225" s="409">
        <v>58902</v>
      </c>
      <c r="K1225" s="407">
        <v>966.27</v>
      </c>
      <c r="L1225" s="41">
        <f t="shared" si="80"/>
        <v>6.9963668466266005E-2</v>
      </c>
      <c r="M1225" s="41">
        <f t="shared" si="81"/>
        <v>-2.8666935742597639E-3</v>
      </c>
      <c r="N1225" s="180">
        <f t="shared" si="78"/>
        <v>-4.5629689718109916E-3</v>
      </c>
      <c r="O1225" s="180">
        <f t="shared" si="79"/>
        <v>9.9081303107265116E-3</v>
      </c>
    </row>
    <row r="1226" spans="9:15" x14ac:dyDescent="0.35">
      <c r="I1226" s="408">
        <v>43289</v>
      </c>
      <c r="J1226" s="409">
        <v>59172</v>
      </c>
      <c r="K1226" s="407">
        <v>956.79</v>
      </c>
      <c r="L1226" s="41">
        <f t="shared" si="80"/>
        <v>-4.5629689718109916E-3</v>
      </c>
      <c r="M1226" s="41">
        <f t="shared" si="81"/>
        <v>9.9081303107265116E-3</v>
      </c>
      <c r="N1226" s="180">
        <f t="shared" si="78"/>
        <v>0</v>
      </c>
      <c r="O1226" s="180">
        <f t="shared" si="79"/>
        <v>-3.5824750320236345E-3</v>
      </c>
    </row>
    <row r="1227" spans="9:15" x14ac:dyDescent="0.35">
      <c r="I1227" s="408">
        <v>43259</v>
      </c>
      <c r="J1227" s="409">
        <v>59172</v>
      </c>
      <c r="K1227" s="407">
        <v>960.23</v>
      </c>
      <c r="L1227" s="41">
        <f t="shared" si="80"/>
        <v>0</v>
      </c>
      <c r="M1227" s="41">
        <f t="shared" si="81"/>
        <v>-3.5824750320236345E-3</v>
      </c>
      <c r="N1227" s="180">
        <f t="shared" si="78"/>
        <v>-2.6680264499786163E-2</v>
      </c>
      <c r="O1227" s="180">
        <f t="shared" si="79"/>
        <v>6.5652355147977851E-4</v>
      </c>
    </row>
    <row r="1228" spans="9:15" x14ac:dyDescent="0.35">
      <c r="I1228" s="408">
        <v>43167</v>
      </c>
      <c r="J1228" s="409">
        <v>60794</v>
      </c>
      <c r="K1228" s="407">
        <v>959.6</v>
      </c>
      <c r="L1228" s="41">
        <f t="shared" si="80"/>
        <v>-2.6680264499786163E-2</v>
      </c>
      <c r="M1228" s="41">
        <f t="shared" si="81"/>
        <v>6.5652355147977851E-4</v>
      </c>
      <c r="N1228" s="180">
        <f t="shared" si="78"/>
        <v>1.1197839475677635E-3</v>
      </c>
      <c r="O1228" s="180">
        <f t="shared" si="79"/>
        <v>6.3447118661843303E-3</v>
      </c>
    </row>
    <row r="1229" spans="9:15" x14ac:dyDescent="0.35">
      <c r="I1229" s="408">
        <v>43139</v>
      </c>
      <c r="J1229" s="409">
        <v>60726</v>
      </c>
      <c r="K1229" s="407">
        <v>953.55</v>
      </c>
      <c r="L1229" s="41">
        <f t="shared" si="80"/>
        <v>1.1197839475677635E-3</v>
      </c>
      <c r="M1229" s="41">
        <f t="shared" si="81"/>
        <v>6.3447118661843303E-3</v>
      </c>
      <c r="N1229" s="180">
        <f t="shared" si="78"/>
        <v>-2.7060802691660658E-2</v>
      </c>
      <c r="O1229" s="180">
        <f t="shared" si="79"/>
        <v>8.1866557511253788E-4</v>
      </c>
    </row>
    <row r="1230" spans="9:15" x14ac:dyDescent="0.35">
      <c r="I1230" s="408">
        <v>43108</v>
      </c>
      <c r="J1230" s="409">
        <v>62415</v>
      </c>
      <c r="K1230" s="407">
        <v>952.77</v>
      </c>
      <c r="L1230" s="41">
        <f t="shared" si="80"/>
        <v>-2.7060802691660658E-2</v>
      </c>
      <c r="M1230" s="41">
        <f t="shared" si="81"/>
        <v>8.1866557511253788E-4</v>
      </c>
      <c r="N1230" s="180">
        <f t="shared" si="78"/>
        <v>-1.3871992163430396E-2</v>
      </c>
      <c r="O1230" s="180">
        <f t="shared" si="79"/>
        <v>-3.785066761467607E-3</v>
      </c>
    </row>
    <row r="1231" spans="9:15" x14ac:dyDescent="0.35">
      <c r="I1231" s="408" t="s">
        <v>1230</v>
      </c>
      <c r="J1231" s="409">
        <v>63293</v>
      </c>
      <c r="K1231" s="407">
        <v>956.39</v>
      </c>
      <c r="L1231" s="41">
        <f t="shared" si="80"/>
        <v>-1.3871992163430396E-2</v>
      </c>
      <c r="M1231" s="41">
        <f t="shared" si="81"/>
        <v>-3.785066761467607E-3</v>
      </c>
      <c r="N1231" s="180">
        <f t="shared" si="78"/>
        <v>-3.1813528624301127E-3</v>
      </c>
      <c r="O1231" s="180">
        <f t="shared" si="79"/>
        <v>7.012519347604022E-3</v>
      </c>
    </row>
    <row r="1232" spans="9:15" x14ac:dyDescent="0.35">
      <c r="I1232" s="408" t="s">
        <v>1231</v>
      </c>
      <c r="J1232" s="409">
        <v>63495</v>
      </c>
      <c r="K1232" s="407">
        <v>949.73</v>
      </c>
      <c r="L1232" s="41">
        <f t="shared" si="80"/>
        <v>-3.1813528624301127E-3</v>
      </c>
      <c r="M1232" s="41">
        <f t="shared" si="81"/>
        <v>7.012519347604022E-3</v>
      </c>
      <c r="N1232" s="180">
        <f t="shared" si="78"/>
        <v>0</v>
      </c>
      <c r="O1232" s="180">
        <f t="shared" si="79"/>
        <v>1.5189413374380064E-2</v>
      </c>
    </row>
    <row r="1233" spans="9:15" x14ac:dyDescent="0.35">
      <c r="I1233" s="408" t="s">
        <v>1232</v>
      </c>
      <c r="J1233" s="409">
        <v>63495</v>
      </c>
      <c r="K1233" s="407">
        <v>935.52</v>
      </c>
      <c r="L1233" s="41">
        <f t="shared" si="80"/>
        <v>0</v>
      </c>
      <c r="M1233" s="41">
        <f t="shared" si="81"/>
        <v>1.5189413374380064E-2</v>
      </c>
      <c r="N1233" s="180">
        <f t="shared" si="78"/>
        <v>1.056315822665069E-3</v>
      </c>
      <c r="O1233" s="180">
        <f t="shared" si="79"/>
        <v>5.7624494710587573E-3</v>
      </c>
    </row>
    <row r="1234" spans="9:15" x14ac:dyDescent="0.35">
      <c r="I1234" s="408" t="s">
        <v>1233</v>
      </c>
      <c r="J1234" s="409">
        <v>63428</v>
      </c>
      <c r="K1234" s="407">
        <v>930.16</v>
      </c>
      <c r="L1234" s="41">
        <f t="shared" si="80"/>
        <v>1.056315822665069E-3</v>
      </c>
      <c r="M1234" s="41">
        <f t="shared" si="81"/>
        <v>5.7624494710587573E-3</v>
      </c>
      <c r="N1234" s="180">
        <f t="shared" si="78"/>
        <v>-1.0552011969446413E-3</v>
      </c>
      <c r="O1234" s="180">
        <f t="shared" si="79"/>
        <v>2.781431251212755E-3</v>
      </c>
    </row>
    <row r="1235" spans="9:15" x14ac:dyDescent="0.35">
      <c r="I1235" s="408" t="s">
        <v>1234</v>
      </c>
      <c r="J1235" s="409">
        <v>63495</v>
      </c>
      <c r="K1235" s="407">
        <v>927.58</v>
      </c>
      <c r="L1235" s="41">
        <f t="shared" si="80"/>
        <v>-1.0552011969446413E-3</v>
      </c>
      <c r="M1235" s="41">
        <f t="shared" si="81"/>
        <v>2.781431251212755E-3</v>
      </c>
      <c r="N1235" s="180">
        <f t="shared" si="78"/>
        <v>0</v>
      </c>
      <c r="O1235" s="180">
        <f t="shared" si="79"/>
        <v>-6.9587187392942786E-3</v>
      </c>
    </row>
    <row r="1236" spans="9:15" x14ac:dyDescent="0.35">
      <c r="I1236" s="408" t="s">
        <v>1235</v>
      </c>
      <c r="J1236" s="409">
        <v>63495</v>
      </c>
      <c r="K1236" s="407">
        <v>934.08</v>
      </c>
      <c r="L1236" s="41">
        <f t="shared" si="80"/>
        <v>0</v>
      </c>
      <c r="M1236" s="41">
        <f t="shared" si="81"/>
        <v>-6.9587187392942786E-3</v>
      </c>
      <c r="N1236" s="180">
        <f t="shared" si="78"/>
        <v>-3.392925066565234E-2</v>
      </c>
      <c r="O1236" s="180">
        <f t="shared" si="79"/>
        <v>-2.8396353310416638E-3</v>
      </c>
    </row>
    <row r="1237" spans="9:15" x14ac:dyDescent="0.35">
      <c r="I1237" s="408" t="s">
        <v>1236</v>
      </c>
      <c r="J1237" s="409">
        <v>65725</v>
      </c>
      <c r="K1237" s="407">
        <v>936.74</v>
      </c>
      <c r="L1237" s="41">
        <f t="shared" si="80"/>
        <v>-3.392925066565234E-2</v>
      </c>
      <c r="M1237" s="41">
        <f t="shared" si="81"/>
        <v>-2.8396353310416638E-3</v>
      </c>
      <c r="N1237" s="180">
        <f t="shared" si="78"/>
        <v>-4.0912190317448291E-3</v>
      </c>
      <c r="O1237" s="180">
        <f t="shared" si="79"/>
        <v>3.5890678065974811E-3</v>
      </c>
    </row>
    <row r="1238" spans="9:15" x14ac:dyDescent="0.35">
      <c r="I1238" s="408" t="s">
        <v>1237</v>
      </c>
      <c r="J1238" s="409">
        <v>65995</v>
      </c>
      <c r="K1238" s="407">
        <v>933.39</v>
      </c>
      <c r="L1238" s="41">
        <f t="shared" si="80"/>
        <v>-4.0912190317448291E-3</v>
      </c>
      <c r="M1238" s="41">
        <f t="shared" si="81"/>
        <v>3.5890678065974811E-3</v>
      </c>
      <c r="N1238" s="180">
        <f t="shared" si="78"/>
        <v>2.8424054479437751E-2</v>
      </c>
      <c r="O1238" s="180">
        <f t="shared" si="79"/>
        <v>-1.1207983304554213E-2</v>
      </c>
    </row>
    <row r="1239" spans="9:15" x14ac:dyDescent="0.35">
      <c r="I1239" s="408" t="s">
        <v>1238</v>
      </c>
      <c r="J1239" s="409">
        <v>64171</v>
      </c>
      <c r="K1239" s="407">
        <v>943.97</v>
      </c>
      <c r="L1239" s="41">
        <f t="shared" si="80"/>
        <v>2.8424054479437751E-2</v>
      </c>
      <c r="M1239" s="41">
        <f t="shared" si="81"/>
        <v>-1.1207983304554213E-2</v>
      </c>
      <c r="N1239" s="180">
        <f t="shared" si="78"/>
        <v>-1.0409277364833606E-2</v>
      </c>
      <c r="O1239" s="180">
        <f t="shared" si="79"/>
        <v>1.676588249026455E-3</v>
      </c>
    </row>
    <row r="1240" spans="9:15" x14ac:dyDescent="0.35">
      <c r="I1240" s="408" t="s">
        <v>1239</v>
      </c>
      <c r="J1240" s="409">
        <v>64846</v>
      </c>
      <c r="K1240" s="407">
        <v>942.39</v>
      </c>
      <c r="L1240" s="41">
        <f t="shared" si="80"/>
        <v>-1.0409277364833606E-2</v>
      </c>
      <c r="M1240" s="41">
        <f t="shared" si="81"/>
        <v>1.676588249026455E-3</v>
      </c>
      <c r="N1240" s="180">
        <f t="shared" si="78"/>
        <v>0</v>
      </c>
      <c r="O1240" s="180">
        <f t="shared" si="79"/>
        <v>2.2924875443681009E-2</v>
      </c>
    </row>
    <row r="1241" spans="9:15" x14ac:dyDescent="0.35">
      <c r="I1241" s="408" t="s">
        <v>1240</v>
      </c>
      <c r="J1241" s="409">
        <v>64846</v>
      </c>
      <c r="K1241" s="407">
        <v>921.27</v>
      </c>
      <c r="L1241" s="41">
        <f t="shared" si="80"/>
        <v>0</v>
      </c>
      <c r="M1241" s="41">
        <f t="shared" si="81"/>
        <v>2.2924875443681009E-2</v>
      </c>
      <c r="N1241" s="180">
        <f t="shared" si="78"/>
        <v>0</v>
      </c>
      <c r="O1241" s="180">
        <f t="shared" si="79"/>
        <v>1.1151233111259857E-2</v>
      </c>
    </row>
    <row r="1242" spans="9:15" x14ac:dyDescent="0.35">
      <c r="I1242" s="408" t="s">
        <v>1241</v>
      </c>
      <c r="J1242" s="409">
        <v>64846</v>
      </c>
      <c r="K1242" s="407">
        <v>911.11</v>
      </c>
      <c r="L1242" s="41">
        <f t="shared" si="80"/>
        <v>0</v>
      </c>
      <c r="M1242" s="41">
        <f t="shared" si="81"/>
        <v>1.1151233111259857E-2</v>
      </c>
      <c r="N1242" s="180">
        <f t="shared" si="78"/>
        <v>0</v>
      </c>
      <c r="O1242" s="180">
        <f t="shared" si="79"/>
        <v>1.5279426636767206E-3</v>
      </c>
    </row>
    <row r="1243" spans="9:15" x14ac:dyDescent="0.35">
      <c r="I1243" s="408" t="s">
        <v>1242</v>
      </c>
      <c r="J1243" s="409">
        <v>64846</v>
      </c>
      <c r="K1243" s="407">
        <v>909.72</v>
      </c>
      <c r="L1243" s="41">
        <f t="shared" si="80"/>
        <v>0</v>
      </c>
      <c r="M1243" s="41">
        <f t="shared" si="81"/>
        <v>1.5279426636767206E-3</v>
      </c>
      <c r="N1243" s="180">
        <f t="shared" si="78"/>
        <v>-2.0408779854071937E-2</v>
      </c>
      <c r="O1243" s="180">
        <f t="shared" si="79"/>
        <v>1.2476210615352123E-2</v>
      </c>
    </row>
    <row r="1244" spans="9:15" x14ac:dyDescent="0.35">
      <c r="I1244" s="408">
        <v>43441</v>
      </c>
      <c r="J1244" s="409">
        <v>66197</v>
      </c>
      <c r="K1244" s="407">
        <v>898.51</v>
      </c>
      <c r="L1244" s="41">
        <f t="shared" si="80"/>
        <v>-2.0408779854071937E-2</v>
      </c>
      <c r="M1244" s="41">
        <f t="shared" si="81"/>
        <v>1.2476210615352123E-2</v>
      </c>
      <c r="N1244" s="180">
        <f t="shared" si="78"/>
        <v>-3.0572289156626507E-3</v>
      </c>
      <c r="O1244" s="180">
        <f t="shared" si="79"/>
        <v>5.9899682027856407E-3</v>
      </c>
    </row>
    <row r="1245" spans="9:15" x14ac:dyDescent="0.35">
      <c r="I1245" s="408">
        <v>43411</v>
      </c>
      <c r="J1245" s="409">
        <v>66400</v>
      </c>
      <c r="K1245" s="407">
        <v>893.16</v>
      </c>
      <c r="L1245" s="41">
        <f t="shared" si="80"/>
        <v>-3.0572289156626507E-3</v>
      </c>
      <c r="M1245" s="41">
        <f t="shared" si="81"/>
        <v>5.9899682027856407E-3</v>
      </c>
      <c r="N1245" s="180">
        <f t="shared" si="78"/>
        <v>0</v>
      </c>
      <c r="O1245" s="180">
        <f t="shared" si="79"/>
        <v>-1.9712002809728724E-2</v>
      </c>
    </row>
    <row r="1246" spans="9:15" x14ac:dyDescent="0.35">
      <c r="I1246" s="408">
        <v>43380</v>
      </c>
      <c r="J1246" s="409">
        <v>66400</v>
      </c>
      <c r="K1246" s="407">
        <v>911.12</v>
      </c>
      <c r="L1246" s="41">
        <f t="shared" si="80"/>
        <v>0</v>
      </c>
      <c r="M1246" s="41">
        <f t="shared" si="81"/>
        <v>-1.9712002809728724E-2</v>
      </c>
      <c r="N1246" s="180">
        <f t="shared" si="78"/>
        <v>1.3400079362656818E-2</v>
      </c>
      <c r="O1246" s="180">
        <f t="shared" si="79"/>
        <v>-4.3710114520500044E-3</v>
      </c>
    </row>
    <row r="1247" spans="9:15" x14ac:dyDescent="0.35">
      <c r="I1247" s="408">
        <v>43350</v>
      </c>
      <c r="J1247" s="409">
        <v>65522</v>
      </c>
      <c r="K1247" s="407">
        <v>915.12</v>
      </c>
      <c r="L1247" s="41">
        <f t="shared" si="80"/>
        <v>1.3400079362656818E-2</v>
      </c>
      <c r="M1247" s="41">
        <f t="shared" si="81"/>
        <v>-4.3710114520500044E-3</v>
      </c>
      <c r="N1247" s="180">
        <f t="shared" si="78"/>
        <v>-1.0196836714654742E-2</v>
      </c>
      <c r="O1247" s="180">
        <f t="shared" si="79"/>
        <v>-2.6048762411308721E-3</v>
      </c>
    </row>
    <row r="1248" spans="9:15" x14ac:dyDescent="0.35">
      <c r="I1248" s="408">
        <v>43258</v>
      </c>
      <c r="J1248" s="409">
        <v>66197</v>
      </c>
      <c r="K1248" s="407">
        <v>917.51</v>
      </c>
      <c r="L1248" s="41">
        <f t="shared" si="80"/>
        <v>-1.0196836714654742E-2</v>
      </c>
      <c r="M1248" s="41">
        <f t="shared" si="81"/>
        <v>-2.6048762411308721E-3</v>
      </c>
      <c r="N1248" s="180">
        <f t="shared" si="78"/>
        <v>0</v>
      </c>
      <c r="O1248" s="180">
        <f t="shared" si="79"/>
        <v>2.0135645986213046E-2</v>
      </c>
    </row>
    <row r="1249" spans="9:15" x14ac:dyDescent="0.35">
      <c r="I1249" s="408">
        <v>43227</v>
      </c>
      <c r="J1249" s="409">
        <v>66197</v>
      </c>
      <c r="K1249" s="407">
        <v>899.4</v>
      </c>
      <c r="L1249" s="41">
        <f t="shared" si="80"/>
        <v>0</v>
      </c>
      <c r="M1249" s="41">
        <f t="shared" si="81"/>
        <v>2.0135645986213046E-2</v>
      </c>
      <c r="N1249" s="180">
        <f t="shared" si="78"/>
        <v>-3.0572289156626507E-3</v>
      </c>
      <c r="O1249" s="180">
        <f t="shared" si="79"/>
        <v>-1.7038437578552806E-2</v>
      </c>
    </row>
    <row r="1250" spans="9:15" x14ac:dyDescent="0.35">
      <c r="I1250" s="408">
        <v>43197</v>
      </c>
      <c r="J1250" s="409">
        <v>66400</v>
      </c>
      <c r="K1250" s="407">
        <v>914.99</v>
      </c>
      <c r="L1250" s="41">
        <f t="shared" si="80"/>
        <v>-3.0572289156626507E-3</v>
      </c>
      <c r="M1250" s="41">
        <f t="shared" si="81"/>
        <v>-1.7038437578552806E-2</v>
      </c>
      <c r="N1250" s="180">
        <f t="shared" ref="N1250:N1251" si="82">(J1250-J1251)/J1251</f>
        <v>0</v>
      </c>
      <c r="O1250" s="180">
        <f t="shared" si="79"/>
        <v>9.9115903797971534E-3</v>
      </c>
    </row>
    <row r="1251" spans="9:15" x14ac:dyDescent="0.35">
      <c r="I1251" s="408">
        <v>43166</v>
      </c>
      <c r="J1251" s="409">
        <v>66400</v>
      </c>
      <c r="K1251" s="407">
        <v>906.01</v>
      </c>
      <c r="L1251" s="41">
        <f t="shared" si="80"/>
        <v>0</v>
      </c>
      <c r="M1251" s="41">
        <f t="shared" si="81"/>
        <v>9.9115903797971534E-3</v>
      </c>
      <c r="N1251" s="180">
        <f t="shared" si="82"/>
        <v>-1.0230486850815431E-3</v>
      </c>
      <c r="O1251" s="180">
        <f t="shared" si="79"/>
        <v>-4.3435569867497213E-2</v>
      </c>
    </row>
    <row r="1252" spans="9:15" x14ac:dyDescent="0.35">
      <c r="I1252" s="408">
        <v>43138</v>
      </c>
      <c r="J1252" s="409">
        <v>66468</v>
      </c>
      <c r="K1252" s="407">
        <v>947.15</v>
      </c>
      <c r="L1252" s="41">
        <f t="shared" si="80"/>
        <v>-1.0230486850815431E-3</v>
      </c>
      <c r="M1252" s="41">
        <f t="shared" si="81"/>
        <v>-4.3435569867497213E-2</v>
      </c>
      <c r="N1252" s="180"/>
      <c r="O1252" s="180"/>
    </row>
    <row r="1253" spans="9:15" x14ac:dyDescent="0.35">
      <c r="I1253" s="158"/>
      <c r="J1253" s="158"/>
      <c r="K1253" s="158"/>
    </row>
  </sheetData>
  <mergeCells count="5">
    <mergeCell ref="A1:G1"/>
    <mergeCell ref="A9:G9"/>
    <mergeCell ref="D27:G27"/>
    <mergeCell ref="C24:E24"/>
    <mergeCell ref="A24:B24"/>
  </mergeCells>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220FD-3647-4153-B31D-ED7ED2954C91}">
  <sheetPr>
    <tabColor theme="9"/>
  </sheetPr>
  <dimension ref="A1:Q44"/>
  <sheetViews>
    <sheetView zoomScaleNormal="100" workbookViewId="0">
      <selection activeCell="E6" sqref="E6"/>
    </sheetView>
  </sheetViews>
  <sheetFormatPr defaultColWidth="8.81640625" defaultRowHeight="14.5" x14ac:dyDescent="0.35"/>
  <cols>
    <col min="1" max="1" width="33" bestFit="1" customWidth="1"/>
    <col min="2" max="7" width="17.1796875" bestFit="1" customWidth="1"/>
    <col min="8" max="8" width="19.81640625" customWidth="1"/>
    <col min="9" max="9" width="15.26953125" customWidth="1"/>
    <col min="10" max="10" width="15.1796875" customWidth="1"/>
    <col min="11" max="11" width="14.453125" customWidth="1"/>
    <col min="12" max="12" width="16.453125" customWidth="1"/>
    <col min="13" max="13" width="14.81640625" customWidth="1"/>
    <col min="14" max="14" width="15.1796875" customWidth="1"/>
    <col min="15" max="15" width="13.81640625" customWidth="1"/>
    <col min="16" max="17" width="15.6328125" customWidth="1"/>
  </cols>
  <sheetData>
    <row r="1" spans="1:17" x14ac:dyDescent="0.35">
      <c r="A1" s="347"/>
      <c r="B1" s="348">
        <v>2017</v>
      </c>
      <c r="C1" s="348">
        <v>2018</v>
      </c>
      <c r="D1" s="348">
        <v>2019</v>
      </c>
      <c r="E1" s="348">
        <v>2020</v>
      </c>
      <c r="F1" s="348">
        <v>2021</v>
      </c>
      <c r="G1" s="348">
        <v>2022</v>
      </c>
      <c r="H1" s="349" t="s">
        <v>1381</v>
      </c>
    </row>
    <row r="2" spans="1:17" x14ac:dyDescent="0.35">
      <c r="A2" s="343" t="s">
        <v>363</v>
      </c>
      <c r="B2" s="17">
        <f>FS!C2</f>
        <v>2497400717875</v>
      </c>
      <c r="C2" s="17">
        <f>FS!D2</f>
        <v>2855776350214</v>
      </c>
      <c r="D2" s="17">
        <f>FS!E2</f>
        <v>3252481516052</v>
      </c>
      <c r="E2" s="17">
        <f>FS!F2</f>
        <v>2684551950336</v>
      </c>
      <c r="F2" s="17">
        <f>FS!G2</f>
        <v>2668275093087</v>
      </c>
      <c r="G2" s="17">
        <f>FS!H2</f>
        <v>3520857948925</v>
      </c>
      <c r="H2" s="350">
        <v>4000000000000</v>
      </c>
    </row>
    <row r="3" spans="1:17" x14ac:dyDescent="0.35">
      <c r="A3" s="343" t="s">
        <v>1359</v>
      </c>
      <c r="B3" s="17"/>
      <c r="C3" s="153">
        <f t="shared" ref="C3:H3" si="0">(C2-B2)/B2</f>
        <v>0.14349945115893789</v>
      </c>
      <c r="D3" s="153">
        <f t="shared" si="0"/>
        <v>0.13891324711344169</v>
      </c>
      <c r="E3" s="153">
        <f t="shared" si="0"/>
        <v>-0.17461423313648128</v>
      </c>
      <c r="F3" s="153">
        <f t="shared" si="0"/>
        <v>-6.0631559940431696E-3</v>
      </c>
      <c r="G3" s="153">
        <f t="shared" si="0"/>
        <v>0.31952584575963783</v>
      </c>
      <c r="H3" s="351">
        <f t="shared" si="0"/>
        <v>0.13608673170733662</v>
      </c>
    </row>
    <row r="4" spans="1:17" x14ac:dyDescent="0.35">
      <c r="A4" s="343" t="s">
        <v>1331</v>
      </c>
      <c r="B4" s="352">
        <f>FS!C5</f>
        <v>983348288475</v>
      </c>
      <c r="C4" s="352">
        <f>FS!D5</f>
        <v>1132658815106</v>
      </c>
      <c r="D4" s="352">
        <f>FS!E5</f>
        <v>1275043310379</v>
      </c>
      <c r="E4" s="352">
        <f>FS!F5</f>
        <v>1110168170905</v>
      </c>
      <c r="F4" s="352">
        <f>FS!G5</f>
        <v>1211082176934</v>
      </c>
      <c r="G4" s="352">
        <f>FS!H5</f>
        <v>1606561650399</v>
      </c>
      <c r="H4" s="353"/>
    </row>
    <row r="5" spans="1:17" x14ac:dyDescent="0.35">
      <c r="A5" s="343" t="s">
        <v>1332</v>
      </c>
      <c r="B5" s="153">
        <f>B4/B2</f>
        <v>0.39374870097407355</v>
      </c>
      <c r="C5" s="153">
        <f t="shared" ref="C5:G5" si="1">C4/C2</f>
        <v>0.39662027981327153</v>
      </c>
      <c r="D5" s="153">
        <f t="shared" si="1"/>
        <v>0.39202169300156442</v>
      </c>
      <c r="E5" s="153">
        <f t="shared" si="1"/>
        <v>0.41353946261537267</v>
      </c>
      <c r="F5" s="153">
        <f t="shared" si="1"/>
        <v>0.45388205289315431</v>
      </c>
      <c r="G5" s="153">
        <f t="shared" si="1"/>
        <v>0.45629834367203614</v>
      </c>
      <c r="H5" s="353"/>
    </row>
    <row r="6" spans="1:17" x14ac:dyDescent="0.35">
      <c r="A6" s="343" t="s">
        <v>1333</v>
      </c>
      <c r="B6" s="352">
        <f>FS!C23</f>
        <v>268058082079</v>
      </c>
      <c r="C6" s="352">
        <f>FS!D23</f>
        <v>294384242148</v>
      </c>
      <c r="D6" s="352">
        <f>FS!E23</f>
        <v>349087049076</v>
      </c>
      <c r="E6" s="352">
        <f>FS!F23</f>
        <v>239845036749</v>
      </c>
      <c r="F6" s="352">
        <f>FS!G23</f>
        <v>276707413257</v>
      </c>
      <c r="G6" s="352">
        <f>FS!H23</f>
        <v>400937400515</v>
      </c>
      <c r="H6" s="350">
        <v>400000000000</v>
      </c>
    </row>
    <row r="7" spans="1:17" x14ac:dyDescent="0.35">
      <c r="A7" s="343" t="s">
        <v>1339</v>
      </c>
      <c r="B7" s="153">
        <f>B6/B2</f>
        <v>0.1073348302338467</v>
      </c>
      <c r="C7" s="153">
        <f t="shared" ref="C7:G7" si="2">C6/C2</f>
        <v>0.10308378740020732</v>
      </c>
      <c r="D7" s="153">
        <f t="shared" si="2"/>
        <v>0.10732944902319896</v>
      </c>
      <c r="E7" s="153">
        <f t="shared" si="2"/>
        <v>8.9342669162718519E-2</v>
      </c>
      <c r="F7" s="153">
        <f t="shared" si="2"/>
        <v>0.10370273064194055</v>
      </c>
      <c r="G7" s="153">
        <f t="shared" si="2"/>
        <v>0.11387491524258045</v>
      </c>
      <c r="H7" s="350"/>
    </row>
    <row r="8" spans="1:17" x14ac:dyDescent="0.35">
      <c r="A8" s="343" t="s">
        <v>1334</v>
      </c>
      <c r="B8" s="1">
        <f>FS!C89</f>
        <v>1059954775249</v>
      </c>
      <c r="C8" s="1">
        <f>FS!D89</f>
        <v>1268668396670</v>
      </c>
      <c r="D8" s="1">
        <f>FS!E89</f>
        <v>1806986871646</v>
      </c>
      <c r="E8" s="1">
        <f>FS!F89</f>
        <v>1748259636290</v>
      </c>
      <c r="F8" s="1">
        <f>FS!G89</f>
        <v>1825578447277</v>
      </c>
      <c r="G8" s="1">
        <f>FS!H89</f>
        <v>1957871756822</v>
      </c>
      <c r="H8" s="353"/>
    </row>
    <row r="9" spans="1:17" x14ac:dyDescent="0.35">
      <c r="A9" s="343" t="s">
        <v>1335</v>
      </c>
      <c r="B9" s="153">
        <f>B6/B8</f>
        <v>0.25289577285599657</v>
      </c>
      <c r="C9" s="153">
        <f t="shared" ref="C9:G9" si="3">C6/C8</f>
        <v>0.23204191333267193</v>
      </c>
      <c r="D9" s="153">
        <f t="shared" si="3"/>
        <v>0.19318737427129926</v>
      </c>
      <c r="E9" s="153">
        <f t="shared" si="3"/>
        <v>0.13719074202157847</v>
      </c>
      <c r="F9" s="153">
        <f t="shared" si="3"/>
        <v>0.15157245840064107</v>
      </c>
      <c r="G9" s="153">
        <f t="shared" si="3"/>
        <v>0.20478225865303762</v>
      </c>
      <c r="H9" s="353"/>
    </row>
    <row r="10" spans="1:17" x14ac:dyDescent="0.35">
      <c r="A10" s="343" t="s">
        <v>1336</v>
      </c>
      <c r="B10">
        <f>FS!C25</f>
        <v>4833</v>
      </c>
      <c r="C10">
        <f>FS!D25</f>
        <v>4031</v>
      </c>
      <c r="D10">
        <f>FS!E25</f>
        <v>4084</v>
      </c>
      <c r="E10">
        <f>FS!F25</f>
        <v>2775</v>
      </c>
      <c r="F10">
        <f>FS!G25</f>
        <v>3201</v>
      </c>
      <c r="G10">
        <f>FS!H25</f>
        <v>4643</v>
      </c>
      <c r="H10" s="353"/>
    </row>
    <row r="11" spans="1:17" x14ac:dyDescent="0.35">
      <c r="A11" s="343" t="s">
        <v>1340</v>
      </c>
      <c r="B11" s="71">
        <v>16</v>
      </c>
      <c r="C11">
        <v>12.21</v>
      </c>
      <c r="D11">
        <v>8.1999999999999993</v>
      </c>
      <c r="E11">
        <v>12.51</v>
      </c>
      <c r="F11">
        <v>12.82</v>
      </c>
      <c r="G11">
        <v>9.8800000000000008</v>
      </c>
      <c r="H11" s="354">
        <f>AVERAGE(C11:G11)</f>
        <v>11.124000000000001</v>
      </c>
      <c r="I11" t="s">
        <v>1383</v>
      </c>
      <c r="Q11" s="57"/>
    </row>
    <row r="12" spans="1:17" x14ac:dyDescent="0.35">
      <c r="A12" s="343" t="s">
        <v>1337</v>
      </c>
      <c r="C12" s="153">
        <f>(C2-B2)/B2</f>
        <v>0.14349945115893789</v>
      </c>
      <c r="D12" s="153">
        <f t="shared" ref="D12:G12" si="4">(D2-C2)/C2</f>
        <v>0.13891324711344169</v>
      </c>
      <c r="E12" s="153">
        <f t="shared" si="4"/>
        <v>-0.17461423313648128</v>
      </c>
      <c r="F12" s="153">
        <f t="shared" si="4"/>
        <v>-6.0631559940431696E-3</v>
      </c>
      <c r="G12" s="153">
        <f t="shared" si="4"/>
        <v>0.31952584575963783</v>
      </c>
      <c r="H12" s="353"/>
    </row>
    <row r="13" spans="1:17" ht="15" thickBot="1" x14ac:dyDescent="0.4">
      <c r="A13" s="345" t="s">
        <v>1338</v>
      </c>
      <c r="B13" s="62"/>
      <c r="C13" s="355">
        <f>(C6-B6)/B6</f>
        <v>9.8210655932550309E-2</v>
      </c>
      <c r="D13" s="355">
        <f t="shared" ref="D13:G13" si="5">(D6-C6)/C6</f>
        <v>0.18582111096999029</v>
      </c>
      <c r="E13" s="355">
        <f t="shared" si="5"/>
        <v>-0.31293630805311495</v>
      </c>
      <c r="F13" s="355">
        <f t="shared" si="5"/>
        <v>0.15369247163774671</v>
      </c>
      <c r="G13" s="355">
        <f t="shared" si="5"/>
        <v>0.44895792922836447</v>
      </c>
      <c r="H13" s="356"/>
    </row>
    <row r="15" spans="1:17" ht="15" thickBot="1" x14ac:dyDescent="0.4"/>
    <row r="16" spans="1:17" x14ac:dyDescent="0.35">
      <c r="A16" s="341" t="s">
        <v>1346</v>
      </c>
      <c r="B16" s="342">
        <f>FS!H28</f>
        <v>77794453</v>
      </c>
    </row>
    <row r="17" spans="1:17" x14ac:dyDescent="0.35">
      <c r="A17" s="343" t="s">
        <v>1546</v>
      </c>
      <c r="B17" s="344">
        <f>Beta!E20</f>
        <v>58700</v>
      </c>
    </row>
    <row r="18" spans="1:17" ht="29.5" thickBot="1" x14ac:dyDescent="0.4">
      <c r="A18" s="345" t="s">
        <v>1384</v>
      </c>
      <c r="B18" s="346" t="s">
        <v>1347</v>
      </c>
      <c r="E18" s="149"/>
    </row>
    <row r="20" spans="1:17" ht="15" thickBot="1" x14ac:dyDescent="0.4">
      <c r="B20" s="637">
        <v>2020</v>
      </c>
      <c r="C20" s="637"/>
      <c r="D20" s="637"/>
      <c r="E20" s="637"/>
      <c r="F20" s="637">
        <v>2021</v>
      </c>
      <c r="G20" s="637"/>
      <c r="H20" s="637"/>
      <c r="I20" s="637"/>
      <c r="J20" s="637">
        <v>2022</v>
      </c>
      <c r="K20" s="637"/>
      <c r="L20" s="637"/>
      <c r="M20" s="637"/>
      <c r="N20" s="637">
        <v>2023</v>
      </c>
      <c r="O20" s="637"/>
      <c r="P20" s="637"/>
      <c r="Q20" s="637"/>
    </row>
    <row r="21" spans="1:17" x14ac:dyDescent="0.35">
      <c r="A21" s="373"/>
      <c r="B21" s="369" t="s">
        <v>1348</v>
      </c>
      <c r="C21" s="369" t="s">
        <v>1349</v>
      </c>
      <c r="D21" s="369" t="s">
        <v>1350</v>
      </c>
      <c r="E21" s="369" t="s">
        <v>1351</v>
      </c>
      <c r="F21" s="369" t="s">
        <v>1348</v>
      </c>
      <c r="G21" s="369" t="s">
        <v>1349</v>
      </c>
      <c r="H21" s="369" t="s">
        <v>1350</v>
      </c>
      <c r="I21" s="369" t="s">
        <v>1351</v>
      </c>
      <c r="J21" s="369" t="s">
        <v>1348</v>
      </c>
      <c r="K21" s="369" t="s">
        <v>1349</v>
      </c>
      <c r="L21" s="369" t="s">
        <v>1350</v>
      </c>
      <c r="M21" s="369" t="s">
        <v>1351</v>
      </c>
      <c r="N21" s="370" t="s">
        <v>1348</v>
      </c>
      <c r="O21" s="362" t="s">
        <v>1349</v>
      </c>
      <c r="P21" s="362" t="s">
        <v>1350</v>
      </c>
      <c r="Q21" s="349" t="s">
        <v>1351</v>
      </c>
    </row>
    <row r="22" spans="1:17" x14ac:dyDescent="0.35">
      <c r="A22" s="374" t="s">
        <v>1342</v>
      </c>
      <c r="B22" s="1">
        <v>472595050</v>
      </c>
      <c r="C22" s="1">
        <v>660174709</v>
      </c>
      <c r="D22" s="1">
        <v>840967370</v>
      </c>
      <c r="E22" s="1">
        <v>764663437</v>
      </c>
      <c r="F22" s="1">
        <v>684661125</v>
      </c>
      <c r="G22" s="1">
        <v>756961777</v>
      </c>
      <c r="H22" s="1">
        <v>451548091</v>
      </c>
      <c r="I22" s="1">
        <v>793679518</v>
      </c>
      <c r="J22" s="1">
        <v>796607296</v>
      </c>
      <c r="K22" s="1">
        <v>1092606560</v>
      </c>
      <c r="L22" s="1">
        <v>908712378</v>
      </c>
      <c r="M22" s="1">
        <v>752479458</v>
      </c>
      <c r="N22" s="344">
        <v>941710281</v>
      </c>
      <c r="O22" s="1">
        <f>K22*(1+$H$3)</f>
        <v>1241295815.7923961</v>
      </c>
      <c r="P22" s="1">
        <f>L22*(1+$H$3)</f>
        <v>1032376075.5840219</v>
      </c>
      <c r="Q22" s="344">
        <f>M22*(1+$H$3)</f>
        <v>854881928.11612809</v>
      </c>
    </row>
    <row r="23" spans="1:17" x14ac:dyDescent="0.35">
      <c r="A23" s="374" t="s">
        <v>1343</v>
      </c>
      <c r="F23" s="153">
        <f>(F22-B22)/B22</f>
        <v>0.44872682225512095</v>
      </c>
      <c r="G23" s="153">
        <f t="shared" ref="G23:N23" si="6">(G22-C22)/C22</f>
        <v>0.14660826396486509</v>
      </c>
      <c r="H23" s="153">
        <f t="shared" si="6"/>
        <v>-0.46306110426139363</v>
      </c>
      <c r="I23" s="153">
        <f t="shared" si="6"/>
        <v>3.7946212145095672E-2</v>
      </c>
      <c r="J23" s="153">
        <f t="shared" si="6"/>
        <v>0.16350595486197642</v>
      </c>
      <c r="K23" s="153">
        <f t="shared" si="6"/>
        <v>0.44341047751477153</v>
      </c>
      <c r="L23" s="153">
        <f t="shared" si="6"/>
        <v>1.0124376475328738</v>
      </c>
      <c r="M23" s="153">
        <f t="shared" si="6"/>
        <v>-5.1910196830857361E-2</v>
      </c>
      <c r="N23" s="363">
        <f t="shared" si="6"/>
        <v>0.18215121268485093</v>
      </c>
      <c r="O23" s="153">
        <f>(O22-K22)/K22</f>
        <v>0.13608673170733668</v>
      </c>
      <c r="P23" s="153">
        <f>(P22-L22)/L22</f>
        <v>0.13608673170733671</v>
      </c>
      <c r="Q23" s="363">
        <f>(Q22-M22)/M22</f>
        <v>0.13608673170733665</v>
      </c>
    </row>
    <row r="24" spans="1:17" x14ac:dyDescent="0.35">
      <c r="A24" s="374" t="s">
        <v>366</v>
      </c>
      <c r="B24" s="1">
        <v>135534216</v>
      </c>
      <c r="C24" s="1">
        <v>215802882</v>
      </c>
      <c r="D24" s="1">
        <v>361404474</v>
      </c>
      <c r="E24" s="1">
        <v>316999584</v>
      </c>
      <c r="F24" s="1">
        <v>285270522</v>
      </c>
      <c r="G24" s="1">
        <v>325494416</v>
      </c>
      <c r="H24" s="1">
        <v>165911165</v>
      </c>
      <c r="I24" s="1">
        <v>350486645</v>
      </c>
      <c r="J24" s="1">
        <v>337826135</v>
      </c>
      <c r="K24" s="1">
        <v>486091492</v>
      </c>
      <c r="L24" s="1">
        <v>403887763</v>
      </c>
      <c r="M24" s="1">
        <v>296270626</v>
      </c>
      <c r="N24" s="344">
        <v>384490255</v>
      </c>
      <c r="O24" s="1">
        <f>K24*(1+$H$3)</f>
        <v>552242094.45702302</v>
      </c>
      <c r="P24" s="1">
        <f>L24*(1+$H$3)</f>
        <v>458851528.64325738</v>
      </c>
      <c r="Q24" s="344">
        <f>M24*(1+$H$3)</f>
        <v>336589127.1932267</v>
      </c>
    </row>
    <row r="25" spans="1:17" x14ac:dyDescent="0.35">
      <c r="A25" s="374" t="s">
        <v>1344</v>
      </c>
      <c r="F25" s="153">
        <f>(F24-B24)/B24</f>
        <v>1.1047860121166746</v>
      </c>
      <c r="G25" s="153">
        <f t="shared" ref="G25:N25" si="7">(G24-C24)/C24</f>
        <v>0.50829503750556959</v>
      </c>
      <c r="H25" s="153">
        <f t="shared" si="7"/>
        <v>-0.54092664331543394</v>
      </c>
      <c r="I25" s="153">
        <f t="shared" si="7"/>
        <v>0.10563755503224888</v>
      </c>
      <c r="J25" s="153">
        <f t="shared" si="7"/>
        <v>0.18423078778535695</v>
      </c>
      <c r="K25" s="153">
        <f t="shared" si="7"/>
        <v>0.49339425841333018</v>
      </c>
      <c r="L25" s="153">
        <f t="shared" si="7"/>
        <v>1.4343615633101003</v>
      </c>
      <c r="M25" s="153">
        <f t="shared" si="7"/>
        <v>-0.1546878312581639</v>
      </c>
      <c r="N25" s="363">
        <f t="shared" si="7"/>
        <v>0.13813058009854684</v>
      </c>
      <c r="O25" s="153">
        <f>(O24-K24)/K24</f>
        <v>0.13608673170733673</v>
      </c>
      <c r="P25" s="153">
        <f>(P24-L24)/L24</f>
        <v>0.13608673170733668</v>
      </c>
      <c r="Q25" s="363">
        <f>(Q24-M24)/M24</f>
        <v>0.13608673170733671</v>
      </c>
    </row>
    <row r="26" spans="1:17" x14ac:dyDescent="0.35">
      <c r="A26" s="374" t="s">
        <v>1333</v>
      </c>
      <c r="B26" s="1">
        <v>-19933690</v>
      </c>
      <c r="C26" s="1">
        <v>37030675</v>
      </c>
      <c r="D26" s="1">
        <v>128651103</v>
      </c>
      <c r="E26" s="1">
        <v>94096949</v>
      </c>
      <c r="F26" s="1">
        <v>84969369</v>
      </c>
      <c r="G26" s="1">
        <v>91042208</v>
      </c>
      <c r="H26" s="1">
        <v>3691207</v>
      </c>
      <c r="I26" s="1">
        <v>97004630</v>
      </c>
      <c r="J26" s="1">
        <v>114638879</v>
      </c>
      <c r="K26" s="1">
        <v>185527268</v>
      </c>
      <c r="L26" s="1">
        <v>103744624</v>
      </c>
      <c r="M26" s="1">
        <v>-2539880</v>
      </c>
      <c r="N26" s="344">
        <v>100706186</v>
      </c>
      <c r="O26" s="1">
        <f>K26*(1+$H$3)</f>
        <v>210775067.54471114</v>
      </c>
      <c r="P26" s="1">
        <f>L26*(1+$H$3)</f>
        <v>117862890.81236652</v>
      </c>
      <c r="Q26" s="344">
        <f>M26*(1+$H$3)</f>
        <v>-2885523.9681288302</v>
      </c>
    </row>
    <row r="27" spans="1:17" x14ac:dyDescent="0.35">
      <c r="A27" s="374" t="s">
        <v>1365</v>
      </c>
      <c r="B27" s="1"/>
      <c r="C27" s="1"/>
      <c r="D27" s="1"/>
      <c r="E27" s="1"/>
      <c r="F27" s="153">
        <f>IF(AND(B26&lt;0,(F26-B26)&gt;0),(F26-B26)/((-1)*B26),(F26-B26)/B26)</f>
        <v>5.2626011039601801</v>
      </c>
      <c r="G27" s="153">
        <f t="shared" ref="G27:Q27" si="8">IF(AND(C26&lt;0,(G26-C26)&gt;0),(G26-C26)/((-1)*C26),(G26-C26)/C26)</f>
        <v>1.4585619354764665</v>
      </c>
      <c r="H27" s="153">
        <f t="shared" si="8"/>
        <v>-0.97130839212470643</v>
      </c>
      <c r="I27" s="153">
        <f t="shared" si="8"/>
        <v>3.0900906255738429E-2</v>
      </c>
      <c r="J27" s="153">
        <f t="shared" si="8"/>
        <v>0.34917889057173063</v>
      </c>
      <c r="K27" s="153">
        <f t="shared" si="8"/>
        <v>1.0378159984872071</v>
      </c>
      <c r="L27" s="153">
        <f t="shared" si="8"/>
        <v>27.105880813511678</v>
      </c>
      <c r="M27" s="153">
        <f t="shared" si="8"/>
        <v>-1.0261830801272063</v>
      </c>
      <c r="N27" s="363">
        <f t="shared" si="8"/>
        <v>-0.12153549582423952</v>
      </c>
      <c r="O27" s="153">
        <f t="shared" si="8"/>
        <v>0.13608673170733665</v>
      </c>
      <c r="P27" s="153">
        <f t="shared" si="8"/>
        <v>0.13608673170733662</v>
      </c>
      <c r="Q27" s="363">
        <f t="shared" si="8"/>
        <v>0.13608673170733665</v>
      </c>
    </row>
    <row r="28" spans="1:17" x14ac:dyDescent="0.35">
      <c r="A28" s="374" t="s">
        <v>1335</v>
      </c>
      <c r="B28" s="365">
        <v>-1.1299999999999999</v>
      </c>
      <c r="C28" s="365">
        <v>2.16</v>
      </c>
      <c r="D28" s="365">
        <v>7.51</v>
      </c>
      <c r="E28" s="365">
        <v>5.43</v>
      </c>
      <c r="F28" s="365">
        <v>4.78</v>
      </c>
      <c r="G28" s="365">
        <v>4.93</v>
      </c>
      <c r="H28" s="365">
        <v>0.2</v>
      </c>
      <c r="I28" s="365">
        <v>5.4</v>
      </c>
      <c r="J28" s="365">
        <v>6.14</v>
      </c>
      <c r="K28" s="365">
        <v>9.5500000000000007</v>
      </c>
      <c r="L28" s="365">
        <v>5.12</v>
      </c>
      <c r="M28" s="365">
        <v>-0.13</v>
      </c>
      <c r="N28" s="366">
        <v>5.07</v>
      </c>
      <c r="Q28" s="364"/>
    </row>
    <row r="29" spans="1:17" x14ac:dyDescent="0.35">
      <c r="A29" s="374" t="s">
        <v>1336</v>
      </c>
      <c r="B29" s="365">
        <f>B26/$B$16*10^3</f>
        <v>-256.23536423605935</v>
      </c>
      <c r="C29" s="365">
        <f t="shared" ref="C29:N29" si="9">C26/$B$16*10^3</f>
        <v>476.00662479110173</v>
      </c>
      <c r="D29" s="365">
        <f t="shared" si="9"/>
        <v>1653.7310571487662</v>
      </c>
      <c r="E29" s="365">
        <f t="shared" si="9"/>
        <v>1209.558591536083</v>
      </c>
      <c r="F29" s="365">
        <f t="shared" si="9"/>
        <v>1092.2291464662655</v>
      </c>
      <c r="G29" s="365">
        <f t="shared" si="9"/>
        <v>1170.2917687460313</v>
      </c>
      <c r="H29" s="365">
        <f t="shared" si="9"/>
        <v>47.448203022907045</v>
      </c>
      <c r="I29" s="365">
        <f t="shared" si="9"/>
        <v>1246.9350481839624</v>
      </c>
      <c r="J29" s="365">
        <f t="shared" si="9"/>
        <v>1473.6125080794643</v>
      </c>
      <c r="K29" s="365">
        <f t="shared" si="9"/>
        <v>2384.8392892485535</v>
      </c>
      <c r="L29" s="365">
        <f t="shared" si="9"/>
        <v>1333.5735389771298</v>
      </c>
      <c r="M29" s="365">
        <f t="shared" si="9"/>
        <v>-32.648600280022535</v>
      </c>
      <c r="N29" s="366">
        <f t="shared" si="9"/>
        <v>1294.5162812572253</v>
      </c>
      <c r="O29" s="365">
        <f>O26/$B$16*10^3</f>
        <v>2709.3842737696368</v>
      </c>
      <c r="P29" s="365">
        <f>P26/$B$16*10^3</f>
        <v>1515.0552033879139</v>
      </c>
      <c r="Q29" s="366">
        <f>Q26/$B$16*10^3</f>
        <v>-37.09164158695004</v>
      </c>
    </row>
    <row r="30" spans="1:17" x14ac:dyDescent="0.35">
      <c r="A30" s="374" t="s">
        <v>1345</v>
      </c>
      <c r="B30" s="365">
        <v>3992</v>
      </c>
      <c r="C30" s="365">
        <v>2385</v>
      </c>
      <c r="D30" s="365">
        <v>3116</v>
      </c>
      <c r="E30" s="365">
        <v>3119</v>
      </c>
      <c r="F30" s="365">
        <v>4484</v>
      </c>
      <c r="G30" s="365">
        <v>5176</v>
      </c>
      <c r="H30" s="365">
        <v>3536</v>
      </c>
      <c r="I30" s="365">
        <v>3557</v>
      </c>
      <c r="J30" s="365">
        <v>3938</v>
      </c>
      <c r="K30" s="365">
        <v>5153</v>
      </c>
      <c r="L30" s="365">
        <v>6439</v>
      </c>
      <c r="M30" s="365">
        <v>5159</v>
      </c>
      <c r="N30" s="366">
        <v>4980</v>
      </c>
      <c r="O30" s="365">
        <f>SUM(L29:O29)</f>
        <v>5304.825493723969</v>
      </c>
      <c r="P30" s="365">
        <f>SUM(M29:P29)</f>
        <v>5486.307158134754</v>
      </c>
      <c r="Q30" s="366">
        <f>SUM(N29:Q29)</f>
        <v>5481.8641168278264</v>
      </c>
    </row>
    <row r="31" spans="1:17" ht="15" thickBot="1" x14ac:dyDescent="0.4">
      <c r="A31" s="375" t="s">
        <v>1341</v>
      </c>
      <c r="B31" s="371">
        <v>6.76</v>
      </c>
      <c r="C31" s="371">
        <v>15.05</v>
      </c>
      <c r="D31" s="371">
        <v>11.23</v>
      </c>
      <c r="E31" s="371">
        <v>12.5</v>
      </c>
      <c r="F31" s="371">
        <v>8.58</v>
      </c>
      <c r="G31" s="371">
        <v>7.5</v>
      </c>
      <c r="H31" s="371">
        <v>11.72</v>
      </c>
      <c r="I31" s="371">
        <v>12.82</v>
      </c>
      <c r="J31" s="371">
        <v>11.88</v>
      </c>
      <c r="K31" s="371">
        <v>9.6300000000000008</v>
      </c>
      <c r="L31" s="371">
        <v>8.48</v>
      </c>
      <c r="M31" s="371">
        <v>9.8800000000000008</v>
      </c>
      <c r="N31" s="372">
        <v>9.92</v>
      </c>
      <c r="O31" s="367">
        <f>O37/O30</f>
        <v>13.558</v>
      </c>
      <c r="P31" s="367">
        <f>P37/P30</f>
        <v>13.558</v>
      </c>
      <c r="Q31" s="368">
        <f>Q37/Q30</f>
        <v>13.557999999999998</v>
      </c>
    </row>
    <row r="33" spans="12:17" x14ac:dyDescent="0.35">
      <c r="L33" s="643"/>
      <c r="M33" s="643"/>
      <c r="N33" s="358" t="s">
        <v>1341</v>
      </c>
      <c r="O33" s="642" t="s">
        <v>1353</v>
      </c>
      <c r="P33" s="642"/>
      <c r="Q33" s="642"/>
    </row>
    <row r="34" spans="12:17" x14ac:dyDescent="0.35">
      <c r="L34" s="640" t="s">
        <v>1385</v>
      </c>
      <c r="M34" s="641"/>
      <c r="N34" s="357">
        <v>16.39</v>
      </c>
      <c r="O34" s="335">
        <f>O30*$N$34</f>
        <v>86946.089842135858</v>
      </c>
      <c r="P34" s="335">
        <f>P30*$N$34</f>
        <v>89920.574321828622</v>
      </c>
      <c r="Q34" s="335">
        <f>Q30*$N$34</f>
        <v>89847.75287480808</v>
      </c>
    </row>
    <row r="35" spans="12:17" x14ac:dyDescent="0.35">
      <c r="L35" s="640" t="s">
        <v>1382</v>
      </c>
      <c r="M35" s="641"/>
      <c r="N35" s="357">
        <f>H11</f>
        <v>11.124000000000001</v>
      </c>
      <c r="O35" s="335">
        <f>O30*$N$35</f>
        <v>59010.878792185431</v>
      </c>
      <c r="P35" s="335">
        <f>P30*$N$35</f>
        <v>61029.680827091004</v>
      </c>
      <c r="Q35" s="335">
        <f>Q30*$N$35</f>
        <v>60980.256435592746</v>
      </c>
    </row>
    <row r="36" spans="12:17" ht="15" thickBot="1" x14ac:dyDescent="0.4">
      <c r="L36" s="644" t="s">
        <v>1550</v>
      </c>
      <c r="M36" s="645"/>
      <c r="N36" s="359">
        <f>'Relative Valuation'!E8</f>
        <v>13.16</v>
      </c>
      <c r="O36" s="360">
        <f>O30*$N$36</f>
        <v>69811.503497407437</v>
      </c>
      <c r="P36" s="360">
        <f>P30*$N$36</f>
        <v>72199.80220105336</v>
      </c>
      <c r="Q36" s="360">
        <f>Q30*$N$36</f>
        <v>72141.331777454194</v>
      </c>
    </row>
    <row r="37" spans="12:17" ht="15" thickBot="1" x14ac:dyDescent="0.4">
      <c r="L37" s="638" t="s">
        <v>1386</v>
      </c>
      <c r="M37" s="639"/>
      <c r="N37" s="361">
        <f>AVERAGE(N34:N36)</f>
        <v>13.558000000000002</v>
      </c>
      <c r="O37" s="361">
        <f>AVERAGE(O34:O36)</f>
        <v>71922.824043909568</v>
      </c>
      <c r="P37" s="361">
        <f t="shared" ref="P37:Q37" si="10">AVERAGE(P34:P36)</f>
        <v>74383.352449990998</v>
      </c>
      <c r="Q37" s="395">
        <f t="shared" si="10"/>
        <v>74323.113695951659</v>
      </c>
    </row>
    <row r="39" spans="12:17" x14ac:dyDescent="0.35">
      <c r="L39" t="s">
        <v>1547</v>
      </c>
    </row>
    <row r="40" spans="12:17" x14ac:dyDescent="0.35">
      <c r="L40" t="s">
        <v>1548</v>
      </c>
    </row>
    <row r="41" spans="12:17" x14ac:dyDescent="0.35">
      <c r="L41" t="s">
        <v>1549</v>
      </c>
    </row>
    <row r="42" spans="12:17" x14ac:dyDescent="0.35">
      <c r="L42" t="s">
        <v>1551</v>
      </c>
    </row>
    <row r="43" spans="12:17" x14ac:dyDescent="0.35">
      <c r="L43" t="s">
        <v>1547</v>
      </c>
    </row>
    <row r="44" spans="12:17" x14ac:dyDescent="0.35">
      <c r="L44" t="s">
        <v>1552</v>
      </c>
    </row>
  </sheetData>
  <mergeCells count="10">
    <mergeCell ref="B20:E20"/>
    <mergeCell ref="F20:I20"/>
    <mergeCell ref="J20:M20"/>
    <mergeCell ref="N20:Q20"/>
    <mergeCell ref="L37:M37"/>
    <mergeCell ref="L34:M34"/>
    <mergeCell ref="L35:M35"/>
    <mergeCell ref="O33:Q33"/>
    <mergeCell ref="L33:M33"/>
    <mergeCell ref="L36:M36"/>
  </mergeCells>
  <conditionalFormatting sqref="B2:G2 B4:G13 B3:H3">
    <cfRule type="cellIs" dxfId="17" priority="18" operator="lessThan">
      <formula>0</formula>
    </cfRule>
  </conditionalFormatting>
  <conditionalFormatting sqref="B16:B17">
    <cfRule type="cellIs" dxfId="16" priority="17" operator="lessThan">
      <formula>0</formula>
    </cfRule>
  </conditionalFormatting>
  <conditionalFormatting sqref="B22:Q22 O24:Q24 O26:Q26">
    <cfRule type="cellIs" dxfId="15" priority="16" operator="lessThan">
      <formula>0</formula>
    </cfRule>
  </conditionalFormatting>
  <conditionalFormatting sqref="B24:N24">
    <cfRule type="cellIs" dxfId="14" priority="15" operator="lessThan">
      <formula>0</formula>
    </cfRule>
  </conditionalFormatting>
  <conditionalFormatting sqref="B26:E26">
    <cfRule type="cellIs" dxfId="13" priority="14" operator="lessThan">
      <formula>0</formula>
    </cfRule>
  </conditionalFormatting>
  <conditionalFormatting sqref="F26:N26">
    <cfRule type="cellIs" dxfId="12" priority="13" operator="lessThan">
      <formula>0</formula>
    </cfRule>
  </conditionalFormatting>
  <conditionalFormatting sqref="B28:N28 B27:E27">
    <cfRule type="cellIs" dxfId="11" priority="11" operator="lessThan">
      <formula>0</formula>
    </cfRule>
  </conditionalFormatting>
  <conditionalFormatting sqref="B31:N31">
    <cfRule type="cellIs" dxfId="10" priority="10" operator="lessThan">
      <formula>0</formula>
    </cfRule>
  </conditionalFormatting>
  <conditionalFormatting sqref="B29:N30 O29:Q29">
    <cfRule type="cellIs" dxfId="9" priority="9" operator="lessThan">
      <formula>0</formula>
    </cfRule>
  </conditionalFormatting>
  <conditionalFormatting sqref="F23:Q23">
    <cfRule type="cellIs" dxfId="8" priority="7" operator="lessThan">
      <formula>0</formula>
    </cfRule>
    <cfRule type="cellIs" dxfId="7" priority="8" operator="greaterThan">
      <formula>0</formula>
    </cfRule>
  </conditionalFormatting>
  <conditionalFormatting sqref="F25:Q25">
    <cfRule type="cellIs" dxfId="6" priority="5" operator="lessThan">
      <formula>0</formula>
    </cfRule>
    <cfRule type="cellIs" dxfId="5" priority="6" operator="greaterThan">
      <formula>0</formula>
    </cfRule>
  </conditionalFormatting>
  <conditionalFormatting sqref="H2">
    <cfRule type="cellIs" dxfId="4" priority="4" operator="lessThan">
      <formula>0</formula>
    </cfRule>
  </conditionalFormatting>
  <conditionalFormatting sqref="H6:H7">
    <cfRule type="cellIs" dxfId="3" priority="3" operator="lessThan">
      <formula>0</formula>
    </cfRule>
  </conditionalFormatting>
  <conditionalFormatting sqref="F27:Q27">
    <cfRule type="cellIs" dxfId="2" priority="1" operator="lessThan">
      <formula>0</formula>
    </cfRule>
    <cfRule type="cellIs" dxfId="1" priority="2" operator="greaterThan">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9F37E-AA85-4BF0-AFC8-D4AE7485E081}">
  <sheetPr>
    <tabColor theme="9"/>
  </sheetPr>
  <dimension ref="B1:G30"/>
  <sheetViews>
    <sheetView showGridLines="0" zoomScale="112" zoomScaleNormal="100" workbookViewId="0">
      <selection activeCell="E17" sqref="E17"/>
    </sheetView>
  </sheetViews>
  <sheetFormatPr defaultColWidth="8.81640625" defaultRowHeight="14.5" x14ac:dyDescent="0.35"/>
  <cols>
    <col min="2" max="2" width="25" bestFit="1" customWidth="1"/>
    <col min="3" max="3" width="22.6328125" customWidth="1"/>
    <col min="4" max="4" width="25.1796875" customWidth="1"/>
    <col min="5" max="5" width="26.453125" bestFit="1" customWidth="1"/>
    <col min="6" max="6" width="28.81640625" bestFit="1" customWidth="1"/>
    <col min="7" max="7" width="24.81640625" customWidth="1"/>
    <col min="9" max="9" width="11" bestFit="1" customWidth="1"/>
    <col min="10" max="10" width="20.81640625" bestFit="1" customWidth="1"/>
    <col min="11" max="11" width="23.26953125" bestFit="1" customWidth="1"/>
    <col min="12" max="12" width="26.453125" bestFit="1" customWidth="1"/>
    <col min="13" max="13" width="28.81640625" bestFit="1" customWidth="1"/>
    <col min="14" max="14" width="23" bestFit="1" customWidth="1"/>
  </cols>
  <sheetData>
    <row r="1" spans="2:7" x14ac:dyDescent="0.35">
      <c r="B1" t="s">
        <v>101</v>
      </c>
      <c r="C1" t="s">
        <v>102</v>
      </c>
      <c r="D1" t="s">
        <v>103</v>
      </c>
      <c r="E1" t="s">
        <v>104</v>
      </c>
      <c r="F1" t="s">
        <v>105</v>
      </c>
      <c r="G1" t="s">
        <v>106</v>
      </c>
    </row>
    <row r="2" spans="2:7" x14ac:dyDescent="0.35">
      <c r="B2" t="s">
        <v>107</v>
      </c>
      <c r="C2" s="332">
        <f>Beta!D11</f>
        <v>37349760129750</v>
      </c>
      <c r="D2" s="332">
        <f>Beta!D13</f>
        <v>1205191008000</v>
      </c>
      <c r="E2" s="332">
        <f>Beta!D12</f>
        <v>4566534391100</v>
      </c>
      <c r="F2" s="332">
        <f>Beta!D14</f>
        <v>15524752167000.002</v>
      </c>
      <c r="G2" s="332">
        <f>Beta!D15</f>
        <v>1752544215000.0002</v>
      </c>
    </row>
    <row r="3" spans="2:7" x14ac:dyDescent="0.35">
      <c r="B3" t="s">
        <v>110</v>
      </c>
      <c r="C3" s="332">
        <f>'WACC &amp; EBITDA Multiply'!B19</f>
        <v>4448007000000</v>
      </c>
      <c r="D3" s="332">
        <f>'WACC &amp; EBITDA Multiply'!C19</f>
        <v>233393360000</v>
      </c>
      <c r="E3" s="332">
        <f>'WACC &amp; EBITDA Multiply'!D19</f>
        <v>598033999073</v>
      </c>
      <c r="F3" s="332">
        <f>'WACC &amp; EBITDA Multiply'!E19</f>
        <v>1986711000000</v>
      </c>
      <c r="G3" s="332">
        <f>'WACC &amp; EBITDA Multiply'!F19</f>
        <v>394396500000</v>
      </c>
    </row>
    <row r="4" spans="2:7" x14ac:dyDescent="0.35">
      <c r="B4" t="s">
        <v>111</v>
      </c>
      <c r="C4" s="61">
        <f>C2/C3</f>
        <v>8.3969652317880801</v>
      </c>
      <c r="D4" s="61">
        <f t="shared" ref="D4:G4" si="0">D2/D3</f>
        <v>5.163775901765157</v>
      </c>
      <c r="E4" s="61">
        <f t="shared" si="0"/>
        <v>7.6359109986697904</v>
      </c>
      <c r="F4" s="61">
        <f t="shared" si="0"/>
        <v>7.8142981878088973</v>
      </c>
      <c r="G4" s="61">
        <f t="shared" si="0"/>
        <v>4.443609958506225</v>
      </c>
    </row>
    <row r="5" spans="2:7" x14ac:dyDescent="0.35">
      <c r="B5" t="s">
        <v>1352</v>
      </c>
      <c r="C5" s="333">
        <f>AVERAGE(C4:G4)</f>
        <v>6.6909120557076296</v>
      </c>
    </row>
    <row r="7" spans="2:7" x14ac:dyDescent="0.35">
      <c r="B7" t="s">
        <v>0</v>
      </c>
      <c r="C7" t="s">
        <v>102</v>
      </c>
      <c r="D7" t="s">
        <v>103</v>
      </c>
      <c r="E7" t="s">
        <v>104</v>
      </c>
      <c r="F7" t="s">
        <v>105</v>
      </c>
      <c r="G7" t="s">
        <v>106</v>
      </c>
    </row>
    <row r="8" spans="2:7" x14ac:dyDescent="0.35">
      <c r="B8" t="s">
        <v>1341</v>
      </c>
      <c r="C8" s="61">
        <v>12.65</v>
      </c>
      <c r="D8" s="61">
        <v>21.07</v>
      </c>
      <c r="E8" s="61">
        <v>13.16</v>
      </c>
      <c r="F8" s="61">
        <v>13.22</v>
      </c>
      <c r="G8" s="61">
        <v>7.95</v>
      </c>
    </row>
    <row r="9" spans="2:7" x14ac:dyDescent="0.35">
      <c r="B9" t="s">
        <v>1356</v>
      </c>
      <c r="C9" s="61">
        <f>AVERAGE(C8:G8)</f>
        <v>13.61</v>
      </c>
      <c r="D9" s="334"/>
    </row>
    <row r="10" spans="2:7" x14ac:dyDescent="0.35">
      <c r="C10" s="61"/>
      <c r="D10" s="334"/>
      <c r="G10" t="s">
        <v>1517</v>
      </c>
    </row>
    <row r="11" spans="2:7" x14ac:dyDescent="0.35">
      <c r="C11" s="61"/>
      <c r="D11" s="334"/>
    </row>
    <row r="12" spans="2:7" x14ac:dyDescent="0.35">
      <c r="B12" s="471" t="s">
        <v>1274</v>
      </c>
      <c r="C12" s="472">
        <f>E3*C5</f>
        <v>4001392894120.5811</v>
      </c>
      <c r="E12" s="42" t="s">
        <v>1518</v>
      </c>
      <c r="F12" s="320">
        <f>FS!H23</f>
        <v>400937400515</v>
      </c>
    </row>
    <row r="13" spans="2:7" x14ac:dyDescent="0.35">
      <c r="B13" s="473" t="s">
        <v>1354</v>
      </c>
      <c r="C13" s="474">
        <f>DCF!B33</f>
        <v>158869533818</v>
      </c>
      <c r="E13" s="31" t="s">
        <v>1356</v>
      </c>
      <c r="F13" s="65">
        <f>C9</f>
        <v>13.61</v>
      </c>
    </row>
    <row r="14" spans="2:7" x14ac:dyDescent="0.35">
      <c r="B14" s="473" t="s">
        <v>1277</v>
      </c>
      <c r="C14" s="475">
        <f>C12+C13</f>
        <v>4160262427938.5811</v>
      </c>
      <c r="E14" s="31" t="s">
        <v>1282</v>
      </c>
      <c r="F14" s="468">
        <f>F12*F13</f>
        <v>5456758021009.1494</v>
      </c>
    </row>
    <row r="15" spans="2:7" x14ac:dyDescent="0.35">
      <c r="B15" s="473" t="s">
        <v>381</v>
      </c>
      <c r="C15" s="476">
        <f>DCF!B4</f>
        <v>77794453</v>
      </c>
      <c r="E15" s="31" t="s">
        <v>381</v>
      </c>
      <c r="F15" s="113">
        <f>C15</f>
        <v>77794453</v>
      </c>
    </row>
    <row r="16" spans="2:7" x14ac:dyDescent="0.35">
      <c r="B16" s="473" t="s">
        <v>1355</v>
      </c>
      <c r="C16" s="479">
        <f>C14/C15</f>
        <v>53477.622986031936</v>
      </c>
      <c r="E16" s="32" t="s">
        <v>1355</v>
      </c>
      <c r="F16" s="469">
        <f>F14/F15</f>
        <v>70143.278994572393</v>
      </c>
    </row>
    <row r="17" spans="2:7" x14ac:dyDescent="0.35">
      <c r="B17" s="477" t="s">
        <v>1357</v>
      </c>
      <c r="C17" s="478">
        <f>AVERAGE(C16,F16)</f>
        <v>61810.450990302168</v>
      </c>
      <c r="D17" s="61"/>
    </row>
    <row r="19" spans="2:7" x14ac:dyDescent="0.35">
      <c r="B19" s="57" t="s">
        <v>1358</v>
      </c>
    </row>
    <row r="20" spans="2:7" x14ac:dyDescent="0.35">
      <c r="B20" s="331" t="s">
        <v>111</v>
      </c>
      <c r="C20" s="180">
        <v>4.6900000000000004</v>
      </c>
      <c r="D20" s="180">
        <v>5.69</v>
      </c>
      <c r="E20" s="337">
        <v>6.6909120557076296</v>
      </c>
      <c r="F20" s="180">
        <v>7.69</v>
      </c>
      <c r="G20" s="180">
        <v>8.69</v>
      </c>
    </row>
    <row r="21" spans="2:7" x14ac:dyDescent="0.35">
      <c r="B21" s="335">
        <f>C16</f>
        <v>53477.622986031936</v>
      </c>
      <c r="C21" s="335">
        <f t="dataTable" ref="C21:G21" dt2D="0" dtr="1" r1="C5" ca="1"/>
        <v>38095.890840319553</v>
      </c>
      <c r="D21" s="335">
        <v>45783.251262700825</v>
      </c>
      <c r="E21" s="335">
        <v>53477.622986031936</v>
      </c>
      <c r="F21" s="335">
        <v>61157.972107463371</v>
      </c>
      <c r="G21" s="335">
        <v>68845.332529844643</v>
      </c>
    </row>
    <row r="23" spans="2:7" x14ac:dyDescent="0.35">
      <c r="B23" s="180" t="s">
        <v>1516</v>
      </c>
      <c r="C23" s="180">
        <v>11.61</v>
      </c>
      <c r="D23" s="180">
        <v>12.61</v>
      </c>
      <c r="E23" s="180">
        <v>13.61</v>
      </c>
      <c r="F23" s="180">
        <v>14.61</v>
      </c>
      <c r="G23" s="180">
        <v>15.61</v>
      </c>
    </row>
    <row r="24" spans="2:7" x14ac:dyDescent="0.35">
      <c r="B24" s="480">
        <f>F16</f>
        <v>70143.278994572393</v>
      </c>
      <c r="C24" s="146">
        <f t="dataTable" ref="C24:G24" dt2D="0" dtr="1" r1="C9" ca="1"/>
        <v>59835.670031372923</v>
      </c>
      <c r="D24" s="146">
        <v>64989.474512972658</v>
      </c>
      <c r="E24" s="335">
        <v>70143.278994572393</v>
      </c>
      <c r="F24" s="335">
        <v>75297.083476172134</v>
      </c>
      <c r="G24" s="335">
        <v>80450.887957771862</v>
      </c>
    </row>
    <row r="26" spans="2:7" x14ac:dyDescent="0.35">
      <c r="B26" s="180" t="s">
        <v>1519</v>
      </c>
      <c r="C26" s="180">
        <v>4.6900000000000004</v>
      </c>
      <c r="D26" s="180">
        <v>5.69</v>
      </c>
      <c r="E26" s="337">
        <v>6.6909120557076296</v>
      </c>
      <c r="F26" s="180">
        <v>7.69</v>
      </c>
      <c r="G26" s="180">
        <v>8.69</v>
      </c>
    </row>
    <row r="27" spans="2:7" x14ac:dyDescent="0.35">
      <c r="B27" s="336">
        <f>C17</f>
        <v>61810.450990302168</v>
      </c>
      <c r="C27" s="335">
        <f t="dataTable" ref="C27:G27" dt2D="0" dtr="1" r1="C5"/>
        <v>54119.584917445973</v>
      </c>
      <c r="D27" s="335">
        <v>57963.265128636609</v>
      </c>
      <c r="E27" s="335">
        <v>61810.450990302168</v>
      </c>
      <c r="F27" s="335">
        <v>65650.625551017874</v>
      </c>
      <c r="G27" s="335">
        <v>69494.305762208518</v>
      </c>
    </row>
    <row r="29" spans="2:7" x14ac:dyDescent="0.35">
      <c r="B29" s="180" t="s">
        <v>1520</v>
      </c>
      <c r="C29" s="180">
        <v>11.61</v>
      </c>
      <c r="D29" s="180">
        <v>12.61</v>
      </c>
      <c r="E29" s="180">
        <v>13.61</v>
      </c>
      <c r="F29" s="180">
        <v>14.61</v>
      </c>
      <c r="G29" s="180">
        <v>15.61</v>
      </c>
    </row>
    <row r="30" spans="2:7" x14ac:dyDescent="0.35">
      <c r="B30" s="336">
        <f>C17</f>
        <v>61810.450990302168</v>
      </c>
      <c r="C30" s="335">
        <f t="dataTable" ref="C30:G30" dt2D="0" dtr="1" r1="C9" ca="1"/>
        <v>56656.646508702426</v>
      </c>
      <c r="D30" s="335">
        <v>59233.548749502297</v>
      </c>
      <c r="E30" s="335">
        <v>61810.450990302168</v>
      </c>
      <c r="F30" s="335">
        <v>64387.353231102039</v>
      </c>
      <c r="G30" s="335">
        <v>66964.255471901895</v>
      </c>
    </row>
  </sheetData>
  <conditionalFormatting sqref="C21:G21">
    <cfRule type="colorScale" priority="3">
      <colorScale>
        <cfvo type="min"/>
        <cfvo type="percentile" val="50"/>
        <cfvo type="max"/>
        <color rgb="FFF8696B"/>
        <color rgb="FFFFEB84"/>
        <color rgb="FF63BE7B"/>
      </colorScale>
    </cfRule>
  </conditionalFormatting>
  <conditionalFormatting sqref="C24:G24">
    <cfRule type="colorScale" priority="2">
      <colorScale>
        <cfvo type="min"/>
        <cfvo type="percentile" val="50"/>
        <cfvo type="max"/>
        <color rgb="FFF8696B"/>
        <color rgb="FFFFEB84"/>
        <color rgb="FF63BE7B"/>
      </colorScale>
    </cfRule>
  </conditionalFormatting>
  <conditionalFormatting sqref="C30:G30 C27:G2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6EEA9-C2C4-4419-9FF4-075FB9C105E7}">
  <sheetPr>
    <tabColor theme="9"/>
  </sheetPr>
  <dimension ref="B1:K19"/>
  <sheetViews>
    <sheetView showGridLines="0" topLeftCell="M1" zoomScale="115" zoomScaleNormal="115" workbookViewId="0">
      <selection activeCell="D14" sqref="D14"/>
    </sheetView>
  </sheetViews>
  <sheetFormatPr defaultColWidth="8.81640625" defaultRowHeight="14.5" x14ac:dyDescent="0.35"/>
  <cols>
    <col min="2" max="2" width="24.1796875" bestFit="1" customWidth="1"/>
    <col min="3" max="3" width="22.453125" bestFit="1" customWidth="1"/>
    <col min="4" max="6" width="20.26953125" bestFit="1" customWidth="1"/>
    <col min="7" max="7" width="23" bestFit="1" customWidth="1"/>
    <col min="8" max="8" width="19.453125" customWidth="1"/>
    <col min="10" max="10" width="19" bestFit="1" customWidth="1"/>
    <col min="11" max="11" width="6.453125" bestFit="1" customWidth="1"/>
  </cols>
  <sheetData>
    <row r="1" spans="2:11" ht="15" thickBot="1" x14ac:dyDescent="0.4">
      <c r="B1" s="484" t="s">
        <v>1361</v>
      </c>
      <c r="C1" s="557">
        <v>2023</v>
      </c>
      <c r="D1" s="557">
        <v>2024</v>
      </c>
      <c r="E1" s="557">
        <v>2025</v>
      </c>
      <c r="F1" s="557">
        <v>2026</v>
      </c>
      <c r="G1" s="558">
        <v>2027</v>
      </c>
      <c r="J1" s="42" t="s">
        <v>1363</v>
      </c>
      <c r="K1" s="481">
        <v>7.5432592626926601E-2</v>
      </c>
    </row>
    <row r="2" spans="2:11" x14ac:dyDescent="0.35">
      <c r="B2" s="31" t="s">
        <v>1360</v>
      </c>
      <c r="C2" s="352">
        <f>FS!I23</f>
        <v>404923033227.54492</v>
      </c>
      <c r="D2" s="352">
        <f>FS!J23</f>
        <v>453373916120.46167</v>
      </c>
      <c r="E2" s="352">
        <f>FS!K23</f>
        <v>511173075393.42444</v>
      </c>
      <c r="F2" s="352">
        <f>FS!L23</f>
        <v>573594545551.60986</v>
      </c>
      <c r="G2" s="468">
        <f>FS!M23</f>
        <v>645491119090.60425</v>
      </c>
      <c r="J2" s="31" t="s">
        <v>1362</v>
      </c>
      <c r="K2" s="15">
        <v>0.6</v>
      </c>
    </row>
    <row r="3" spans="2:11" ht="15" thickBot="1" x14ac:dyDescent="0.4">
      <c r="B3" s="485" t="s">
        <v>1330</v>
      </c>
      <c r="C3" s="367">
        <f>C2*(1-$K$2)</f>
        <v>161969213291.01797</v>
      </c>
      <c r="D3" s="367">
        <f>D2*(1-$K$2)</f>
        <v>181349566448.18469</v>
      </c>
      <c r="E3" s="367">
        <f>E2*(1-$K$2)</f>
        <v>204469230157.36978</v>
      </c>
      <c r="F3" s="367">
        <f>F2*(1-$K$2)</f>
        <v>229437818220.64395</v>
      </c>
      <c r="G3" s="486">
        <f>G2*(1-$K$2)</f>
        <v>258196447636.2417</v>
      </c>
      <c r="J3" s="31" t="s">
        <v>94</v>
      </c>
      <c r="K3" s="142">
        <f>'WACC &amp; EBITDA Multiply'!B10</f>
        <v>7.074985184140925E-2</v>
      </c>
    </row>
    <row r="4" spans="2:11" x14ac:dyDescent="0.35">
      <c r="B4" s="31" t="s">
        <v>1366</v>
      </c>
      <c r="C4" s="330">
        <f>SUM(C3:G3)</f>
        <v>1035422275753.458</v>
      </c>
      <c r="F4" s="57" t="s">
        <v>1273</v>
      </c>
      <c r="G4" s="483">
        <f>(G3*(1+K4))/(K3-K4)</f>
        <v>10587648778154.303</v>
      </c>
      <c r="J4" s="32" t="s">
        <v>1364</v>
      </c>
      <c r="K4" s="157">
        <f>K1*K2</f>
        <v>4.5259555576155956E-2</v>
      </c>
    </row>
    <row r="5" spans="2:11" x14ac:dyDescent="0.35">
      <c r="B5" s="487" t="s">
        <v>1521</v>
      </c>
      <c r="C5" s="146">
        <f>NPV(K3,C3:G3)</f>
        <v>833994446205.15662</v>
      </c>
      <c r="D5" s="44"/>
      <c r="E5" s="44"/>
      <c r="F5" s="488" t="s">
        <v>1275</v>
      </c>
      <c r="G5" s="147">
        <f>PV(K3,5,0,-G4)</f>
        <v>7522451757471.6309</v>
      </c>
    </row>
    <row r="6" spans="2:11" x14ac:dyDescent="0.35">
      <c r="C6" s="338"/>
    </row>
    <row r="7" spans="2:11" x14ac:dyDescent="0.35">
      <c r="B7" s="42" t="s">
        <v>1522</v>
      </c>
      <c r="C7" s="320">
        <f>G5+C5</f>
        <v>8356446203676.7871</v>
      </c>
      <c r="K7" s="171"/>
    </row>
    <row r="8" spans="2:11" x14ac:dyDescent="0.35">
      <c r="B8" s="31" t="s">
        <v>1367</v>
      </c>
      <c r="C8" s="113">
        <f>DCF!B4</f>
        <v>77794453</v>
      </c>
    </row>
    <row r="9" spans="2:11" x14ac:dyDescent="0.35">
      <c r="B9" s="31" t="s">
        <v>1355</v>
      </c>
      <c r="C9" s="544">
        <f>C7/C8</f>
        <v>107416.99287578752</v>
      </c>
    </row>
    <row r="10" spans="2:11" ht="14.25" customHeight="1" x14ac:dyDescent="0.35">
      <c r="B10" s="31" t="s">
        <v>1368</v>
      </c>
      <c r="C10" s="482">
        <f>Beta!E4</f>
        <v>58700</v>
      </c>
      <c r="D10" s="61"/>
      <c r="E10" s="61"/>
    </row>
    <row r="11" spans="2:11" x14ac:dyDescent="0.35">
      <c r="B11" s="32" t="s">
        <v>1369</v>
      </c>
      <c r="C11" s="539">
        <f>C9/C10-1</f>
        <v>0.82993173553300714</v>
      </c>
      <c r="D11" s="1"/>
      <c r="E11" s="1"/>
    </row>
    <row r="12" spans="2:11" x14ac:dyDescent="0.35">
      <c r="D12" s="339"/>
      <c r="E12" s="339"/>
    </row>
    <row r="13" spans="2:11" x14ac:dyDescent="0.35">
      <c r="B13" t="s">
        <v>1373</v>
      </c>
    </row>
    <row r="14" spans="2:11" x14ac:dyDescent="0.35">
      <c r="B14" s="61">
        <f>C9</f>
        <v>107416.99287578752</v>
      </c>
      <c r="C14" s="11">
        <v>5.0500000000000003E-2</v>
      </c>
      <c r="D14" s="11">
        <v>6.0499999999999998E-2</v>
      </c>
      <c r="E14" s="11">
        <v>7.0534026005116573E-2</v>
      </c>
      <c r="F14" s="11">
        <v>8.0500000000000002E-2</v>
      </c>
      <c r="G14" s="11">
        <v>9.0499999999999997E-2</v>
      </c>
    </row>
    <row r="15" spans="2:11" x14ac:dyDescent="0.35">
      <c r="B15" s="11">
        <v>6.9099999999999995E-2</v>
      </c>
      <c r="C15" s="332">
        <f t="dataTable" ref="C15:G19" dt2D="1" dtr="1" r1="K3" r2="K4"/>
        <v>-137739.24876028582</v>
      </c>
      <c r="D15" s="332">
        <v>-296541.47662432666</v>
      </c>
      <c r="E15" s="332">
        <v>1770516.0099796331</v>
      </c>
      <c r="F15" s="332">
        <v>221769.23343449557</v>
      </c>
      <c r="G15" s="332">
        <v>117651.10638629965</v>
      </c>
    </row>
    <row r="16" spans="2:11" x14ac:dyDescent="0.35">
      <c r="B16" s="11">
        <v>5.91E-2</v>
      </c>
      <c r="C16" s="332">
        <v>-308114.30369917589</v>
      </c>
      <c r="D16" s="332">
        <v>1882835.9735711708</v>
      </c>
      <c r="E16" s="332">
        <v>229370.92157723149</v>
      </c>
      <c r="F16" s="332">
        <v>121956.96595713847</v>
      </c>
      <c r="G16" s="332">
        <v>82724.569130607444</v>
      </c>
    </row>
    <row r="17" spans="2:7" x14ac:dyDescent="0.35">
      <c r="B17" s="11">
        <v>4.9091818419245405E-2</v>
      </c>
      <c r="C17" s="332">
        <v>1944129.8589371806</v>
      </c>
      <c r="D17" s="332">
        <v>238579.14033802022</v>
      </c>
      <c r="E17" s="332">
        <v>126216.88347792838</v>
      </c>
      <c r="F17" s="332">
        <v>85699.190398299179</v>
      </c>
      <c r="G17" s="332">
        <v>64659.554370590558</v>
      </c>
    </row>
    <row r="18" spans="2:7" x14ac:dyDescent="0.35">
      <c r="B18" s="11">
        <v>3.9100000000000003E-2</v>
      </c>
      <c r="C18" s="332">
        <v>247846.40189088648</v>
      </c>
      <c r="D18" s="332">
        <v>131186.80799348096</v>
      </c>
      <c r="E18" s="332">
        <v>88756.280992089713</v>
      </c>
      <c r="F18" s="332">
        <v>66987.891114535945</v>
      </c>
      <c r="G18" s="332">
        <v>53641.771571392877</v>
      </c>
    </row>
    <row r="19" spans="2:7" x14ac:dyDescent="0.35">
      <c r="B19" s="11">
        <v>2.9100000000000001E-2</v>
      </c>
      <c r="C19" s="332">
        <v>136134.67132839732</v>
      </c>
      <c r="D19" s="332">
        <v>92137.304302258592</v>
      </c>
      <c r="E19" s="332">
        <v>69354.455823663026</v>
      </c>
      <c r="F19" s="332">
        <v>55544.912499441663</v>
      </c>
      <c r="G19" s="332">
        <v>46205.290762277757</v>
      </c>
    </row>
  </sheetData>
  <scenarios current="5" sqref="B10">
    <scenario name="Best case ROA" locked="1" count="1" user="Lê Đức" comment="Created by Lê Đức on 7/15/2023_x000a_Modified by Lê Đức on 7/15/2023">
      <inputCells r="K1" val="0.076" numFmtId="10"/>
    </scenario>
    <scenario name="Worst case ROA" locked="1" count="1" user="Lê Đức" comment="Created by Lê Đức on 7/15/2023">
      <inputCells r="K1" val="0.06" numFmtId="10"/>
    </scenario>
    <scenario name="Best retention rate" locked="1" count="1" user="Lê Đức" comment="Created by Lê Đức on 7/15/2023">
      <inputCells r="K2" val="0.6"/>
    </scenario>
    <scenario name="Worst case retention rate" locked="1" count="1" user="Lê Đức" comment="Created by Lê Đức on 7/15/2023">
      <inputCells r="K2" val="0.7"/>
    </scenario>
    <scenario name="Worst cost of equity" locked="1" count="1" user="Lê Đức" comment="Created by Lê Đức on 7/15/2023">
      <inputCells r="K3" val="0.08" numFmtId="10"/>
    </scenario>
    <scenario name="Best cost of equity" locked="1" count="1" user="Lê Đức" comment="Created by Lê Đức on 7/15/2023_x000a_Modified by Lê Đức on 7/15/2023">
      <inputCells r="K3" val="0.07" numFmtId="10"/>
    </scenario>
  </scenarios>
  <sortState xmlns:xlrd2="http://schemas.microsoft.com/office/spreadsheetml/2017/richdata2" ref="B15:G19">
    <sortCondition descending="1" ref="B15:B19"/>
  </sortState>
  <conditionalFormatting sqref="C15:G19">
    <cfRule type="colorScale" priority="1">
      <colorScale>
        <cfvo type="num" val="-400000"/>
        <cfvo type="num" val="100000"/>
        <cfvo type="num" val="250000"/>
        <color rgb="FFF8696B"/>
        <color rgb="FFFFEB84"/>
        <color rgb="FF63BE7B"/>
      </colorScale>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BEC83-1EDF-49F1-A758-B9EF76452FDC}">
  <sheetPr>
    <tabColor theme="9"/>
    <outlinePr summaryBelow="0"/>
  </sheetPr>
  <dimension ref="B1:J26"/>
  <sheetViews>
    <sheetView showGridLines="0" zoomScale="130" zoomScaleNormal="130" workbookViewId="0">
      <selection activeCell="G20" sqref="G20"/>
    </sheetView>
  </sheetViews>
  <sheetFormatPr defaultColWidth="8.81640625" defaultRowHeight="14.5" outlineLevelRow="1" outlineLevelCol="1" x14ac:dyDescent="0.35"/>
  <cols>
    <col min="2" max="2" width="19.453125" bestFit="1" customWidth="1"/>
    <col min="3" max="3" width="14" bestFit="1" customWidth="1"/>
    <col min="4" max="4" width="12.26953125" bestFit="1" customWidth="1" outlineLevel="1"/>
    <col min="5" max="5" width="21" bestFit="1" customWidth="1" outlineLevel="1"/>
    <col min="6" max="6" width="15.26953125" bestFit="1" customWidth="1" outlineLevel="1"/>
    <col min="7" max="7" width="15.453125" bestFit="1" customWidth="1" outlineLevel="1"/>
    <col min="8" max="8" width="21" bestFit="1" customWidth="1" outlineLevel="1"/>
    <col min="9" max="9" width="17" bestFit="1" customWidth="1" outlineLevel="1"/>
    <col min="10" max="10" width="21" bestFit="1" customWidth="1" outlineLevel="1"/>
  </cols>
  <sheetData>
    <row r="1" spans="2:10" ht="15" thickBot="1" x14ac:dyDescent="0.4"/>
    <row r="2" spans="2:10" ht="15.5" x14ac:dyDescent="0.35">
      <c r="B2" s="383" t="s">
        <v>1394</v>
      </c>
      <c r="C2" s="383"/>
      <c r="D2" s="388"/>
      <c r="E2" s="388"/>
      <c r="F2" s="388"/>
      <c r="G2" s="388"/>
      <c r="H2" s="388"/>
      <c r="I2" s="388"/>
      <c r="J2" s="388"/>
    </row>
    <row r="3" spans="2:10" ht="15.5" collapsed="1" x14ac:dyDescent="0.35">
      <c r="B3" s="649" t="s">
        <v>1527</v>
      </c>
      <c r="C3" s="649"/>
      <c r="D3" s="389" t="s">
        <v>1370</v>
      </c>
      <c r="E3" s="389" t="s">
        <v>1524</v>
      </c>
      <c r="F3" s="389" t="s">
        <v>1525</v>
      </c>
      <c r="G3" s="389" t="s">
        <v>1513</v>
      </c>
      <c r="H3" s="389" t="s">
        <v>1526</v>
      </c>
      <c r="I3" s="389" t="s">
        <v>1508</v>
      </c>
      <c r="J3" s="389" t="s">
        <v>1514</v>
      </c>
    </row>
    <row r="4" spans="2:10" ht="21" hidden="1" outlineLevel="1" x14ac:dyDescent="0.35">
      <c r="B4" s="385"/>
      <c r="C4" s="385"/>
      <c r="E4" s="392" t="s">
        <v>1500</v>
      </c>
      <c r="F4" s="392" t="s">
        <v>1497</v>
      </c>
      <c r="G4" s="392" t="s">
        <v>1497</v>
      </c>
      <c r="H4" s="392" t="s">
        <v>1497</v>
      </c>
      <c r="I4" s="392" t="s">
        <v>1497</v>
      </c>
      <c r="J4" s="392" t="s">
        <v>1500</v>
      </c>
    </row>
    <row r="5" spans="2:10" x14ac:dyDescent="0.35">
      <c r="B5" s="386" t="s">
        <v>1395</v>
      </c>
      <c r="C5" s="386"/>
      <c r="D5" s="384"/>
      <c r="E5" s="384"/>
      <c r="F5" s="384"/>
      <c r="G5" s="384"/>
      <c r="H5" s="384"/>
      <c r="I5" s="384"/>
      <c r="J5" s="384"/>
    </row>
    <row r="6" spans="2:10" outlineLevel="1" x14ac:dyDescent="0.35">
      <c r="B6" s="385"/>
      <c r="C6" s="385" t="s">
        <v>1363</v>
      </c>
      <c r="D6" s="9">
        <v>7.5432592626926601E-2</v>
      </c>
      <c r="E6" s="391">
        <v>7.5999999999999998E-2</v>
      </c>
      <c r="F6" s="391">
        <v>0.06</v>
      </c>
      <c r="G6" s="9">
        <v>7.5432592626926601E-2</v>
      </c>
      <c r="H6" s="9">
        <v>7.5432592626926601E-2</v>
      </c>
      <c r="I6" s="9">
        <v>7.5432592626926601E-2</v>
      </c>
      <c r="J6" s="9">
        <v>7.5432592626926601E-2</v>
      </c>
    </row>
    <row r="7" spans="2:10" outlineLevel="1" x14ac:dyDescent="0.35">
      <c r="B7" s="385"/>
      <c r="C7" s="385" t="s">
        <v>1362</v>
      </c>
      <c r="D7" s="10">
        <v>0.65080380654610404</v>
      </c>
      <c r="E7" s="10">
        <v>0.65080380654610404</v>
      </c>
      <c r="F7" s="10">
        <v>0.65080380654610404</v>
      </c>
      <c r="G7" s="390">
        <v>0.6</v>
      </c>
      <c r="H7" s="390">
        <v>0.7</v>
      </c>
      <c r="I7" s="10">
        <v>0.65080380654610404</v>
      </c>
      <c r="J7" s="10">
        <v>0.65080380654610404</v>
      </c>
    </row>
    <row r="8" spans="2:10" outlineLevel="1" x14ac:dyDescent="0.35">
      <c r="B8" s="385"/>
      <c r="C8" s="385" t="s">
        <v>94</v>
      </c>
      <c r="D8" s="9">
        <v>7.0749851841409306E-2</v>
      </c>
      <c r="E8" s="9">
        <v>7.0749851841409306E-2</v>
      </c>
      <c r="F8" s="9">
        <v>7.0749851841409306E-2</v>
      </c>
      <c r="G8" s="9">
        <v>7.0749851841409306E-2</v>
      </c>
      <c r="H8" s="9">
        <v>7.0749851841409306E-2</v>
      </c>
      <c r="I8" s="391">
        <v>0.08</v>
      </c>
      <c r="J8" s="391">
        <v>7.0000000000000007E-2</v>
      </c>
    </row>
    <row r="9" spans="2:10" x14ac:dyDescent="0.35">
      <c r="B9" s="386" t="s">
        <v>1396</v>
      </c>
      <c r="C9" s="386"/>
      <c r="D9" s="384"/>
      <c r="E9" s="384"/>
      <c r="F9" s="384"/>
      <c r="G9" s="384"/>
      <c r="H9" s="384"/>
      <c r="I9" s="384"/>
      <c r="J9" s="384"/>
    </row>
    <row r="10" spans="2:10" ht="15" outlineLevel="1" thickBot="1" x14ac:dyDescent="0.4">
      <c r="B10" s="387"/>
      <c r="C10" s="387" t="s">
        <v>79</v>
      </c>
      <c r="D10" s="492">
        <v>109075.03438444</v>
      </c>
      <c r="E10" s="492">
        <v>110840.400029939</v>
      </c>
      <c r="F10" s="492">
        <v>76831.139029897298</v>
      </c>
      <c r="G10" s="492">
        <v>107416.99287578699</v>
      </c>
      <c r="H10" s="492">
        <v>111787.726617263</v>
      </c>
      <c r="I10" s="492">
        <v>76045.328959211998</v>
      </c>
      <c r="J10" s="492">
        <v>113034.030839762</v>
      </c>
    </row>
    <row r="14" spans="2:10" ht="15" thickBot="1" x14ac:dyDescent="0.4"/>
    <row r="15" spans="2:10" ht="15" thickBot="1" x14ac:dyDescent="0.4">
      <c r="B15" s="646" t="s">
        <v>1509</v>
      </c>
      <c r="C15" s="647"/>
      <c r="D15" s="647"/>
      <c r="E15" s="648"/>
      <c r="F15" s="646" t="s">
        <v>1510</v>
      </c>
      <c r="G15" s="647"/>
      <c r="H15" s="647"/>
      <c r="I15" s="648"/>
    </row>
    <row r="16" spans="2:10" x14ac:dyDescent="0.35">
      <c r="B16" s="489" t="s">
        <v>1501</v>
      </c>
      <c r="C16" s="489" t="s">
        <v>1511</v>
      </c>
      <c r="D16" s="489" t="s">
        <v>50</v>
      </c>
      <c r="E16" s="491" t="s">
        <v>52</v>
      </c>
      <c r="F16" s="489" t="s">
        <v>1511</v>
      </c>
      <c r="G16" s="489" t="s">
        <v>50</v>
      </c>
      <c r="H16" s="489" t="s">
        <v>52</v>
      </c>
      <c r="I16" s="489" t="s">
        <v>1506</v>
      </c>
    </row>
    <row r="17" spans="2:9" x14ac:dyDescent="0.35">
      <c r="B17" t="s">
        <v>1363</v>
      </c>
      <c r="C17" s="9">
        <f>D6</f>
        <v>7.5432592626926601E-2</v>
      </c>
      <c r="D17" s="9">
        <f>E6</f>
        <v>7.5999999999999998E-2</v>
      </c>
      <c r="E17" s="520">
        <f>F6</f>
        <v>0.06</v>
      </c>
      <c r="F17" s="143">
        <f>D10</f>
        <v>109075.03438444</v>
      </c>
      <c r="G17" s="143">
        <f>E10</f>
        <v>110840.400029939</v>
      </c>
      <c r="H17" s="143">
        <f>F10</f>
        <v>76831.139029897298</v>
      </c>
      <c r="I17" s="524">
        <f>ABS(H17-G17)</f>
        <v>34009.261000041704</v>
      </c>
    </row>
    <row r="18" spans="2:9" x14ac:dyDescent="0.35">
      <c r="B18" t="s">
        <v>1362</v>
      </c>
      <c r="C18" s="9">
        <f>D7</f>
        <v>0.65080380654610404</v>
      </c>
      <c r="D18" s="10">
        <f>H7</f>
        <v>0.7</v>
      </c>
      <c r="E18" s="490">
        <f>G7</f>
        <v>0.6</v>
      </c>
      <c r="F18" s="143">
        <f>D10</f>
        <v>109075.03438444</v>
      </c>
      <c r="G18" s="143">
        <f>H10</f>
        <v>111787.726617263</v>
      </c>
      <c r="H18" s="143">
        <f>G10</f>
        <v>107416.99287578699</v>
      </c>
      <c r="I18" s="524">
        <f t="shared" ref="I18" si="0">ABS(H18-G18)</f>
        <v>4370.7337414760113</v>
      </c>
    </row>
    <row r="19" spans="2:9" x14ac:dyDescent="0.35">
      <c r="B19" t="s">
        <v>94</v>
      </c>
      <c r="C19" s="9">
        <f>D8</f>
        <v>7.0749851841409306E-2</v>
      </c>
      <c r="D19" s="9">
        <f>J8</f>
        <v>7.0000000000000007E-2</v>
      </c>
      <c r="E19" s="520">
        <f>I8</f>
        <v>0.08</v>
      </c>
      <c r="F19" s="143">
        <f>D10</f>
        <v>109075.03438444</v>
      </c>
      <c r="G19" s="143">
        <f>J10</f>
        <v>113034.030839762</v>
      </c>
      <c r="H19" s="143">
        <f>I10</f>
        <v>76045.328959211998</v>
      </c>
      <c r="I19" s="524">
        <f>ABS(H19-G19)</f>
        <v>36988.701880549997</v>
      </c>
    </row>
    <row r="21" spans="2:9" x14ac:dyDescent="0.35">
      <c r="B21" t="s">
        <v>1515</v>
      </c>
      <c r="C21" t="s">
        <v>66</v>
      </c>
      <c r="D21" t="s">
        <v>52</v>
      </c>
    </row>
    <row r="22" spans="2:9" x14ac:dyDescent="0.35">
      <c r="B22" t="s">
        <v>1363</v>
      </c>
      <c r="C22" s="338">
        <f>G17-F17</f>
        <v>1765.3656454989978</v>
      </c>
      <c r="D22" s="338">
        <f>H17-F17</f>
        <v>-32243.895354542707</v>
      </c>
    </row>
    <row r="23" spans="2:9" x14ac:dyDescent="0.35">
      <c r="B23" t="s">
        <v>1362</v>
      </c>
      <c r="C23" s="338">
        <f>G18-F18</f>
        <v>2712.6922328229994</v>
      </c>
      <c r="D23" s="338">
        <f>H18-F18</f>
        <v>-1658.041508653012</v>
      </c>
    </row>
    <row r="24" spans="2:9" x14ac:dyDescent="0.35">
      <c r="B24" t="s">
        <v>94</v>
      </c>
      <c r="C24" s="338">
        <f>G19-F19</f>
        <v>3958.9964553219907</v>
      </c>
      <c r="D24" s="338">
        <f>H19-F19</f>
        <v>-33029.705425228007</v>
      </c>
    </row>
    <row r="26" spans="2:9" x14ac:dyDescent="0.35">
      <c r="B26" t="s">
        <v>1523</v>
      </c>
    </row>
  </sheetData>
  <mergeCells count="3">
    <mergeCell ref="B15:E15"/>
    <mergeCell ref="F15:I15"/>
    <mergeCell ref="B3:C3"/>
  </mergeCells>
  <pageMargins left="0.7" right="0.7" top="0.75" bottom="0.75" header="0.3" footer="0.3"/>
  <pageSetup paperSize="9" orientation="portrait" horizontalDpi="0" verticalDpi="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5B218-48A9-4A33-B65D-E48EA29C98C9}">
  <sheetPr>
    <tabColor theme="9"/>
    <outlinePr summaryBelow="0"/>
  </sheetPr>
  <dimension ref="B1:F10"/>
  <sheetViews>
    <sheetView showGridLines="0" zoomScale="145" zoomScaleNormal="145" workbookViewId="0">
      <selection activeCell="D5" sqref="D5"/>
    </sheetView>
  </sheetViews>
  <sheetFormatPr defaultColWidth="8.81640625" defaultRowHeight="14.5" outlineLevelRow="1" outlineLevelCol="1" x14ac:dyDescent="0.35"/>
  <cols>
    <col min="3" max="3" width="14.453125" bestFit="1" customWidth="1"/>
    <col min="4" max="6" width="13.1796875" bestFit="1" customWidth="1" outlineLevel="1"/>
  </cols>
  <sheetData>
    <row r="1" spans="2:6" ht="15" thickBot="1" x14ac:dyDescent="0.4"/>
    <row r="2" spans="2:6" ht="15.5" x14ac:dyDescent="0.35">
      <c r="B2" s="383" t="s">
        <v>1394</v>
      </c>
      <c r="C2" s="383"/>
      <c r="D2" s="388"/>
      <c r="E2" s="388"/>
      <c r="F2" s="388"/>
    </row>
    <row r="3" spans="2:6" ht="15.5" collapsed="1" x14ac:dyDescent="0.35">
      <c r="B3" s="382"/>
      <c r="C3" s="382"/>
      <c r="D3" s="389" t="s">
        <v>1370</v>
      </c>
      <c r="E3" s="389" t="s">
        <v>1371</v>
      </c>
      <c r="F3" s="389" t="s">
        <v>1372</v>
      </c>
    </row>
    <row r="4" spans="2:6" ht="21" hidden="1" outlineLevel="1" x14ac:dyDescent="0.35">
      <c r="B4" s="385"/>
      <c r="C4" s="385"/>
      <c r="E4" s="392" t="s">
        <v>1497</v>
      </c>
      <c r="F4" s="392" t="s">
        <v>1497</v>
      </c>
    </row>
    <row r="5" spans="2:6" x14ac:dyDescent="0.35">
      <c r="B5" s="386" t="s">
        <v>1395</v>
      </c>
      <c r="C5" s="386"/>
      <c r="D5" s="384"/>
      <c r="E5" s="384"/>
      <c r="F5" s="384"/>
    </row>
    <row r="6" spans="2:6" outlineLevel="1" x14ac:dyDescent="0.35">
      <c r="B6" s="385"/>
      <c r="C6" s="385" t="s">
        <v>94</v>
      </c>
      <c r="D6" s="11">
        <v>7.0749851841409306E-2</v>
      </c>
      <c r="E6" s="493">
        <v>7.0000000000000007E-2</v>
      </c>
      <c r="F6" s="493">
        <v>0.08</v>
      </c>
    </row>
    <row r="7" spans="2:6" outlineLevel="1" x14ac:dyDescent="0.35">
      <c r="B7" s="385"/>
      <c r="C7" s="385" t="s">
        <v>1400</v>
      </c>
      <c r="D7" s="11">
        <v>0.65080380654610404</v>
      </c>
      <c r="E7" s="493">
        <v>0.6</v>
      </c>
      <c r="F7" s="493">
        <v>0.7</v>
      </c>
    </row>
    <row r="8" spans="2:6" outlineLevel="1" x14ac:dyDescent="0.35">
      <c r="B8" s="385"/>
      <c r="C8" s="385" t="s">
        <v>1363</v>
      </c>
      <c r="D8" s="11">
        <v>7.5432592626926601E-2</v>
      </c>
      <c r="E8" s="493">
        <v>0.08</v>
      </c>
      <c r="F8" s="493">
        <v>7.0000000000000007E-2</v>
      </c>
    </row>
    <row r="9" spans="2:6" x14ac:dyDescent="0.35">
      <c r="B9" s="386" t="s">
        <v>1396</v>
      </c>
      <c r="C9" s="386"/>
      <c r="D9" s="384"/>
      <c r="E9" s="384"/>
      <c r="F9" s="384"/>
    </row>
    <row r="10" spans="2:6" ht="15" outlineLevel="1" thickBot="1" x14ac:dyDescent="0.4">
      <c r="B10" s="387"/>
      <c r="C10" s="387" t="s">
        <v>79</v>
      </c>
      <c r="D10" s="492">
        <v>109075.03438444</v>
      </c>
      <c r="E10" s="492">
        <v>123469.06124774599</v>
      </c>
      <c r="F10" s="492">
        <v>65156.418246100198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9AABE-01CC-4705-A296-F8EEE007E0AC}">
  <sheetPr>
    <tabColor theme="9"/>
  </sheetPr>
  <dimension ref="A1:R74"/>
  <sheetViews>
    <sheetView showGridLines="0" topLeftCell="A24" zoomScale="78" zoomScaleNormal="145" workbookViewId="0">
      <selection activeCell="A36" sqref="A36"/>
    </sheetView>
  </sheetViews>
  <sheetFormatPr defaultColWidth="22.453125" defaultRowHeight="14.5" x14ac:dyDescent="0.35"/>
  <cols>
    <col min="1" max="1" width="38.1796875" bestFit="1" customWidth="1"/>
    <col min="2" max="2" width="21.81640625" bestFit="1" customWidth="1"/>
    <col min="3" max="3" width="18" bestFit="1" customWidth="1"/>
    <col min="4" max="4" width="20" customWidth="1"/>
    <col min="5" max="5" width="21.81640625" bestFit="1" customWidth="1"/>
    <col min="6" max="6" width="18" bestFit="1" customWidth="1"/>
    <col min="7" max="7" width="11.1796875" style="51" bestFit="1" customWidth="1"/>
    <col min="8" max="8" width="27.81640625" style="51" bestFit="1" customWidth="1"/>
    <col min="9" max="11" width="22.453125" style="51"/>
  </cols>
  <sheetData>
    <row r="1" spans="1:14" ht="14.5" customHeight="1" thickBot="1" x14ac:dyDescent="0.4">
      <c r="A1" s="650" t="s">
        <v>1243</v>
      </c>
      <c r="B1" s="650"/>
      <c r="D1" s="513" t="s">
        <v>1530</v>
      </c>
      <c r="E1" s="514" t="s">
        <v>1244</v>
      </c>
      <c r="F1" s="652" t="s">
        <v>43</v>
      </c>
      <c r="G1" s="652"/>
      <c r="H1" s="652"/>
      <c r="I1" s="652"/>
      <c r="J1" s="652"/>
      <c r="K1" s="652"/>
    </row>
    <row r="2" spans="1:14" x14ac:dyDescent="0.35">
      <c r="A2" s="52" t="s">
        <v>71</v>
      </c>
      <c r="B2" s="53">
        <f>'WACC &amp; EBITDA Multiply'!B13</f>
        <v>5.734464393786283E-2</v>
      </c>
      <c r="D2" s="57" t="s">
        <v>1529</v>
      </c>
      <c r="E2" s="511">
        <v>6.6500000000000004E-2</v>
      </c>
      <c r="F2" t="s">
        <v>1245</v>
      </c>
      <c r="G2"/>
      <c r="H2"/>
      <c r="I2"/>
      <c r="J2"/>
    </row>
    <row r="3" spans="1:14" ht="15" thickBot="1" x14ac:dyDescent="0.4">
      <c r="A3" s="52" t="s">
        <v>1246</v>
      </c>
      <c r="B3" s="55">
        <f>Assumptions!B20</f>
        <v>0.20791295761641804</v>
      </c>
      <c r="D3" s="515" t="s">
        <v>1247</v>
      </c>
      <c r="E3" s="516">
        <v>0.02</v>
      </c>
      <c r="F3" s="62" t="s">
        <v>1248</v>
      </c>
      <c r="G3" s="62"/>
      <c r="H3" s="62"/>
      <c r="I3" s="62"/>
      <c r="J3" s="62"/>
      <c r="K3" s="62"/>
    </row>
    <row r="4" spans="1:14" x14ac:dyDescent="0.35">
      <c r="A4" s="52" t="s">
        <v>381</v>
      </c>
      <c r="B4" s="466">
        <f>FS!H28</f>
        <v>77794453</v>
      </c>
      <c r="D4" t="s">
        <v>1531</v>
      </c>
      <c r="E4" s="512">
        <v>2.4E-2</v>
      </c>
    </row>
    <row r="5" spans="1:14" x14ac:dyDescent="0.35">
      <c r="A5" s="52" t="s">
        <v>72</v>
      </c>
      <c r="B5" s="53">
        <f>E4</f>
        <v>2.4E-2</v>
      </c>
      <c r="D5" t="s">
        <v>493</v>
      </c>
      <c r="E5" t="s">
        <v>1249</v>
      </c>
      <c r="G5"/>
      <c r="H5"/>
      <c r="I5"/>
      <c r="J5"/>
    </row>
    <row r="6" spans="1:14" x14ac:dyDescent="0.35">
      <c r="A6" s="52" t="s">
        <v>1250</v>
      </c>
      <c r="B6" s="56">
        <f>'WACC &amp; EBITDA Multiply'!B21</f>
        <v>6.6909120557076296</v>
      </c>
      <c r="E6" s="561">
        <f>(1+E2)/(1+E3)-1</f>
        <v>4.5588235294117707E-2</v>
      </c>
    </row>
    <row r="7" spans="1:14" x14ac:dyDescent="0.35">
      <c r="H7" s="651"/>
      <c r="I7" s="651"/>
    </row>
    <row r="8" spans="1:14" s="57" customFormat="1" x14ac:dyDescent="0.35">
      <c r="A8" s="499" t="s">
        <v>1251</v>
      </c>
      <c r="B8" s="500">
        <v>2023</v>
      </c>
      <c r="C8" s="500">
        <v>2024</v>
      </c>
      <c r="D8" s="500">
        <v>2025</v>
      </c>
      <c r="E8" s="500">
        <v>2026</v>
      </c>
      <c r="F8" s="500">
        <v>2027</v>
      </c>
      <c r="H8" s="495"/>
      <c r="I8" s="496"/>
      <c r="J8"/>
    </row>
    <row r="9" spans="1:14" hidden="1" x14ac:dyDescent="0.35">
      <c r="A9" t="s">
        <v>1252</v>
      </c>
      <c r="B9" s="17">
        <v>1</v>
      </c>
      <c r="C9" s="17">
        <v>2</v>
      </c>
      <c r="D9" s="17">
        <v>3</v>
      </c>
      <c r="E9" s="17">
        <v>4</v>
      </c>
      <c r="F9" s="17">
        <v>5</v>
      </c>
      <c r="G9"/>
      <c r="H9" s="495"/>
      <c r="I9" s="497"/>
      <c r="J9" s="60"/>
      <c r="K9"/>
    </row>
    <row r="10" spans="1:14" s="57" customFormat="1" x14ac:dyDescent="0.35">
      <c r="A10" t="s">
        <v>1253</v>
      </c>
      <c r="B10" s="58">
        <f>FS!H5-FS!H7-FS!H8-FS!H16</f>
        <v>466164210857</v>
      </c>
      <c r="C10" s="58">
        <f>FS!I5-FS!I7-FS!I8-FS!I16</f>
        <v>480022592763.48962</v>
      </c>
      <c r="D10" s="58">
        <f>FS!J5-FS!J7-FS!J8-FS!J16</f>
        <v>547532485293.58105</v>
      </c>
      <c r="E10" s="58">
        <f>FS!K5-FS!K7-FS!K8-FS!K16</f>
        <v>625682760648.16699</v>
      </c>
      <c r="F10" s="58">
        <f>FS!L5-FS!L7-FS!L8-FS!L16</f>
        <v>716332666279.77344</v>
      </c>
      <c r="H10" s="495"/>
      <c r="I10" s="495"/>
      <c r="J10"/>
      <c r="N10" s="59"/>
    </row>
    <row r="11" spans="1:14" s="57" customFormat="1" x14ac:dyDescent="0.35">
      <c r="A11" t="s">
        <v>1254</v>
      </c>
      <c r="B11" s="17">
        <f>B10*$B$3</f>
        <v>96921579814.202408</v>
      </c>
      <c r="C11" s="17">
        <f t="shared" ref="C11:F11" si="0">C10*$B$3</f>
        <v>99802916984.158508</v>
      </c>
      <c r="D11" s="17">
        <f t="shared" si="0"/>
        <v>113839098408.45634</v>
      </c>
      <c r="E11" s="17">
        <f t="shared" si="0"/>
        <v>130087553295.96577</v>
      </c>
      <c r="F11" s="17">
        <f t="shared" si="0"/>
        <v>148934843283.48227</v>
      </c>
      <c r="H11" s="495"/>
      <c r="I11" s="496"/>
      <c r="J11"/>
      <c r="N11" s="59"/>
    </row>
    <row r="12" spans="1:14" s="57" customFormat="1" x14ac:dyDescent="0.35">
      <c r="A12" t="s">
        <v>1255</v>
      </c>
      <c r="B12" s="17">
        <f>B10-B11</f>
        <v>369242631042.79761</v>
      </c>
      <c r="C12" s="17">
        <f t="shared" ref="C12:F12" si="1">C10-C11</f>
        <v>380219675779.33112</v>
      </c>
      <c r="D12" s="17">
        <f t="shared" si="1"/>
        <v>433693386885.12469</v>
      </c>
      <c r="E12" s="17">
        <f t="shared" si="1"/>
        <v>495595207352.20123</v>
      </c>
      <c r="F12" s="17">
        <f t="shared" si="1"/>
        <v>567397822996.29114</v>
      </c>
      <c r="H12" s="495"/>
      <c r="I12" s="498"/>
      <c r="J12"/>
      <c r="N12" s="59"/>
    </row>
    <row r="13" spans="1:14" x14ac:dyDescent="0.35">
      <c r="A13" t="s">
        <v>1256</v>
      </c>
      <c r="B13" s="17">
        <f>FS!I16</f>
        <v>110676270042.44167</v>
      </c>
      <c r="C13" s="17">
        <f>FS!J16</f>
        <v>142092115081.18839</v>
      </c>
      <c r="D13" s="17">
        <f>FS!K16</f>
        <v>177267008887.35602</v>
      </c>
      <c r="E13" s="17">
        <f>FS!L16</f>
        <v>216926234979.13324</v>
      </c>
      <c r="F13" s="17">
        <f>FS!M16</f>
        <v>261428414108.05792</v>
      </c>
      <c r="G13"/>
      <c r="H13" s="495"/>
      <c r="I13" s="496"/>
      <c r="J13" s="60"/>
      <c r="K13"/>
      <c r="N13" s="61"/>
    </row>
    <row r="14" spans="1:14" x14ac:dyDescent="0.35">
      <c r="A14" s="470" t="s">
        <v>1257</v>
      </c>
      <c r="B14" s="17">
        <f>((FS!I39+FS!I44+FS!I48)-FS!I76-FS!I84)-((FS!H44+FS!H48+FS!H39)-FS!H76-FS!H84)</f>
        <v>211952279659.27075</v>
      </c>
      <c r="C14" s="17">
        <f>((FS!J39+FS!J44+FS!J48)-FS!J76-FS!J84)-((FS!I44+FS!I48+FS!I39)-FS!I76-FS!I84)</f>
        <v>12889101775.965332</v>
      </c>
      <c r="D14" s="17">
        <f>((FS!K39+FS!K44+FS!K48)-FS!K76-FS!K84)-((FS!J44+FS!J48+FS!J39)-FS!J76-FS!J84)</f>
        <v>120819496489.51648</v>
      </c>
      <c r="E14" s="17">
        <f>((FS!L39+FS!L44+FS!L48)-FS!L76-FS!L84)-((FS!K44+FS!K48+FS!K39)-FS!K76-FS!K84)</f>
        <v>140143792271.23499</v>
      </c>
      <c r="F14" s="17">
        <f>((FS!M39+FS!M44+FS!M48)-FS!M76-FS!M84)-((FS!L44+FS!L48+FS!L39)-FS!L76-FS!L84)</f>
        <v>162890480805.50488</v>
      </c>
      <c r="G14"/>
      <c r="H14"/>
      <c r="I14"/>
      <c r="J14"/>
      <c r="K14"/>
      <c r="N14" s="61"/>
    </row>
    <row r="15" spans="1:14" ht="15" thickBot="1" x14ac:dyDescent="0.4">
      <c r="A15" s="505" t="s">
        <v>1258</v>
      </c>
      <c r="B15" s="506">
        <f>-(FS!I54-FS!H54+FS!I16)</f>
        <v>-297680308526.17175</v>
      </c>
      <c r="C15" s="506">
        <f>-(FS!J54-FS!I54+FS!J16)</f>
        <v>-330955120606.16077</v>
      </c>
      <c r="D15" s="506">
        <f>-(FS!K54-FS!J54+FS!K16)</f>
        <v>-388728332148.31305</v>
      </c>
      <c r="E15" s="506">
        <f>-(FS!L54-FS!K54+FS!L16)</f>
        <v>-455346071442.21295</v>
      </c>
      <c r="F15" s="506">
        <f>-(FS!M54-FS!L54+FS!M16)</f>
        <v>-528962688367.85699</v>
      </c>
      <c r="G15"/>
      <c r="K15"/>
      <c r="N15" s="58"/>
    </row>
    <row r="16" spans="1:14" s="60" customFormat="1" ht="15" thickTop="1" x14ac:dyDescent="0.35">
      <c r="A16" s="501" t="s">
        <v>1259</v>
      </c>
      <c r="B16" s="502">
        <f>B12+B13-B14+B15</f>
        <v>-29713687100.203247</v>
      </c>
      <c r="C16" s="502">
        <f t="shared" ref="C16:F16" si="2">C12+C13-C14+C15</f>
        <v>178467568478.39343</v>
      </c>
      <c r="D16" s="502">
        <f t="shared" si="2"/>
        <v>101412567134.65118</v>
      </c>
      <c r="E16" s="502">
        <f t="shared" si="2"/>
        <v>117031578617.88654</v>
      </c>
      <c r="F16" s="502">
        <f t="shared" si="2"/>
        <v>136973067930.98724</v>
      </c>
      <c r="N16" s="63"/>
    </row>
    <row r="17" spans="1:18" x14ac:dyDescent="0.35">
      <c r="A17" s="17"/>
      <c r="B17" s="17"/>
      <c r="C17" s="17"/>
      <c r="D17" s="17"/>
      <c r="E17" s="17"/>
      <c r="F17" s="17"/>
      <c r="G17"/>
      <c r="K17"/>
    </row>
    <row r="18" spans="1:18" ht="14.25" customHeight="1" x14ac:dyDescent="0.35">
      <c r="A18" t="s">
        <v>1260</v>
      </c>
      <c r="B18" s="17">
        <f>FS!I14+FS!I11</f>
        <v>43857018316.351295</v>
      </c>
      <c r="C18" s="17">
        <f>FS!J14+FS!J11</f>
        <v>50025025068.245865</v>
      </c>
      <c r="D18" s="17">
        <f>FS!K14+FS!K11</f>
        <v>57165184946.809525</v>
      </c>
      <c r="E18" s="17">
        <f>FS!L14+FS!L11</f>
        <v>65447367143.22065</v>
      </c>
      <c r="F18" s="17">
        <f>FS!M14+FS!M11</f>
        <v>75073827354.038757</v>
      </c>
      <c r="G18"/>
      <c r="K18"/>
    </row>
    <row r="19" spans="1:18" ht="15" thickBot="1" x14ac:dyDescent="0.4">
      <c r="A19" s="507" t="s">
        <v>1261</v>
      </c>
      <c r="B19" s="508">
        <f>B18*$B3</f>
        <v>9118442390.3900166</v>
      </c>
      <c r="C19" s="508">
        <f t="shared" ref="C19:F19" si="3">C18*$B3</f>
        <v>10400850916.774452</v>
      </c>
      <c r="D19" s="508">
        <f t="shared" si="3"/>
        <v>11885382674.980707</v>
      </c>
      <c r="E19" s="508">
        <f t="shared" si="3"/>
        <v>13607355670.954586</v>
      </c>
      <c r="F19" s="508">
        <f t="shared" si="3"/>
        <v>15608821484.762545</v>
      </c>
      <c r="G19"/>
      <c r="K19"/>
    </row>
    <row r="20" spans="1:18" s="60" customFormat="1" ht="15.5" thickTop="1" thickBot="1" x14ac:dyDescent="0.4">
      <c r="A20" s="509" t="s">
        <v>1262</v>
      </c>
      <c r="B20" s="510">
        <f>B18-B19</f>
        <v>34738575925.961281</v>
      </c>
      <c r="C20" s="510">
        <f t="shared" ref="C20:F20" si="4">C18-C19</f>
        <v>39624174151.471413</v>
      </c>
      <c r="D20" s="510">
        <f t="shared" si="4"/>
        <v>45279802271.828819</v>
      </c>
      <c r="E20" s="510">
        <f t="shared" si="4"/>
        <v>51840011472.266068</v>
      </c>
      <c r="F20" s="510">
        <f t="shared" si="4"/>
        <v>59465005869.276215</v>
      </c>
    </row>
    <row r="21" spans="1:18" s="60" customFormat="1" x14ac:dyDescent="0.35">
      <c r="A21" s="503" t="s">
        <v>1263</v>
      </c>
      <c r="B21" s="504">
        <f>B20+B16</f>
        <v>5024888825.7580338</v>
      </c>
      <c r="C21" s="504">
        <f t="shared" ref="C21:F21" si="5">C20+C16</f>
        <v>218091742629.86484</v>
      </c>
      <c r="D21" s="504">
        <f t="shared" si="5"/>
        <v>146692369406.48001</v>
      </c>
      <c r="E21" s="504">
        <f t="shared" si="5"/>
        <v>168871590090.15259</v>
      </c>
      <c r="F21" s="504">
        <f t="shared" si="5"/>
        <v>196438073800.26346</v>
      </c>
      <c r="H21" s="57"/>
    </row>
    <row r="23" spans="1:18" x14ac:dyDescent="0.35">
      <c r="N23" s="58"/>
      <c r="O23" s="58"/>
      <c r="P23" s="58"/>
      <c r="Q23" s="58"/>
      <c r="R23" s="58"/>
    </row>
    <row r="24" spans="1:18" x14ac:dyDescent="0.35">
      <c r="G24"/>
      <c r="H24" s="17"/>
      <c r="I24" s="17"/>
      <c r="J24" s="17"/>
      <c r="K24" s="17"/>
    </row>
    <row r="25" spans="1:18" x14ac:dyDescent="0.35">
      <c r="A25" s="64" t="s">
        <v>1264</v>
      </c>
      <c r="B25" s="64"/>
      <c r="D25" s="64" t="s">
        <v>1265</v>
      </c>
      <c r="E25" s="17"/>
    </row>
    <row r="26" spans="1:18" x14ac:dyDescent="0.35">
      <c r="A26" s="42" t="s">
        <v>1266</v>
      </c>
      <c r="B26" s="460">
        <f>NPV(B2,B21:F21)</f>
        <v>607678696712.6488</v>
      </c>
      <c r="D26" s="42" t="s">
        <v>1267</v>
      </c>
      <c r="E26" s="320">
        <f>NPV(B2,B21:F21)</f>
        <v>607678696712.6488</v>
      </c>
    </row>
    <row r="27" spans="1:18" x14ac:dyDescent="0.35">
      <c r="A27" s="31"/>
      <c r="B27" s="65"/>
      <c r="D27" s="66"/>
      <c r="E27" s="65"/>
    </row>
    <row r="28" spans="1:18" x14ac:dyDescent="0.35">
      <c r="A28" s="31" t="s">
        <v>1268</v>
      </c>
      <c r="B28" s="65">
        <f>F21*(1+B5)/(B2-B5)</f>
        <v>6032530680079.0605</v>
      </c>
      <c r="D28" s="66" t="s">
        <v>1269</v>
      </c>
      <c r="E28" s="65">
        <f>FS!M15</f>
        <v>1158198166962.9985</v>
      </c>
      <c r="F28" s="518"/>
    </row>
    <row r="29" spans="1:18" x14ac:dyDescent="0.35">
      <c r="A29" s="31" t="s">
        <v>1270</v>
      </c>
      <c r="B29" s="65">
        <f>PV(B2,F9,0,-B28)</f>
        <v>4564746779872.0264</v>
      </c>
      <c r="D29" s="66" t="s">
        <v>1271</v>
      </c>
      <c r="E29" s="67">
        <f>B6</f>
        <v>6.6909120557076296</v>
      </c>
      <c r="F29" s="518"/>
    </row>
    <row r="30" spans="1:18" x14ac:dyDescent="0.35">
      <c r="A30" s="31" t="s">
        <v>1272</v>
      </c>
      <c r="B30" s="321">
        <f>B29/B32</f>
        <v>0.88251571734313405</v>
      </c>
      <c r="D30" s="66"/>
      <c r="E30" s="65"/>
      <c r="F30" s="518"/>
    </row>
    <row r="31" spans="1:18" x14ac:dyDescent="0.35">
      <c r="A31" s="31"/>
      <c r="B31" s="65"/>
      <c r="D31" s="66" t="s">
        <v>1273</v>
      </c>
      <c r="E31" s="65">
        <f>E28*E29</f>
        <v>7749402078231.2051</v>
      </c>
      <c r="F31" s="518"/>
    </row>
    <row r="32" spans="1:18" x14ac:dyDescent="0.35">
      <c r="A32" s="31" t="s">
        <v>1274</v>
      </c>
      <c r="B32" s="65">
        <f>B26+B29</f>
        <v>5172425476584.6748</v>
      </c>
      <c r="D32" s="66" t="s">
        <v>1275</v>
      </c>
      <c r="E32" s="65">
        <f>PV(B2,F9,0,-E31)</f>
        <v>5863883676440.0645</v>
      </c>
      <c r="F32" s="518"/>
    </row>
    <row r="33" spans="1:9" x14ac:dyDescent="0.35">
      <c r="A33" s="31" t="s">
        <v>1276</v>
      </c>
      <c r="B33" s="517">
        <f>$B$39</f>
        <v>158869533818</v>
      </c>
      <c r="D33" s="66" t="s">
        <v>1272</v>
      </c>
      <c r="E33" s="15">
        <f>E32/E35</f>
        <v>0.90610015608694361</v>
      </c>
    </row>
    <row r="34" spans="1:9" x14ac:dyDescent="0.35">
      <c r="A34" s="31" t="s">
        <v>1277</v>
      </c>
      <c r="B34" s="65">
        <f>B32+B33</f>
        <v>5331295010402.6748</v>
      </c>
      <c r="D34" s="66"/>
      <c r="E34" s="65"/>
    </row>
    <row r="35" spans="1:9" x14ac:dyDescent="0.35">
      <c r="A35" s="32" t="s">
        <v>1278</v>
      </c>
      <c r="B35" s="538">
        <f>B34/B4</f>
        <v>68530.528910623936</v>
      </c>
      <c r="D35" s="66" t="s">
        <v>1279</v>
      </c>
      <c r="E35" s="65">
        <f>E32+E26</f>
        <v>6471562373152.7129</v>
      </c>
    </row>
    <row r="36" spans="1:9" x14ac:dyDescent="0.35">
      <c r="B36" s="51"/>
      <c r="D36" s="66" t="s">
        <v>1280</v>
      </c>
      <c r="E36" s="65">
        <f>B33</f>
        <v>158869533818</v>
      </c>
      <c r="F36" s="51"/>
    </row>
    <row r="37" spans="1:9" x14ac:dyDescent="0.35">
      <c r="A37" s="64" t="s">
        <v>1281</v>
      </c>
      <c r="B37" s="51"/>
      <c r="D37" s="66" t="s">
        <v>1282</v>
      </c>
      <c r="E37" s="65">
        <f>E35+E36</f>
        <v>6630431906970.7129</v>
      </c>
    </row>
    <row r="38" spans="1:9" x14ac:dyDescent="0.35">
      <c r="A38" s="42" t="s">
        <v>1274</v>
      </c>
      <c r="B38" s="203">
        <f>AVERAGE(E35,B32)</f>
        <v>5821993924868.6934</v>
      </c>
      <c r="D38" s="68" t="s">
        <v>1278</v>
      </c>
      <c r="E38" s="538">
        <f>E37/B4</f>
        <v>85230.137256324859</v>
      </c>
    </row>
    <row r="39" spans="1:9" x14ac:dyDescent="0.35">
      <c r="A39" s="31" t="s">
        <v>1276</v>
      </c>
      <c r="B39" s="517">
        <f>FS!H33-FS!H82-FS!H87</f>
        <v>158869533818</v>
      </c>
    </row>
    <row r="40" spans="1:9" x14ac:dyDescent="0.35">
      <c r="A40" s="31" t="s">
        <v>1283</v>
      </c>
      <c r="B40" s="65">
        <f>B38+B39</f>
        <v>5980863458686.6934</v>
      </c>
    </row>
    <row r="41" spans="1:9" x14ac:dyDescent="0.35">
      <c r="A41" s="31" t="s">
        <v>381</v>
      </c>
      <c r="B41" s="65">
        <f>B4</f>
        <v>77794453</v>
      </c>
    </row>
    <row r="42" spans="1:9" x14ac:dyDescent="0.35">
      <c r="A42" s="32" t="s">
        <v>1278</v>
      </c>
      <c r="B42" s="538">
        <f>B40/B41</f>
        <v>76880.333083474383</v>
      </c>
    </row>
    <row r="43" spans="1:9" x14ac:dyDescent="0.35">
      <c r="B43" s="51"/>
    </row>
    <row r="44" spans="1:9" x14ac:dyDescent="0.35">
      <c r="B44" s="51"/>
      <c r="C44" s="186"/>
      <c r="D44" s="186"/>
      <c r="E44" s="186"/>
      <c r="F44" s="186"/>
    </row>
    <row r="45" spans="1:9" x14ac:dyDescent="0.35">
      <c r="A45" s="655" t="s">
        <v>1528</v>
      </c>
      <c r="B45" s="656"/>
      <c r="C45" s="656"/>
      <c r="D45" s="656"/>
      <c r="E45" s="656"/>
      <c r="F45" s="656"/>
      <c r="G45" s="657"/>
      <c r="H45" s="60"/>
      <c r="I45"/>
    </row>
    <row r="46" spans="1:9" x14ac:dyDescent="0.35">
      <c r="A46" s="31"/>
      <c r="C46" s="658" t="s">
        <v>71</v>
      </c>
      <c r="D46" s="658"/>
      <c r="E46" s="658"/>
      <c r="F46" s="658"/>
      <c r="G46" s="659"/>
      <c r="H46"/>
      <c r="I46"/>
    </row>
    <row r="47" spans="1:9" ht="15" thickBot="1" x14ac:dyDescent="0.4">
      <c r="A47" s="530"/>
      <c r="B47" s="531">
        <f>B35</f>
        <v>68530.528910623936</v>
      </c>
      <c r="C47" s="526">
        <v>3.7199999999999997E-2</v>
      </c>
      <c r="D47" s="526">
        <v>4.7199999999999999E-2</v>
      </c>
      <c r="E47" s="355">
        <v>5.734464393786283E-2</v>
      </c>
      <c r="F47" s="526">
        <v>6.7199999999999996E-2</v>
      </c>
      <c r="G47" s="532">
        <v>7.7200000000000005E-2</v>
      </c>
      <c r="H47"/>
      <c r="I47"/>
    </row>
    <row r="48" spans="1:9" x14ac:dyDescent="0.35">
      <c r="A48" s="653" t="s">
        <v>72</v>
      </c>
      <c r="B48" s="529">
        <v>1.6E-2</v>
      </c>
      <c r="C48" s="143">
        <f t="dataTable" ref="C48:G52" dt2D="1" dtr="1" r1="B2" r2="B5" ca="1"/>
        <v>111193.96303727993</v>
      </c>
      <c r="D48" s="143">
        <v>75405.575747180585</v>
      </c>
      <c r="E48" s="143">
        <v>56807.079778734231</v>
      </c>
      <c r="F48" s="143">
        <v>45810.101661831191</v>
      </c>
      <c r="G48" s="144">
        <v>38282.569192853334</v>
      </c>
      <c r="H48"/>
      <c r="I48"/>
    </row>
    <row r="49" spans="1:9" x14ac:dyDescent="0.35">
      <c r="A49" s="653"/>
      <c r="B49" s="529">
        <v>0.02</v>
      </c>
      <c r="C49" s="143">
        <v>135128.37084901065</v>
      </c>
      <c r="D49" s="143">
        <v>85302.38032056886</v>
      </c>
      <c r="E49" s="143">
        <v>62040.952642496777</v>
      </c>
      <c r="F49" s="143">
        <v>49032.222331654564</v>
      </c>
      <c r="G49" s="144">
        <v>40425.480502409933</v>
      </c>
      <c r="H49"/>
      <c r="I49"/>
    </row>
    <row r="50" spans="1:9" x14ac:dyDescent="0.35">
      <c r="A50" s="653"/>
      <c r="B50" s="363">
        <v>2.4E-2</v>
      </c>
      <c r="C50" s="143">
        <v>173568.48036482066</v>
      </c>
      <c r="D50" s="143">
        <v>98611.876126159972</v>
      </c>
      <c r="E50" s="143">
        <v>68530.528910623936</v>
      </c>
      <c r="F50" s="143">
        <v>52851.032014408207</v>
      </c>
      <c r="G50" s="144">
        <v>42890.634114155488</v>
      </c>
      <c r="H50"/>
      <c r="I50"/>
    </row>
    <row r="51" spans="1:9" x14ac:dyDescent="0.35">
      <c r="A51" s="653"/>
      <c r="B51" s="529">
        <v>2.8000000000000001E-2</v>
      </c>
      <c r="C51" s="143">
        <v>245434.77206829152</v>
      </c>
      <c r="D51" s="143">
        <v>117466.99518408072</v>
      </c>
      <c r="E51" s="143">
        <v>76789.307430955989</v>
      </c>
      <c r="F51" s="143">
        <v>57449.190612009508</v>
      </c>
      <c r="G51" s="144">
        <v>45756.625711550725</v>
      </c>
      <c r="H51"/>
      <c r="I51"/>
    </row>
    <row r="52" spans="1:9" x14ac:dyDescent="0.35">
      <c r="A52" s="653"/>
      <c r="B52" s="529">
        <v>3.2000000000000001E-2</v>
      </c>
      <c r="C52" s="143">
        <v>427864.5894694099</v>
      </c>
      <c r="D52" s="143">
        <v>146245.8611145913</v>
      </c>
      <c r="E52" s="143">
        <v>87654.957380401029</v>
      </c>
      <c r="F52" s="143">
        <v>63092.385254520217</v>
      </c>
      <c r="G52" s="144">
        <v>49129.872458927435</v>
      </c>
      <c r="H52"/>
      <c r="I52"/>
    </row>
    <row r="53" spans="1:9" x14ac:dyDescent="0.35">
      <c r="A53" s="467"/>
      <c r="B53" s="69"/>
      <c r="C53" s="143"/>
      <c r="D53" s="143"/>
      <c r="E53" s="143"/>
      <c r="F53" s="143"/>
      <c r="G53" s="144"/>
      <c r="H53"/>
      <c r="I53"/>
    </row>
    <row r="54" spans="1:9" ht="15" thickBot="1" x14ac:dyDescent="0.4">
      <c r="A54" s="530"/>
      <c r="B54" s="531">
        <f>E38</f>
        <v>85230.137256324859</v>
      </c>
      <c r="C54" s="526">
        <v>3.7199999999999997E-2</v>
      </c>
      <c r="D54" s="526">
        <v>4.7199999999999999E-2</v>
      </c>
      <c r="E54" s="355">
        <v>5.734464393786283E-2</v>
      </c>
      <c r="F54" s="526">
        <v>6.7199999999999996E-2</v>
      </c>
      <c r="G54" s="532">
        <v>7.7200000000000005E-2</v>
      </c>
      <c r="H54"/>
      <c r="I54"/>
    </row>
    <row r="55" spans="1:9" x14ac:dyDescent="0.35">
      <c r="A55" s="653" t="s">
        <v>111</v>
      </c>
      <c r="B55" s="528">
        <v>4.6900000000000004</v>
      </c>
      <c r="C55" s="143">
        <f t="dataTable" ref="C55:G59" dt2D="1" dtr="1" r1="B2" r2="B6"/>
        <v>68549.010519814081</v>
      </c>
      <c r="D55" s="143">
        <v>65556.928415952265</v>
      </c>
      <c r="E55" s="143">
        <v>62688.814664098012</v>
      </c>
      <c r="F55" s="143">
        <v>60053.514427726368</v>
      </c>
      <c r="G55" s="144">
        <v>57522.060196070372</v>
      </c>
      <c r="H55"/>
      <c r="I55"/>
    </row>
    <row r="56" spans="1:9" x14ac:dyDescent="0.35">
      <c r="A56" s="653"/>
      <c r="B56" s="528">
        <v>5.69</v>
      </c>
      <c r="C56" s="143">
        <v>80951.866514914407</v>
      </c>
      <c r="D56" s="143">
        <v>77378.795551822041</v>
      </c>
      <c r="E56" s="143">
        <v>73954.33856752365</v>
      </c>
      <c r="F56" s="143">
        <v>70808.384272283394</v>
      </c>
      <c r="G56" s="144">
        <v>67786.908084687719</v>
      </c>
      <c r="H56"/>
      <c r="I56"/>
    </row>
    <row r="57" spans="1:9" x14ac:dyDescent="0.35">
      <c r="A57" s="653"/>
      <c r="B57" s="528">
        <v>6.6909120557076296</v>
      </c>
      <c r="C57" s="143">
        <v>93366.034605615947</v>
      </c>
      <c r="D57" s="143">
        <v>89211.444889087943</v>
      </c>
      <c r="E57" s="143">
        <v>85230.137256324859</v>
      </c>
      <c r="F57" s="143">
        <v>81573.063157266966</v>
      </c>
      <c r="G57" s="144">
        <v>78061.118086409813</v>
      </c>
      <c r="H57"/>
      <c r="I57"/>
    </row>
    <row r="58" spans="1:9" x14ac:dyDescent="0.35">
      <c r="A58" s="653"/>
      <c r="B58" s="528">
        <v>7.69</v>
      </c>
      <c r="C58" s="143">
        <v>105757.57850511505</v>
      </c>
      <c r="D58" s="143">
        <v>101022.52982356162</v>
      </c>
      <c r="E58" s="143">
        <v>96485.386374374939</v>
      </c>
      <c r="F58" s="143">
        <v>92318.123961397476</v>
      </c>
      <c r="G58" s="144">
        <v>88316.603861922413</v>
      </c>
      <c r="H58"/>
      <c r="I58"/>
    </row>
    <row r="59" spans="1:9" x14ac:dyDescent="0.35">
      <c r="A59" s="653"/>
      <c r="B59" s="528">
        <v>8.69</v>
      </c>
      <c r="C59" s="143">
        <v>118160.43450021536</v>
      </c>
      <c r="D59" s="143">
        <v>112844.3969594314</v>
      </c>
      <c r="E59" s="143">
        <v>107750.91027780058</v>
      </c>
      <c r="F59" s="143">
        <v>103072.99380595451</v>
      </c>
      <c r="G59" s="144">
        <v>98581.451750539753</v>
      </c>
      <c r="H59"/>
      <c r="I59"/>
    </row>
    <row r="60" spans="1:9" x14ac:dyDescent="0.35">
      <c r="A60" s="31"/>
      <c r="C60" s="51"/>
      <c r="D60" s="51"/>
      <c r="E60" s="51"/>
      <c r="F60" s="51"/>
      <c r="G60" s="14"/>
      <c r="H60"/>
      <c r="I60"/>
    </row>
    <row r="61" spans="1:9" ht="15" thickBot="1" x14ac:dyDescent="0.4">
      <c r="A61" s="31"/>
      <c r="B61" s="531">
        <f>B42</f>
        <v>76880.333083474383</v>
      </c>
      <c r="C61" s="526">
        <v>3.7199999999999997E-2</v>
      </c>
      <c r="D61" s="526">
        <v>4.7199999999999999E-2</v>
      </c>
      <c r="E61" s="355">
        <v>5.734464393786283E-2</v>
      </c>
      <c r="F61" s="526">
        <v>6.7199999999999996E-2</v>
      </c>
      <c r="G61" s="532">
        <v>7.7200000000000005E-2</v>
      </c>
      <c r="H61" s="9"/>
      <c r="I61" s="9"/>
    </row>
    <row r="62" spans="1:9" x14ac:dyDescent="0.35">
      <c r="A62" s="653" t="s">
        <v>72</v>
      </c>
      <c r="B62" s="529">
        <v>1.6E-2</v>
      </c>
      <c r="C62" s="143">
        <f t="dataTable" ref="C62:G66" dt2D="1" dtr="1" r1="B2" r2="B5" ca="1"/>
        <v>102279.99882144794</v>
      </c>
      <c r="D62" s="143">
        <v>82308.510318134271</v>
      </c>
      <c r="E62" s="143">
        <v>71018.608517529545</v>
      </c>
      <c r="F62" s="143">
        <v>63691.582409549083</v>
      </c>
      <c r="G62" s="144">
        <v>58171.843639631581</v>
      </c>
      <c r="H62"/>
      <c r="I62"/>
    </row>
    <row r="63" spans="1:9" x14ac:dyDescent="0.35">
      <c r="A63" s="653"/>
      <c r="B63" s="529">
        <v>0.02</v>
      </c>
      <c r="C63" s="143">
        <v>114247.20272731331</v>
      </c>
      <c r="D63" s="143">
        <v>87256.912604828409</v>
      </c>
      <c r="E63" s="143">
        <v>73635.544949410818</v>
      </c>
      <c r="F63" s="143">
        <v>65302.642744460769</v>
      </c>
      <c r="G63" s="144">
        <v>59243.299294409881</v>
      </c>
      <c r="H63"/>
      <c r="I63"/>
    </row>
    <row r="64" spans="1:9" x14ac:dyDescent="0.35">
      <c r="A64" s="653"/>
      <c r="B64" s="363">
        <v>2.4E-2</v>
      </c>
      <c r="C64" s="143">
        <v>133467.25748521829</v>
      </c>
      <c r="D64" s="143">
        <v>93911.660507623965</v>
      </c>
      <c r="E64" s="143">
        <v>76880.333083474383</v>
      </c>
      <c r="F64" s="143">
        <v>67212.047585837587</v>
      </c>
      <c r="G64" s="144">
        <v>60475.87610028265</v>
      </c>
      <c r="H64"/>
      <c r="I64"/>
    </row>
    <row r="65" spans="1:9" x14ac:dyDescent="0.35">
      <c r="A65" s="653"/>
      <c r="B65" s="529">
        <v>2.8000000000000001E-2</v>
      </c>
      <c r="C65" s="143">
        <v>169400.40333695375</v>
      </c>
      <c r="D65" s="143">
        <v>103339.22003658433</v>
      </c>
      <c r="E65" s="143">
        <v>81009.722343640417</v>
      </c>
      <c r="F65" s="143">
        <v>69511.12688463823</v>
      </c>
      <c r="G65" s="144">
        <v>61908.871898980266</v>
      </c>
      <c r="H65"/>
      <c r="I65"/>
    </row>
    <row r="66" spans="1:9" x14ac:dyDescent="0.35">
      <c r="A66" s="653"/>
      <c r="B66" s="529">
        <v>3.2000000000000001E-2</v>
      </c>
      <c r="C66" s="143">
        <v>260615.31203751292</v>
      </c>
      <c r="D66" s="143">
        <v>117728.65300183963</v>
      </c>
      <c r="E66" s="143">
        <v>86442.547318362951</v>
      </c>
      <c r="F66" s="143">
        <v>72332.724205893595</v>
      </c>
      <c r="G66" s="144">
        <v>63595.495272668632</v>
      </c>
      <c r="H66"/>
      <c r="I66"/>
    </row>
    <row r="67" spans="1:9" x14ac:dyDescent="0.35">
      <c r="A67" s="31"/>
      <c r="B67" s="70"/>
      <c r="C67" s="494"/>
      <c r="D67" s="69"/>
      <c r="G67" s="14"/>
      <c r="H67"/>
      <c r="I67"/>
    </row>
    <row r="68" spans="1:9" ht="15" thickBot="1" x14ac:dyDescent="0.4">
      <c r="A68" s="31"/>
      <c r="B68" s="531">
        <f>B42</f>
        <v>76880.333083474383</v>
      </c>
      <c r="C68" s="526">
        <v>3.7199999999999997E-2</v>
      </c>
      <c r="D68" s="526">
        <v>4.7199999999999999E-2</v>
      </c>
      <c r="E68" s="355">
        <v>5.734464393786283E-2</v>
      </c>
      <c r="F68" s="526">
        <v>6.7199999999999996E-2</v>
      </c>
      <c r="G68" s="532">
        <v>7.7200000000000005E-2</v>
      </c>
      <c r="H68" s="71"/>
      <c r="I68" s="71"/>
    </row>
    <row r="69" spans="1:9" x14ac:dyDescent="0.35">
      <c r="A69" s="653" t="s">
        <v>111</v>
      </c>
      <c r="B69" s="528">
        <v>4.6900000000000004</v>
      </c>
      <c r="C69" s="143">
        <f t="dataTable" ref="C69:G73" dt2D="1" dtr="1" r1="B2" r2="B6" ca="1"/>
        <v>121058.74544231736</v>
      </c>
      <c r="D69" s="143">
        <v>82084.402271056126</v>
      </c>
      <c r="E69" s="143">
        <v>65609.671787360974</v>
      </c>
      <c r="F69" s="143">
        <v>56452.273221067284</v>
      </c>
      <c r="G69" s="144">
        <v>50206.347155112926</v>
      </c>
      <c r="H69" s="61"/>
      <c r="I69" s="61"/>
    </row>
    <row r="70" spans="1:9" x14ac:dyDescent="0.35">
      <c r="A70" s="653"/>
      <c r="B70" s="528">
        <v>5.69</v>
      </c>
      <c r="C70" s="143">
        <v>127260.17343986753</v>
      </c>
      <c r="D70" s="143">
        <v>87995.335838991014</v>
      </c>
      <c r="E70" s="143">
        <v>71242.433739073793</v>
      </c>
      <c r="F70" s="143">
        <v>61829.708143345801</v>
      </c>
      <c r="G70" s="144">
        <v>55338.771099421596</v>
      </c>
      <c r="H70" s="61"/>
      <c r="I70" s="61"/>
    </row>
    <row r="71" spans="1:9" x14ac:dyDescent="0.35">
      <c r="A71" s="653"/>
      <c r="B71" s="528">
        <v>6.6909120557076296</v>
      </c>
      <c r="C71" s="143">
        <v>133467.25748521829</v>
      </c>
      <c r="D71" s="143">
        <v>93911.660507623965</v>
      </c>
      <c r="E71" s="143">
        <v>76880.333083474383</v>
      </c>
      <c r="F71" s="143">
        <v>67212.047585837587</v>
      </c>
      <c r="G71" s="144">
        <v>60475.87610028265</v>
      </c>
      <c r="H71" s="61"/>
      <c r="I71" s="61"/>
    </row>
    <row r="72" spans="1:9" x14ac:dyDescent="0.35">
      <c r="A72" s="653"/>
      <c r="B72" s="528">
        <v>7.69</v>
      </c>
      <c r="C72" s="143">
        <v>139663.02943496784</v>
      </c>
      <c r="D72" s="143">
        <v>99817.202974860804</v>
      </c>
      <c r="E72" s="143">
        <v>82507.95764249943</v>
      </c>
      <c r="F72" s="143">
        <v>72584.577987902841</v>
      </c>
      <c r="G72" s="144">
        <v>65603.618988038943</v>
      </c>
      <c r="H72" s="61"/>
      <c r="I72" s="61"/>
    </row>
    <row r="73" spans="1:9" x14ac:dyDescent="0.35">
      <c r="A73" s="654"/>
      <c r="B73" s="533">
        <v>8.69</v>
      </c>
      <c r="C73" s="146">
        <v>145864.45743251801</v>
      </c>
      <c r="D73" s="146">
        <v>105728.13654279569</v>
      </c>
      <c r="E73" s="146">
        <v>88140.719594212263</v>
      </c>
      <c r="F73" s="146">
        <v>77962.012910181365</v>
      </c>
      <c r="G73" s="147">
        <v>70736.042932347613</v>
      </c>
      <c r="H73" s="61"/>
      <c r="I73" s="61"/>
    </row>
    <row r="74" spans="1:9" x14ac:dyDescent="0.35">
      <c r="B74" s="70"/>
      <c r="C74" s="51"/>
      <c r="D74" s="51"/>
      <c r="E74" s="51"/>
      <c r="F74" s="51"/>
      <c r="G74"/>
      <c r="H74"/>
      <c r="I74"/>
    </row>
  </sheetData>
  <scenarios current="0" sqref="B42">
    <scenario name="Best case" locked="1" count="3" user="Lê Đức" comment="Created by Lê Đức on 7/15/2023_x000a_Modified by Lê Đức on 7/15/2023">
      <inputCells r="B2" val="0.054" numFmtId="10"/>
      <inputCells r="B5" val="0.028" numFmtId="171"/>
      <inputCells r="B6" val="7" numFmtId="165"/>
    </scenario>
    <scenario name="Worst Case" locked="1" count="3" user="Lê Đức" comment="Created by Lê Đức on 7/15/2023_x000a_Modified by Lê Đức on 7/15/2023">
      <inputCells r="B2" val="0.07" numFmtId="10"/>
      <inputCells r="B5" val="0.02" numFmtId="171"/>
      <inputCells r="B6" val="5" numFmtId="165"/>
    </scenario>
  </scenarios>
  <mergeCells count="9">
    <mergeCell ref="A1:B1"/>
    <mergeCell ref="H7:I7"/>
    <mergeCell ref="F1:K1"/>
    <mergeCell ref="A62:A66"/>
    <mergeCell ref="A69:A73"/>
    <mergeCell ref="A45:G45"/>
    <mergeCell ref="A48:A52"/>
    <mergeCell ref="A55:A59"/>
    <mergeCell ref="C46:G46"/>
  </mergeCells>
  <conditionalFormatting sqref="E62:I67">
    <cfRule type="colorScale" priority="9">
      <colorScale>
        <cfvo type="min"/>
        <cfvo type="percentile" val="50"/>
        <cfvo type="max"/>
        <color rgb="FFF8696B"/>
        <color rgb="FFFFEB84"/>
        <color rgb="FF63BE7B"/>
      </colorScale>
    </cfRule>
  </conditionalFormatting>
  <conditionalFormatting sqref="E69:I73">
    <cfRule type="colorScale" priority="8">
      <colorScale>
        <cfvo type="min"/>
        <cfvo type="percentile" val="50"/>
        <cfvo type="max"/>
        <color rgb="FFF8696B"/>
        <color rgb="FFFFEB84"/>
        <color rgb="FF63BE7B"/>
      </colorScale>
    </cfRule>
  </conditionalFormatting>
  <conditionalFormatting sqref="C62:G66">
    <cfRule type="colorScale" priority="5">
      <colorScale>
        <cfvo type="min"/>
        <cfvo type="percentile" val="50"/>
        <cfvo type="max"/>
        <color rgb="FFF8696B"/>
        <color rgb="FFFFEB84"/>
        <color rgb="FF63BE7B"/>
      </colorScale>
    </cfRule>
  </conditionalFormatting>
  <conditionalFormatting sqref="C48:G53">
    <cfRule type="colorScale" priority="4">
      <colorScale>
        <cfvo type="min"/>
        <cfvo type="percentile" val="50"/>
        <cfvo type="max"/>
        <color rgb="FFF8696B"/>
        <color rgb="FFFFEB84"/>
        <color rgb="FF63BE7B"/>
      </colorScale>
    </cfRule>
  </conditionalFormatting>
  <conditionalFormatting sqref="C55:G59">
    <cfRule type="colorScale" priority="3">
      <colorScale>
        <cfvo type="min"/>
        <cfvo type="percentile" val="50"/>
        <cfvo type="max"/>
        <color rgb="FFF8696B"/>
        <color rgb="FFFFEB84"/>
        <color rgb="FF63BE7B"/>
      </colorScale>
    </cfRule>
  </conditionalFormatting>
  <conditionalFormatting sqref="C69:G73">
    <cfRule type="colorScale" priority="1">
      <colorScale>
        <cfvo type="min"/>
        <cfvo type="percentile" val="50"/>
        <cfvo type="max"/>
        <color rgb="FFF8696B"/>
        <color rgb="FFFFEB84"/>
        <color rgb="FF63BE7B"/>
      </colorScale>
    </cfRule>
  </conditionalFormatting>
  <conditionalFormatting sqref="B67">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D72A4-0A48-4956-97C4-9526D90C9DFE}">
  <sheetPr>
    <tabColor theme="9"/>
    <outlinePr summaryBelow="0"/>
  </sheetPr>
  <dimension ref="B1:F10"/>
  <sheetViews>
    <sheetView showGridLines="0" topLeftCell="A2" zoomScale="190" zoomScaleNormal="190" workbookViewId="0">
      <selection activeCell="D7" sqref="D7"/>
    </sheetView>
  </sheetViews>
  <sheetFormatPr defaultColWidth="8.81640625" defaultRowHeight="14.5" outlineLevelRow="1" outlineLevelCol="1" x14ac:dyDescent="0.35"/>
  <cols>
    <col min="3" max="3" width="11.6328125" bestFit="1" customWidth="1"/>
    <col min="4" max="6" width="13.1796875" bestFit="1" customWidth="1" outlineLevel="1"/>
  </cols>
  <sheetData>
    <row r="1" spans="2:6" ht="15" thickBot="1" x14ac:dyDescent="0.4"/>
    <row r="2" spans="2:6" ht="15.5" x14ac:dyDescent="0.35">
      <c r="B2" s="383" t="s">
        <v>1394</v>
      </c>
      <c r="C2" s="383"/>
      <c r="D2" s="388"/>
      <c r="E2" s="388"/>
      <c r="F2" s="388"/>
    </row>
    <row r="3" spans="2:6" ht="15.5" collapsed="1" x14ac:dyDescent="0.35">
      <c r="B3" s="649" t="s">
        <v>1527</v>
      </c>
      <c r="C3" s="649"/>
      <c r="D3" s="389" t="s">
        <v>1370</v>
      </c>
      <c r="E3" s="389" t="s">
        <v>1371</v>
      </c>
      <c r="F3" s="389" t="s">
        <v>1499</v>
      </c>
    </row>
    <row r="4" spans="2:6" ht="42" hidden="1" outlineLevel="1" x14ac:dyDescent="0.35">
      <c r="B4" s="385"/>
      <c r="C4" s="385"/>
      <c r="E4" s="392" t="s">
        <v>1500</v>
      </c>
      <c r="F4" s="392" t="s">
        <v>1500</v>
      </c>
    </row>
    <row r="5" spans="2:6" x14ac:dyDescent="0.35">
      <c r="B5" s="386" t="s">
        <v>1395</v>
      </c>
      <c r="C5" s="386"/>
      <c r="D5" s="384"/>
      <c r="E5" s="384"/>
      <c r="F5" s="384"/>
    </row>
    <row r="6" spans="2:6" outlineLevel="1" x14ac:dyDescent="0.35">
      <c r="B6" s="660" t="s">
        <v>71</v>
      </c>
      <c r="C6" s="660"/>
      <c r="D6" s="9">
        <v>5.7344643937862802E-2</v>
      </c>
      <c r="E6" s="391">
        <v>5.3999999999999999E-2</v>
      </c>
      <c r="F6" s="391">
        <v>7.0000000000000007E-2</v>
      </c>
    </row>
    <row r="7" spans="2:6" outlineLevel="1" x14ac:dyDescent="0.35">
      <c r="B7" s="661" t="s">
        <v>72</v>
      </c>
      <c r="C7" s="661"/>
      <c r="D7" s="9">
        <v>2.4E-2</v>
      </c>
      <c r="E7" s="391">
        <v>2.8000000000000001E-2</v>
      </c>
      <c r="F7" s="391">
        <v>0.02</v>
      </c>
    </row>
    <row r="8" spans="2:6" outlineLevel="1" x14ac:dyDescent="0.35">
      <c r="B8" s="662" t="s">
        <v>111</v>
      </c>
      <c r="C8" s="662"/>
      <c r="D8" s="51">
        <v>6.6909120557076296</v>
      </c>
      <c r="E8" s="462">
        <v>7</v>
      </c>
      <c r="F8" s="462">
        <v>5</v>
      </c>
    </row>
    <row r="9" spans="2:6" x14ac:dyDescent="0.35">
      <c r="B9" s="386" t="s">
        <v>1396</v>
      </c>
      <c r="C9" s="386"/>
      <c r="D9" s="384"/>
      <c r="E9" s="384"/>
      <c r="F9" s="384"/>
    </row>
    <row r="10" spans="2:6" ht="15" outlineLevel="1" thickBot="1" x14ac:dyDescent="0.4">
      <c r="B10" s="387"/>
      <c r="C10" s="387" t="s">
        <v>79</v>
      </c>
      <c r="D10" s="461">
        <v>76880.333083474397</v>
      </c>
      <c r="E10" s="461">
        <v>88372.8118822213</v>
      </c>
      <c r="F10" s="461">
        <v>54447.650066570299</v>
      </c>
    </row>
  </sheetData>
  <mergeCells count="4">
    <mergeCell ref="B3:C3"/>
    <mergeCell ref="B6:C6"/>
    <mergeCell ref="B7:C7"/>
    <mergeCell ref="B8:C8"/>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08AF3-B5AC-4E0F-B6B1-16DF3E45BC05}">
  <sheetPr>
    <tabColor theme="9"/>
    <outlinePr summaryBelow="0"/>
  </sheetPr>
  <dimension ref="B1:J24"/>
  <sheetViews>
    <sheetView showGridLines="0" topLeftCell="A7" zoomScale="130" zoomScaleNormal="130" workbookViewId="0">
      <selection activeCell="D10" sqref="D10"/>
    </sheetView>
  </sheetViews>
  <sheetFormatPr defaultColWidth="8.81640625" defaultRowHeight="14.5" outlineLevelRow="1" outlineLevelCol="1" x14ac:dyDescent="0.35"/>
  <cols>
    <col min="2" max="2" width="19.453125" bestFit="1" customWidth="1"/>
    <col min="3" max="3" width="13.453125" bestFit="1" customWidth="1"/>
    <col min="4" max="10" width="15.453125" bestFit="1" customWidth="1" outlineLevel="1"/>
  </cols>
  <sheetData>
    <row r="1" spans="2:10" ht="15" thickBot="1" x14ac:dyDescent="0.4"/>
    <row r="2" spans="2:10" ht="15.5" x14ac:dyDescent="0.35">
      <c r="B2" s="383" t="s">
        <v>1394</v>
      </c>
      <c r="C2" s="383"/>
      <c r="D2" s="388"/>
      <c r="E2" s="388"/>
      <c r="F2" s="388"/>
      <c r="G2" s="388"/>
      <c r="H2" s="388"/>
      <c r="I2" s="388"/>
      <c r="J2" s="388"/>
    </row>
    <row r="3" spans="2:10" ht="15.5" collapsed="1" x14ac:dyDescent="0.35">
      <c r="B3" s="382" t="s">
        <v>1527</v>
      </c>
      <c r="C3" s="382"/>
      <c r="D3" s="389" t="s">
        <v>1370</v>
      </c>
      <c r="E3" s="389" t="s">
        <v>1496</v>
      </c>
      <c r="F3" s="389" t="s">
        <v>1498</v>
      </c>
      <c r="G3" s="389" t="s">
        <v>1415</v>
      </c>
      <c r="H3" s="389" t="s">
        <v>1419</v>
      </c>
      <c r="I3" s="389" t="s">
        <v>1413</v>
      </c>
      <c r="J3" s="389" t="s">
        <v>1414</v>
      </c>
    </row>
    <row r="4" spans="2:10" ht="21" hidden="1" outlineLevel="1" x14ac:dyDescent="0.35">
      <c r="B4" s="385"/>
      <c r="C4" s="385"/>
      <c r="E4" s="392" t="s">
        <v>1497</v>
      </c>
      <c r="F4" s="392" t="s">
        <v>1497</v>
      </c>
      <c r="G4" s="392" t="s">
        <v>1497</v>
      </c>
      <c r="H4" s="392" t="s">
        <v>1497</v>
      </c>
      <c r="I4" s="392" t="s">
        <v>1497</v>
      </c>
      <c r="J4" s="392" t="s">
        <v>1497</v>
      </c>
    </row>
    <row r="5" spans="2:10" x14ac:dyDescent="0.35">
      <c r="B5" s="386" t="s">
        <v>1395</v>
      </c>
      <c r="C5" s="386"/>
      <c r="D5" s="384"/>
      <c r="E5" s="384"/>
      <c r="F5" s="384"/>
      <c r="G5" s="384"/>
      <c r="H5" s="384"/>
      <c r="I5" s="384"/>
      <c r="J5" s="384"/>
    </row>
    <row r="6" spans="2:10" outlineLevel="1" x14ac:dyDescent="0.35">
      <c r="B6" s="385"/>
      <c r="C6" s="385" t="s">
        <v>111</v>
      </c>
      <c r="D6" s="71">
        <v>6.6909120557076296</v>
      </c>
      <c r="E6" s="519">
        <v>8</v>
      </c>
      <c r="F6" s="519">
        <v>5</v>
      </c>
      <c r="G6" s="71">
        <v>6.6909120557076296</v>
      </c>
      <c r="H6" s="71">
        <v>6.6909120557076296</v>
      </c>
      <c r="I6" s="71">
        <v>6.6909120557076296</v>
      </c>
      <c r="J6" s="71">
        <v>6.6909120557076296</v>
      </c>
    </row>
    <row r="7" spans="2:10" outlineLevel="1" x14ac:dyDescent="0.35">
      <c r="B7" s="385"/>
      <c r="C7" s="385" t="s">
        <v>72</v>
      </c>
      <c r="D7" s="9">
        <v>2.4E-2</v>
      </c>
      <c r="E7" s="9">
        <v>2.4E-2</v>
      </c>
      <c r="F7" s="9">
        <v>2.4E-2</v>
      </c>
      <c r="G7" s="391">
        <v>0.02</v>
      </c>
      <c r="H7" s="391">
        <v>0.03</v>
      </c>
      <c r="I7" s="9">
        <v>2.4E-2</v>
      </c>
      <c r="J7" s="9">
        <v>2.4E-2</v>
      </c>
    </row>
    <row r="8" spans="2:10" outlineLevel="1" x14ac:dyDescent="0.35">
      <c r="B8" s="385"/>
      <c r="C8" s="385" t="s">
        <v>71</v>
      </c>
      <c r="D8" s="11">
        <v>5.7344643937862802E-2</v>
      </c>
      <c r="E8" s="11">
        <v>5.7344643937862802E-2</v>
      </c>
      <c r="F8" s="11">
        <v>5.7344643937862802E-2</v>
      </c>
      <c r="G8" s="11">
        <v>5.7344643937862802E-2</v>
      </c>
      <c r="H8" s="11">
        <v>5.7344643937862802E-2</v>
      </c>
      <c r="I8" s="493">
        <v>0.05</v>
      </c>
      <c r="J8" s="493">
        <v>7.0000000000000007E-2</v>
      </c>
    </row>
    <row r="9" spans="2:10" x14ac:dyDescent="0.35">
      <c r="B9" s="386" t="s">
        <v>1396</v>
      </c>
      <c r="C9" s="386"/>
      <c r="D9" s="384"/>
      <c r="E9" s="384"/>
      <c r="F9" s="384"/>
      <c r="G9" s="384"/>
      <c r="H9" s="384"/>
      <c r="I9" s="384"/>
      <c r="J9" s="384"/>
    </row>
    <row r="10" spans="2:10" ht="15" outlineLevel="1" thickBot="1" x14ac:dyDescent="0.4">
      <c r="B10" s="387"/>
      <c r="C10" s="387" t="s">
        <v>79</v>
      </c>
      <c r="D10" s="461">
        <v>76880.333083474397</v>
      </c>
      <c r="E10" s="461">
        <v>84254.113847530403</v>
      </c>
      <c r="F10" s="461">
        <v>67355.827992392005</v>
      </c>
      <c r="G10" s="461">
        <v>73635.544949410803</v>
      </c>
      <c r="H10" s="461">
        <v>83527.455155849704</v>
      </c>
      <c r="I10" s="461">
        <v>88025.471605155602</v>
      </c>
      <c r="J10" s="461">
        <v>65097.182717632102</v>
      </c>
    </row>
    <row r="14" spans="2:10" ht="15" thickBot="1" x14ac:dyDescent="0.4"/>
    <row r="15" spans="2:10" ht="15" thickBot="1" x14ac:dyDescent="0.4">
      <c r="B15" s="646" t="s">
        <v>1503</v>
      </c>
      <c r="C15" s="647"/>
      <c r="D15" s="647"/>
      <c r="E15" s="648"/>
      <c r="F15" s="647" t="s">
        <v>1504</v>
      </c>
      <c r="G15" s="647"/>
      <c r="H15" s="647"/>
      <c r="I15" s="648"/>
    </row>
    <row r="16" spans="2:10" x14ac:dyDescent="0.35">
      <c r="B16" s="44" t="s">
        <v>1501</v>
      </c>
      <c r="C16" s="44" t="s">
        <v>1370</v>
      </c>
      <c r="D16" s="44" t="s">
        <v>1502</v>
      </c>
      <c r="E16" s="523" t="s">
        <v>1372</v>
      </c>
      <c r="F16" s="44" t="s">
        <v>1370</v>
      </c>
      <c r="G16" s="44" t="s">
        <v>1505</v>
      </c>
      <c r="H16" s="44" t="s">
        <v>1372</v>
      </c>
      <c r="I16" s="44" t="s">
        <v>1506</v>
      </c>
    </row>
    <row r="17" spans="2:9" x14ac:dyDescent="0.35">
      <c r="B17" t="s">
        <v>111</v>
      </c>
      <c r="C17" s="71">
        <v>6.6909120557076296</v>
      </c>
      <c r="D17">
        <f>E6</f>
        <v>8</v>
      </c>
      <c r="E17" s="364">
        <f>F6</f>
        <v>5</v>
      </c>
      <c r="F17" s="51">
        <f>D10</f>
        <v>76880.333083474397</v>
      </c>
      <c r="G17" s="51">
        <f>E10</f>
        <v>84254.113847530403</v>
      </c>
      <c r="H17" s="51">
        <f>F10</f>
        <v>67355.827992392005</v>
      </c>
      <c r="I17" s="522">
        <f>ABS(G17-H17)</f>
        <v>16898.285855138398</v>
      </c>
    </row>
    <row r="18" spans="2:9" x14ac:dyDescent="0.35">
      <c r="B18" t="s">
        <v>72</v>
      </c>
      <c r="C18" s="9">
        <v>2.4E-2</v>
      </c>
      <c r="D18" s="9">
        <f>H7</f>
        <v>0.03</v>
      </c>
      <c r="E18" s="520">
        <f>G7</f>
        <v>0.02</v>
      </c>
      <c r="F18" s="51">
        <f>F17</f>
        <v>76880.333083474397</v>
      </c>
      <c r="G18" s="51">
        <f>H10</f>
        <v>83527.455155849704</v>
      </c>
      <c r="H18" s="51">
        <f>G10</f>
        <v>73635.544949410803</v>
      </c>
      <c r="I18" s="522">
        <f t="shared" ref="I18:I19" si="0">ABS(G18-H18)</f>
        <v>9891.9102064389008</v>
      </c>
    </row>
    <row r="19" spans="2:9" x14ac:dyDescent="0.35">
      <c r="B19" t="s">
        <v>71</v>
      </c>
      <c r="C19" s="11">
        <v>5.7344643937862802E-2</v>
      </c>
      <c r="D19" s="11">
        <f>I8</f>
        <v>0.05</v>
      </c>
      <c r="E19" s="363">
        <f>J8</f>
        <v>7.0000000000000007E-2</v>
      </c>
      <c r="F19" s="51">
        <f>F18</f>
        <v>76880.333083474397</v>
      </c>
      <c r="G19" s="51">
        <f>I10</f>
        <v>88025.471605155602</v>
      </c>
      <c r="H19" s="51">
        <f>J10</f>
        <v>65097.182717632102</v>
      </c>
      <c r="I19" s="522">
        <f t="shared" si="0"/>
        <v>22928.2888875235</v>
      </c>
    </row>
    <row r="21" spans="2:9" x14ac:dyDescent="0.35">
      <c r="B21" t="s">
        <v>1507</v>
      </c>
      <c r="C21" t="s">
        <v>1505</v>
      </c>
      <c r="D21" t="s">
        <v>1372</v>
      </c>
    </row>
    <row r="22" spans="2:9" x14ac:dyDescent="0.35">
      <c r="B22" t="s">
        <v>111</v>
      </c>
      <c r="C22" s="330">
        <f>G17-F17</f>
        <v>7373.7807640560059</v>
      </c>
      <c r="D22" s="330">
        <f>H17-F17</f>
        <v>-9524.505091082392</v>
      </c>
    </row>
    <row r="23" spans="2:9" x14ac:dyDescent="0.35">
      <c r="B23" t="s">
        <v>72</v>
      </c>
      <c r="C23" s="330">
        <f t="shared" ref="C23:C24" si="1">G18-F18</f>
        <v>6647.1220723753067</v>
      </c>
      <c r="D23" s="330">
        <f>H18-F18</f>
        <v>-3244.788134063594</v>
      </c>
    </row>
    <row r="24" spans="2:9" x14ac:dyDescent="0.35">
      <c r="B24" t="s">
        <v>71</v>
      </c>
      <c r="C24" s="330">
        <f t="shared" si="1"/>
        <v>11145.138521681205</v>
      </c>
      <c r="D24" s="330">
        <f>H19-F19</f>
        <v>-11783.150365842295</v>
      </c>
    </row>
  </sheetData>
  <mergeCells count="2">
    <mergeCell ref="B15:E15"/>
    <mergeCell ref="F15:I15"/>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BA62F-EA8B-49C3-AAFB-12A3A1969F46}">
  <sheetPr>
    <tabColor theme="9"/>
  </sheetPr>
  <dimension ref="B1:H63"/>
  <sheetViews>
    <sheetView showGridLines="0" topLeftCell="A7" zoomScaleNormal="100" workbookViewId="0">
      <selection activeCell="F18" sqref="F18"/>
    </sheetView>
  </sheetViews>
  <sheetFormatPr defaultColWidth="8.81640625" defaultRowHeight="14.5" x14ac:dyDescent="0.35"/>
  <cols>
    <col min="2" max="2" width="34.453125" bestFit="1" customWidth="1"/>
    <col min="3" max="3" width="22.26953125" bestFit="1" customWidth="1"/>
    <col min="4" max="4" width="20.26953125" bestFit="1" customWidth="1"/>
    <col min="5" max="5" width="26.6328125" bestFit="1" customWidth="1"/>
    <col min="6" max="6" width="22.26953125" bestFit="1" customWidth="1"/>
    <col min="7" max="7" width="21.81640625" bestFit="1" customWidth="1"/>
    <col min="8" max="13" width="13.453125" bestFit="1" customWidth="1"/>
  </cols>
  <sheetData>
    <row r="1" spans="2:7" x14ac:dyDescent="0.35">
      <c r="B1" s="669" t="s">
        <v>1243</v>
      </c>
      <c r="C1" s="670"/>
      <c r="D1" s="670"/>
      <c r="E1" s="670"/>
      <c r="F1" s="671"/>
    </row>
    <row r="2" spans="2:7" x14ac:dyDescent="0.35">
      <c r="B2" s="30" t="s">
        <v>1284</v>
      </c>
      <c r="C2" s="525">
        <f>Beta!G12</f>
        <v>0.62498242739777909</v>
      </c>
      <c r="E2" s="40" t="s">
        <v>71</v>
      </c>
      <c r="F2" s="464">
        <v>5.7344643937862802E-2</v>
      </c>
    </row>
    <row r="3" spans="2:7" x14ac:dyDescent="0.35">
      <c r="B3" s="31" t="s">
        <v>81</v>
      </c>
      <c r="C3" s="73">
        <f>'WACC &amp; EBITDA Multiply'!B3</f>
        <v>2.7692000000000001E-2</v>
      </c>
      <c r="E3" s="40" t="s">
        <v>1246</v>
      </c>
      <c r="F3" s="72">
        <f>Assumptions!B20</f>
        <v>0.20791295761641804</v>
      </c>
    </row>
    <row r="4" spans="2:7" x14ac:dyDescent="0.35">
      <c r="B4" s="31" t="s">
        <v>1285</v>
      </c>
      <c r="C4" s="73">
        <f>'WACC &amp; EBITDA Multiply'!B5</f>
        <v>0.1113</v>
      </c>
      <c r="E4" s="40" t="s">
        <v>381</v>
      </c>
      <c r="F4" s="74">
        <f>FS!H28</f>
        <v>77794453</v>
      </c>
    </row>
    <row r="5" spans="2:7" x14ac:dyDescent="0.35">
      <c r="B5" s="31" t="s">
        <v>1286</v>
      </c>
      <c r="C5" s="463">
        <v>9.7252544169372804E-2</v>
      </c>
      <c r="E5" s="40" t="s">
        <v>72</v>
      </c>
      <c r="F5" s="75">
        <f>DCF!E4</f>
        <v>2.4E-2</v>
      </c>
    </row>
    <row r="6" spans="2:7" x14ac:dyDescent="0.35">
      <c r="B6" s="32" t="s">
        <v>1287</v>
      </c>
      <c r="C6" s="76">
        <f>Assumptions!B19</f>
        <v>5.139720240506488E-2</v>
      </c>
      <c r="D6" s="44"/>
      <c r="E6" s="77" t="s">
        <v>1250</v>
      </c>
      <c r="F6" s="465">
        <v>6.6909120557076296</v>
      </c>
    </row>
    <row r="7" spans="2:7" x14ac:dyDescent="0.35">
      <c r="C7" s="9"/>
      <c r="F7" s="51"/>
    </row>
    <row r="8" spans="2:7" x14ac:dyDescent="0.35">
      <c r="B8" s="79"/>
      <c r="C8" s="29">
        <v>1</v>
      </c>
      <c r="D8" s="29">
        <v>2</v>
      </c>
      <c r="E8" s="29">
        <v>3</v>
      </c>
      <c r="F8" s="29">
        <v>4</v>
      </c>
      <c r="G8" s="80">
        <v>5</v>
      </c>
    </row>
    <row r="9" spans="2:7" x14ac:dyDescent="0.35">
      <c r="B9" s="81"/>
      <c r="C9" s="82">
        <f>[1]DCF!G8</f>
        <v>2023</v>
      </c>
      <c r="D9" s="82">
        <f>[1]DCF!H8</f>
        <v>2024</v>
      </c>
      <c r="E9" s="82">
        <f>[1]DCF!I8</f>
        <v>2025</v>
      </c>
      <c r="F9" s="82">
        <f>[1]DCF!J8</f>
        <v>2026</v>
      </c>
      <c r="G9" s="83">
        <f>[1]DCF!K8</f>
        <v>2027</v>
      </c>
    </row>
    <row r="10" spans="2:7" x14ac:dyDescent="0.35">
      <c r="B10" s="84" t="s">
        <v>1288</v>
      </c>
      <c r="C10" s="85">
        <f>DCF!B21</f>
        <v>5024888825.7580338</v>
      </c>
      <c r="D10" s="85">
        <f>DCF!C21</f>
        <v>218091742629.86484</v>
      </c>
      <c r="E10" s="85">
        <f>DCF!D21</f>
        <v>146692369406.48001</v>
      </c>
      <c r="F10" s="85">
        <f>DCF!E21</f>
        <v>168871590090.15259</v>
      </c>
      <c r="G10" s="85">
        <f>DCF!F21</f>
        <v>196438073800.26346</v>
      </c>
    </row>
    <row r="11" spans="2:7" x14ac:dyDescent="0.35">
      <c r="B11" s="86"/>
      <c r="F11" s="87" t="s">
        <v>1289</v>
      </c>
      <c r="G11" s="88">
        <f>G10*(1+F5)/(F2-F5)</f>
        <v>6032530680079.0654</v>
      </c>
    </row>
    <row r="12" spans="2:7" x14ac:dyDescent="0.35">
      <c r="B12" s="84" t="s">
        <v>1290</v>
      </c>
      <c r="C12" s="85">
        <f>FS!I18</f>
        <v>12669338015.616449</v>
      </c>
      <c r="D12" s="85">
        <f>FS!J18</f>
        <v>25178602664.827503</v>
      </c>
      <c r="E12" s="85">
        <f>FS!K18</f>
        <v>37498321069.898178</v>
      </c>
      <c r="F12" s="85">
        <f>FS!L18</f>
        <v>57624082297.313599</v>
      </c>
      <c r="G12" s="85">
        <f>FS!M18</f>
        <v>81845275428.615295</v>
      </c>
    </row>
    <row r="13" spans="2:7" x14ac:dyDescent="0.35">
      <c r="B13" s="89" t="s">
        <v>1291</v>
      </c>
      <c r="C13" s="90">
        <f>C12*$F$3</f>
        <v>2634119537.8689365</v>
      </c>
      <c r="D13" s="91">
        <f>D12*$F$3</f>
        <v>5234957748.6929111</v>
      </c>
      <c r="E13" s="91">
        <f>E12*$F$3</f>
        <v>7796386839.2925758</v>
      </c>
      <c r="F13" s="91">
        <f>F12*$F$3</f>
        <v>11980793380.366346</v>
      </c>
      <c r="G13" s="78">
        <f>G12*$F$3</f>
        <v>17016693281.293753</v>
      </c>
    </row>
    <row r="14" spans="2:7" x14ac:dyDescent="0.35">
      <c r="C14" s="51"/>
      <c r="D14" s="51"/>
      <c r="E14" s="51"/>
      <c r="F14" s="51"/>
      <c r="G14" s="51"/>
    </row>
    <row r="15" spans="2:7" x14ac:dyDescent="0.35">
      <c r="B15" s="64" t="s">
        <v>1292</v>
      </c>
      <c r="C15" s="51"/>
      <c r="D15" s="51"/>
      <c r="E15" s="92" t="s">
        <v>1265</v>
      </c>
      <c r="F15" s="51"/>
      <c r="G15" s="51"/>
    </row>
    <row r="16" spans="2:7" x14ac:dyDescent="0.35">
      <c r="B16" s="40" t="s">
        <v>1293</v>
      </c>
      <c r="C16" s="536">
        <f>NPV(C5,C10:G10)</f>
        <v>536774966766.98248</v>
      </c>
      <c r="E16" s="40" t="s">
        <v>1293</v>
      </c>
      <c r="F16" s="327">
        <f>NPV(C5,C10:G10)</f>
        <v>536774966766.98248</v>
      </c>
    </row>
    <row r="17" spans="2:8" x14ac:dyDescent="0.35">
      <c r="B17" s="40" t="s">
        <v>1294</v>
      </c>
      <c r="C17" s="536">
        <f>NPV(C6,C13:G13)</f>
        <v>36998006057.168427</v>
      </c>
      <c r="E17" s="40" t="s">
        <v>1294</v>
      </c>
      <c r="F17" s="327">
        <f>NPV(C6,C13:G13)</f>
        <v>36998006057.168427</v>
      </c>
    </row>
    <row r="18" spans="2:8" x14ac:dyDescent="0.35">
      <c r="B18" s="40" t="s">
        <v>1295</v>
      </c>
      <c r="C18" s="536">
        <f>PV(C5,G8,0,-G11)</f>
        <v>3792857766261.106</v>
      </c>
      <c r="E18" s="40" t="s">
        <v>1269</v>
      </c>
      <c r="F18" s="94">
        <f>FS!M15</f>
        <v>1158198166962.9985</v>
      </c>
    </row>
    <row r="19" spans="2:8" x14ac:dyDescent="0.35">
      <c r="B19" s="40" t="s">
        <v>1296</v>
      </c>
      <c r="C19" s="326">
        <f>C18/C20</f>
        <v>0.86860052816273914</v>
      </c>
      <c r="E19" s="40" t="s">
        <v>74</v>
      </c>
      <c r="F19" s="56">
        <f>F6</f>
        <v>6.6909120557076296</v>
      </c>
    </row>
    <row r="20" spans="2:8" x14ac:dyDescent="0.35">
      <c r="B20" s="40" t="s">
        <v>1279</v>
      </c>
      <c r="C20" s="536">
        <f>C18+C17+C16</f>
        <v>4366630739085.2568</v>
      </c>
      <c r="E20" s="40"/>
      <c r="F20" s="40"/>
    </row>
    <row r="21" spans="2:8" x14ac:dyDescent="0.35">
      <c r="B21" s="40" t="s">
        <v>1280</v>
      </c>
      <c r="C21" s="56">
        <f>DCF!B39</f>
        <v>158869533818</v>
      </c>
      <c r="E21" s="40" t="s">
        <v>1297</v>
      </c>
      <c r="F21" s="56">
        <f>F18*F19</f>
        <v>7749402078231.2051</v>
      </c>
    </row>
    <row r="22" spans="2:8" x14ac:dyDescent="0.35">
      <c r="B22" s="40" t="s">
        <v>1282</v>
      </c>
      <c r="C22" s="536">
        <f>C20+C21</f>
        <v>4525500272903.2568</v>
      </c>
      <c r="E22" s="40" t="s">
        <v>1295</v>
      </c>
      <c r="F22" s="327">
        <f>PV(C5,G8,0,-F21)</f>
        <v>4872313364830.4873</v>
      </c>
      <c r="G22" s="330"/>
    </row>
    <row r="23" spans="2:8" x14ac:dyDescent="0.35">
      <c r="B23" s="95" t="s">
        <v>1278</v>
      </c>
      <c r="C23" s="537">
        <f>C22/F4</f>
        <v>58172.531567298982</v>
      </c>
      <c r="E23" s="40"/>
      <c r="F23" s="40"/>
    </row>
    <row r="24" spans="2:8" x14ac:dyDescent="0.35">
      <c r="E24" s="40" t="s">
        <v>1298</v>
      </c>
      <c r="F24" s="93">
        <f>F22+F17+F16</f>
        <v>5446086337654.6377</v>
      </c>
    </row>
    <row r="25" spans="2:8" x14ac:dyDescent="0.35">
      <c r="B25" s="64" t="s">
        <v>1299</v>
      </c>
      <c r="E25" s="40" t="s">
        <v>1280</v>
      </c>
      <c r="F25" s="56">
        <f>DCF!B39</f>
        <v>158869533818</v>
      </c>
    </row>
    <row r="26" spans="2:8" x14ac:dyDescent="0.35">
      <c r="B26" s="42" t="s">
        <v>1300</v>
      </c>
      <c r="C26" s="320">
        <f>AVERAGE(F24,C20)</f>
        <v>4906358538369.9473</v>
      </c>
      <c r="E26" s="40" t="s">
        <v>1282</v>
      </c>
      <c r="F26" s="536">
        <f>F24+F25</f>
        <v>5604955871472.6377</v>
      </c>
    </row>
    <row r="27" spans="2:8" x14ac:dyDescent="0.35">
      <c r="B27" s="31" t="s">
        <v>1280</v>
      </c>
      <c r="C27" s="65">
        <f>C21</f>
        <v>158869533818</v>
      </c>
      <c r="E27" s="95" t="s">
        <v>1278</v>
      </c>
      <c r="F27" s="537">
        <f>F26/F4</f>
        <v>72048.271506872581</v>
      </c>
    </row>
    <row r="28" spans="2:8" x14ac:dyDescent="0.35">
      <c r="B28" s="31" t="s">
        <v>1282</v>
      </c>
      <c r="C28" s="144">
        <f>C26+C27</f>
        <v>5065228072187.9473</v>
      </c>
    </row>
    <row r="29" spans="2:8" x14ac:dyDescent="0.35">
      <c r="B29" s="31"/>
      <c r="C29" s="14"/>
    </row>
    <row r="30" spans="2:8" x14ac:dyDescent="0.35">
      <c r="B30" s="95" t="s">
        <v>1278</v>
      </c>
      <c r="C30" s="537">
        <f>C28/F4</f>
        <v>65110.401537085774</v>
      </c>
    </row>
    <row r="32" spans="2:8" x14ac:dyDescent="0.35">
      <c r="B32" s="672" t="s">
        <v>1528</v>
      </c>
      <c r="C32" s="673"/>
      <c r="D32" s="673"/>
      <c r="E32" s="673"/>
      <c r="F32" s="673"/>
      <c r="G32" s="673"/>
      <c r="H32" s="674"/>
    </row>
    <row r="33" spans="2:8" x14ac:dyDescent="0.35">
      <c r="B33" s="31"/>
      <c r="D33" s="667" t="s">
        <v>71</v>
      </c>
      <c r="E33" s="667"/>
      <c r="F33" s="667"/>
      <c r="G33" s="667"/>
      <c r="H33" s="668"/>
    </row>
    <row r="34" spans="2:8" ht="15" thickBot="1" x14ac:dyDescent="0.4">
      <c r="B34" s="31"/>
      <c r="C34" s="524">
        <f>C23</f>
        <v>58172.531567298982</v>
      </c>
      <c r="D34" s="526">
        <v>3.7199999999999997E-2</v>
      </c>
      <c r="E34" s="526">
        <v>4.7199999999999999E-2</v>
      </c>
      <c r="F34" s="355">
        <v>5.734464393786283E-2</v>
      </c>
      <c r="G34" s="526">
        <v>6.7199999999999996E-2</v>
      </c>
      <c r="H34" s="532">
        <v>7.7200000000000005E-2</v>
      </c>
    </row>
    <row r="35" spans="2:8" x14ac:dyDescent="0.35">
      <c r="B35" s="663" t="s">
        <v>72</v>
      </c>
      <c r="C35" s="363">
        <v>1.6E-2</v>
      </c>
      <c r="D35" s="143">
        <f t="dataTable" ref="D35:H39" dt2D="1" dtr="1" r1="F2" r2="F5"/>
        <v>85503.170441683425</v>
      </c>
      <c r="E35" s="143">
        <v>61116.792179275406</v>
      </c>
      <c r="F35" s="143">
        <v>48431.492856603691</v>
      </c>
      <c r="G35" s="143">
        <v>40921.822680718775</v>
      </c>
      <c r="H35" s="144">
        <v>35774.085357557284</v>
      </c>
    </row>
    <row r="36" spans="2:8" x14ac:dyDescent="0.35">
      <c r="B36" s="663"/>
      <c r="C36" s="363">
        <v>0.02</v>
      </c>
      <c r="D36" s="143">
        <v>103566.68462987265</v>
      </c>
      <c r="E36" s="143">
        <v>68953.076406746826</v>
      </c>
      <c r="F36" s="143">
        <v>52780.328902992573</v>
      </c>
      <c r="G36" s="143">
        <v>43726.209396672093</v>
      </c>
      <c r="H36" s="144">
        <v>37728.21304462634</v>
      </c>
    </row>
    <row r="37" spans="2:8" x14ac:dyDescent="0.35">
      <c r="B37" s="663"/>
      <c r="C37" s="363">
        <v>2.4E-2</v>
      </c>
      <c r="D37" s="143">
        <v>132577.78317454021</v>
      </c>
      <c r="E37" s="143">
        <v>79491.527609208395</v>
      </c>
      <c r="F37" s="143">
        <v>58172.531567298945</v>
      </c>
      <c r="G37" s="143">
        <v>47049.926985950086</v>
      </c>
      <c r="H37" s="144">
        <v>39976.194519224577</v>
      </c>
    </row>
    <row r="38" spans="2:8" x14ac:dyDescent="0.35">
      <c r="B38" s="663"/>
      <c r="C38" s="363">
        <v>2.8000000000000001E-2</v>
      </c>
      <c r="D38" s="143">
        <v>186815.9239319622</v>
      </c>
      <c r="E38" s="143">
        <v>94421.00014602895</v>
      </c>
      <c r="F38" s="143">
        <v>65034.76812964119</v>
      </c>
      <c r="G38" s="143">
        <v>51051.954287325621</v>
      </c>
      <c r="H38" s="144">
        <v>42589.701436846924</v>
      </c>
    </row>
    <row r="39" spans="2:8" x14ac:dyDescent="0.35">
      <c r="B39" s="663"/>
      <c r="C39" s="363">
        <v>3.2000000000000001E-2</v>
      </c>
      <c r="D39" s="143">
        <v>324497.35816234112</v>
      </c>
      <c r="E39" s="143">
        <v>117208.08980749192</v>
      </c>
      <c r="F39" s="143">
        <v>74063.059683062806</v>
      </c>
      <c r="G39" s="143">
        <v>55963.533248104708</v>
      </c>
      <c r="H39" s="144">
        <v>45665.775950508621</v>
      </c>
    </row>
    <row r="40" spans="2:8" x14ac:dyDescent="0.35">
      <c r="B40" s="534"/>
      <c r="C40" s="535"/>
      <c r="D40" s="143"/>
      <c r="E40" s="143"/>
      <c r="F40" s="143"/>
      <c r="G40" s="143"/>
      <c r="H40" s="144"/>
    </row>
    <row r="41" spans="2:8" x14ac:dyDescent="0.35">
      <c r="B41" s="31"/>
      <c r="D41" s="665" t="s">
        <v>1532</v>
      </c>
      <c r="E41" s="665"/>
      <c r="F41" s="665"/>
      <c r="G41" s="665"/>
      <c r="H41" s="666"/>
    </row>
    <row r="42" spans="2:8" ht="15" thickBot="1" x14ac:dyDescent="0.4">
      <c r="B42" s="31"/>
      <c r="C42" s="524">
        <f>F27</f>
        <v>72048.271506872581</v>
      </c>
      <c r="D42" s="526">
        <f>E42-1%</f>
        <v>7.7252544169372828E-2</v>
      </c>
      <c r="E42" s="526">
        <f>F42-1%</f>
        <v>8.7252544169372823E-2</v>
      </c>
      <c r="F42" s="355">
        <v>9.7252544169372818E-2</v>
      </c>
      <c r="G42" s="526">
        <f>F42+1%</f>
        <v>0.10725254416937281</v>
      </c>
      <c r="H42" s="532">
        <f>G42+1%</f>
        <v>0.11725254416937281</v>
      </c>
    </row>
    <row r="43" spans="2:8" x14ac:dyDescent="0.35">
      <c r="B43" s="663" t="s">
        <v>111</v>
      </c>
      <c r="C43" s="364">
        <v>4.6900000000000004</v>
      </c>
      <c r="D43">
        <f t="dataTable" ref="D43:H47" dt2D="1" dtr="1" r1="C5" r2="F6"/>
        <v>57984.708678964875</v>
      </c>
      <c r="E43">
        <v>55588.5590604471</v>
      </c>
      <c r="F43">
        <v>53318.638828732801</v>
      </c>
      <c r="G43">
        <v>51167.191409901097</v>
      </c>
      <c r="H43" s="14">
        <v>49127.00227262995</v>
      </c>
    </row>
    <row r="44" spans="2:8" x14ac:dyDescent="0.35">
      <c r="B44" s="663"/>
      <c r="C44" s="364">
        <v>5.69</v>
      </c>
      <c r="D44">
        <v>68247.053415948962</v>
      </c>
      <c r="E44">
        <v>65387.566307301451</v>
      </c>
      <c r="F44">
        <v>62679.186497338851</v>
      </c>
      <c r="G44">
        <v>60112.612880944267</v>
      </c>
      <c r="H44" s="14">
        <v>57679.195019487692</v>
      </c>
    </row>
    <row r="45" spans="2:8" x14ac:dyDescent="0.35">
      <c r="B45" s="663"/>
      <c r="C45" s="527">
        <v>6.6909120557076296</v>
      </c>
      <c r="D45">
        <v>78518.757983024116</v>
      </c>
      <c r="E45">
        <v>75195.510794644375</v>
      </c>
      <c r="F45">
        <v>72048.271506872581</v>
      </c>
      <c r="G45">
        <v>69066.193074697236</v>
      </c>
      <c r="H45" s="14">
        <v>66239.187842552928</v>
      </c>
    </row>
    <row r="46" spans="2:8" x14ac:dyDescent="0.35">
      <c r="B46" s="663"/>
      <c r="C46" s="364">
        <v>7.69</v>
      </c>
      <c r="D46">
        <v>88771.742889917179</v>
      </c>
      <c r="E46">
        <v>84985.580801010132</v>
      </c>
      <c r="F46">
        <v>81400.281834550929</v>
      </c>
      <c r="G46">
        <v>78003.455823030585</v>
      </c>
      <c r="H46" s="14">
        <v>74783.580513203138</v>
      </c>
    </row>
    <row r="47" spans="2:8" x14ac:dyDescent="0.35">
      <c r="B47" s="663"/>
      <c r="C47" s="364">
        <v>8.69</v>
      </c>
      <c r="D47">
        <v>99034.087626901281</v>
      </c>
      <c r="E47">
        <v>94784.588047864469</v>
      </c>
      <c r="F47">
        <v>90760.829503156987</v>
      </c>
      <c r="G47">
        <v>86948.87729407374</v>
      </c>
      <c r="H47" s="14">
        <v>83335.773260060887</v>
      </c>
    </row>
    <row r="48" spans="2:8" x14ac:dyDescent="0.35">
      <c r="B48" s="31"/>
      <c r="H48" s="14"/>
    </row>
    <row r="49" spans="2:8" x14ac:dyDescent="0.35">
      <c r="B49" s="31"/>
      <c r="D49" s="667" t="s">
        <v>71</v>
      </c>
      <c r="E49" s="667"/>
      <c r="F49" s="667"/>
      <c r="G49" s="667"/>
      <c r="H49" s="668"/>
    </row>
    <row r="50" spans="2:8" ht="15" thickBot="1" x14ac:dyDescent="0.4">
      <c r="B50" s="31"/>
      <c r="C50" s="524">
        <f>C30</f>
        <v>65110.401537085774</v>
      </c>
      <c r="D50" s="526">
        <v>3.7199999999999997E-2</v>
      </c>
      <c r="E50" s="526">
        <v>4.7199999999999999E-2</v>
      </c>
      <c r="F50" s="355">
        <v>5.734464393786283E-2</v>
      </c>
      <c r="G50" s="526">
        <v>6.7199999999999996E-2</v>
      </c>
      <c r="H50" s="532">
        <v>7.7200000000000005E-2</v>
      </c>
    </row>
    <row r="51" spans="2:8" x14ac:dyDescent="0.35">
      <c r="B51" s="663" t="s">
        <v>72</v>
      </c>
      <c r="C51" s="521">
        <v>1.6E-2</v>
      </c>
      <c r="D51" s="143">
        <f t="dataTable" ref="D51:H55" dt2D="1" dtr="1" r1="F2" r2="F5" ca="1"/>
        <v>78775.720974277996</v>
      </c>
      <c r="E51" s="143">
        <v>66582.531843074001</v>
      </c>
      <c r="F51" s="143">
        <v>60239.882181738132</v>
      </c>
      <c r="G51" s="143">
        <v>56485.047093795678</v>
      </c>
      <c r="H51" s="144">
        <v>53911.178432214925</v>
      </c>
    </row>
    <row r="52" spans="2:8" x14ac:dyDescent="0.35">
      <c r="B52" s="663"/>
      <c r="C52" s="521">
        <v>0.02</v>
      </c>
      <c r="D52" s="143">
        <v>87807.478068372613</v>
      </c>
      <c r="E52" s="143">
        <v>70500.673956809696</v>
      </c>
      <c r="F52" s="143">
        <v>62414.300204932573</v>
      </c>
      <c r="G52" s="143">
        <v>57887.240451772333</v>
      </c>
      <c r="H52" s="144">
        <v>54888.242275749457</v>
      </c>
    </row>
    <row r="53" spans="2:8" x14ac:dyDescent="0.35">
      <c r="B53" s="663"/>
      <c r="C53" s="521">
        <v>2.4E-2</v>
      </c>
      <c r="D53" s="143">
        <v>102313.02734070639</v>
      </c>
      <c r="E53" s="143">
        <v>75769.899558040488</v>
      </c>
      <c r="F53" s="143">
        <v>65110.401537085752</v>
      </c>
      <c r="G53" s="143">
        <v>59549.099246411322</v>
      </c>
      <c r="H53" s="144">
        <v>56012.233013048572</v>
      </c>
    </row>
    <row r="54" spans="2:8" x14ac:dyDescent="0.35">
      <c r="B54" s="663"/>
      <c r="C54" s="521">
        <v>2.8000000000000001E-2</v>
      </c>
      <c r="D54" s="143">
        <v>129432.09771941739</v>
      </c>
      <c r="E54" s="143">
        <v>83234.635826450758</v>
      </c>
      <c r="F54" s="143">
        <v>68541.519818256871</v>
      </c>
      <c r="G54" s="143">
        <v>61550.112897099098</v>
      </c>
      <c r="H54" s="144">
        <v>57318.986471859746</v>
      </c>
    </row>
    <row r="55" spans="2:8" x14ac:dyDescent="0.35">
      <c r="B55" s="663"/>
      <c r="C55" s="521">
        <v>3.2000000000000001E-2</v>
      </c>
      <c r="D55" s="143">
        <v>198272.81483460686</v>
      </c>
      <c r="E55" s="143">
        <v>94628.180657182253</v>
      </c>
      <c r="F55" s="143">
        <v>73055.665594967693</v>
      </c>
      <c r="G55" s="143">
        <v>64005.902377488652</v>
      </c>
      <c r="H55" s="144">
        <v>58857.023728690605</v>
      </c>
    </row>
    <row r="56" spans="2:8" x14ac:dyDescent="0.35">
      <c r="B56" s="31"/>
      <c r="H56" s="14"/>
    </row>
    <row r="57" spans="2:8" x14ac:dyDescent="0.35">
      <c r="B57" s="31"/>
      <c r="D57" s="665" t="s">
        <v>1532</v>
      </c>
      <c r="E57" s="665"/>
      <c r="F57" s="665"/>
      <c r="G57" s="665"/>
      <c r="H57" s="666"/>
    </row>
    <row r="58" spans="2:8" ht="15" thickBot="1" x14ac:dyDescent="0.4">
      <c r="B58" s="31"/>
      <c r="C58" s="524">
        <f>C30</f>
        <v>65110.401537085774</v>
      </c>
      <c r="D58" s="526">
        <f>E58-1%</f>
        <v>7.7252544169372828E-2</v>
      </c>
      <c r="E58" s="526">
        <f>F58-1%</f>
        <v>8.7252544169372823E-2</v>
      </c>
      <c r="F58" s="355">
        <v>9.7252544169372818E-2</v>
      </c>
      <c r="G58" s="526">
        <f>F58+1%</f>
        <v>0.10725254416937281</v>
      </c>
      <c r="H58" s="532">
        <f>G58+1%</f>
        <v>0.11725254416937281</v>
      </c>
    </row>
    <row r="59" spans="2:8" x14ac:dyDescent="0.35">
      <c r="B59" s="663" t="s">
        <v>111</v>
      </c>
      <c r="C59" s="364">
        <v>4.6900000000000004</v>
      </c>
      <c r="D59" s="143">
        <f t="dataTable" ref="D59:H63" dt2D="1" dtr="1" r1="C5" r2="F6" ca="1"/>
        <v>60645.467555636875</v>
      </c>
      <c r="E59" s="143">
        <v>58129.18658591681</v>
      </c>
      <c r="F59" s="143">
        <v>55745.585198015891</v>
      </c>
      <c r="G59" s="143">
        <v>53486.50636127597</v>
      </c>
      <c r="H59" s="144">
        <v>51344.363250984592</v>
      </c>
    </row>
    <row r="60" spans="2:8" x14ac:dyDescent="0.35">
      <c r="B60" s="663"/>
      <c r="C60" s="364">
        <v>5.69</v>
      </c>
      <c r="D60" s="143">
        <v>65776.639924128933</v>
      </c>
      <c r="E60" s="143">
        <v>63028.690209343986</v>
      </c>
      <c r="F60" s="143">
        <v>60425.859032318913</v>
      </c>
      <c r="G60" s="143">
        <v>57959.217096797547</v>
      </c>
      <c r="H60" s="144">
        <v>55620.459624413452</v>
      </c>
    </row>
    <row r="61" spans="2:8" x14ac:dyDescent="0.35">
      <c r="B61" s="663"/>
      <c r="C61" s="527">
        <v>6.6909120557076296</v>
      </c>
      <c r="D61" s="143">
        <v>70912.492207666495</v>
      </c>
      <c r="E61" s="143">
        <v>67932.662453015437</v>
      </c>
      <c r="F61" s="143">
        <v>65110.401537085774</v>
      </c>
      <c r="G61" s="143">
        <v>62436.00719367405</v>
      </c>
      <c r="H61" s="144">
        <v>59900.456035946081</v>
      </c>
    </row>
    <row r="62" spans="2:8" x14ac:dyDescent="0.35">
      <c r="B62" s="663"/>
      <c r="C62" s="364">
        <v>7.69</v>
      </c>
      <c r="D62" s="143">
        <v>76038.984661113034</v>
      </c>
      <c r="E62" s="143">
        <v>72827.697456198322</v>
      </c>
      <c r="F62" s="143">
        <v>69786.40670092497</v>
      </c>
      <c r="G62" s="143">
        <v>66904.63856784071</v>
      </c>
      <c r="H62" s="144">
        <v>64172.652371271193</v>
      </c>
    </row>
    <row r="63" spans="2:8" x14ac:dyDescent="0.35">
      <c r="B63" s="664"/>
      <c r="C63" s="523">
        <v>8.69</v>
      </c>
      <c r="D63" s="146">
        <v>81170.157029605092</v>
      </c>
      <c r="E63" s="146">
        <v>77727.201079625491</v>
      </c>
      <c r="F63" s="146">
        <v>74466.680535227992</v>
      </c>
      <c r="G63" s="146">
        <v>71377.34930336228</v>
      </c>
      <c r="H63" s="147">
        <v>68448.748744700046</v>
      </c>
    </row>
  </sheetData>
  <scenarios current="3" sqref="C30">
    <scenario name="Best WACC" locked="1" count="1" user="Lê Đức" comment="Created by Lê Đức on 7/19/2023">
      <inputCells r="F2" val="0.05" numFmtId="10"/>
    </scenario>
    <scenario name="Worst WACC" locked="1" count="1" user="Lê Đức" comment="Created by Lê Đức on 7/19/2023">
      <inputCells r="F2" val="0.06" numFmtId="10"/>
    </scenario>
    <scenario name="Best EV/EBITDA" locked="1" count="1" user="Lê Đức" comment="Created by Lê Đức on 7/19/2023">
      <inputCells r="F6" val="7" numFmtId="165"/>
    </scenario>
    <scenario name="Worst EV/EBITDA" locked="1" count="1" user="Lê Đức" comment="Created by Lê Đức on 7/19/2023_x000a_Modified by Lê Đức on 7/19/2023">
      <inputCells r="F6" val="6" numFmtId="165"/>
    </scenario>
    <scenario name="Best cost of unlevered equity" locked="1" count="1" user="Lê Đức" comment="Created by Lê Đức on 7/19/2023">
      <inputCells r="C5" val="0.09" numFmtId="10"/>
    </scenario>
    <scenario name="Worst cost of unlevered equity" locked="1" count="1" user="Lê Đức" comment="Created by Lê Đức on 7/19/2023">
      <inputCells r="C5" val="0.1" numFmtId="10"/>
    </scenario>
  </scenarios>
  <mergeCells count="10">
    <mergeCell ref="B1:F1"/>
    <mergeCell ref="B35:B39"/>
    <mergeCell ref="B43:B47"/>
    <mergeCell ref="B51:B55"/>
    <mergeCell ref="B32:H32"/>
    <mergeCell ref="B59:B63"/>
    <mergeCell ref="D41:H41"/>
    <mergeCell ref="D57:H57"/>
    <mergeCell ref="D33:H33"/>
    <mergeCell ref="D49:H49"/>
  </mergeCells>
  <conditionalFormatting sqref="D35:H40">
    <cfRule type="colorScale" priority="4">
      <colorScale>
        <cfvo type="min"/>
        <cfvo type="percentile" val="50"/>
        <cfvo type="max"/>
        <color rgb="FFF8696B"/>
        <color rgb="FFFFEB84"/>
        <color rgb="FF63BE7B"/>
      </colorScale>
    </cfRule>
  </conditionalFormatting>
  <conditionalFormatting sqref="D51:H55">
    <cfRule type="colorScale" priority="3">
      <colorScale>
        <cfvo type="min"/>
        <cfvo type="percentile" val="50"/>
        <cfvo type="max"/>
        <color rgb="FFF8696B"/>
        <color rgb="FFFFEB84"/>
        <color rgb="FF63BE7B"/>
      </colorScale>
    </cfRule>
  </conditionalFormatting>
  <conditionalFormatting sqref="D59:H63">
    <cfRule type="colorScale" priority="2">
      <colorScale>
        <cfvo type="min"/>
        <cfvo type="percentile" val="50"/>
        <cfvo type="max"/>
        <color rgb="FFF8696B"/>
        <color rgb="FFFFEB84"/>
        <color rgb="FF63BE7B"/>
      </colorScale>
    </cfRule>
  </conditionalFormatting>
  <conditionalFormatting sqref="D43:H4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DD762-A815-426E-9441-3412AB1A4854}">
  <sheetPr>
    <tabColor theme="9"/>
    <outlinePr summaryBelow="0"/>
  </sheetPr>
  <dimension ref="B1:F10"/>
  <sheetViews>
    <sheetView showGridLines="0" zoomScale="80" zoomScaleNormal="175" workbookViewId="0">
      <selection activeCell="B20" sqref="B20"/>
    </sheetView>
  </sheetViews>
  <sheetFormatPr defaultColWidth="8.81640625" defaultRowHeight="14.5" outlineLevelRow="1" outlineLevelCol="1" x14ac:dyDescent="0.35"/>
  <cols>
    <col min="2" max="2" width="63" bestFit="1" customWidth="1"/>
    <col min="3" max="3" width="23.26953125" bestFit="1" customWidth="1"/>
    <col min="4" max="4" width="13.1796875" bestFit="1" customWidth="1" outlineLevel="1"/>
    <col min="5" max="6" width="12.1796875" bestFit="1" customWidth="1" outlineLevel="1"/>
  </cols>
  <sheetData>
    <row r="1" spans="2:6" ht="15" thickBot="1" x14ac:dyDescent="0.4"/>
    <row r="2" spans="2:6" ht="15.5" x14ac:dyDescent="0.35">
      <c r="B2" s="383" t="s">
        <v>1394</v>
      </c>
      <c r="C2" s="383"/>
      <c r="D2" s="388"/>
      <c r="E2" s="388"/>
      <c r="F2" s="388"/>
    </row>
    <row r="3" spans="2:6" ht="15.5" collapsed="1" x14ac:dyDescent="0.35">
      <c r="B3" s="382"/>
      <c r="C3" s="382"/>
      <c r="D3" s="389" t="s">
        <v>1409</v>
      </c>
      <c r="E3" s="389" t="s">
        <v>50</v>
      </c>
      <c r="F3" s="389" t="s">
        <v>52</v>
      </c>
    </row>
    <row r="4" spans="2:6" ht="21" hidden="1" outlineLevel="1" x14ac:dyDescent="0.35">
      <c r="B4" s="385"/>
      <c r="C4" s="385"/>
      <c r="E4" s="392" t="s">
        <v>1533</v>
      </c>
      <c r="F4" s="392" t="s">
        <v>1533</v>
      </c>
    </row>
    <row r="5" spans="2:6" x14ac:dyDescent="0.35">
      <c r="B5" s="386" t="s">
        <v>1395</v>
      </c>
      <c r="C5" s="386"/>
      <c r="D5" s="384"/>
      <c r="E5" s="384"/>
      <c r="F5" s="384"/>
    </row>
    <row r="6" spans="2:6" outlineLevel="1" x14ac:dyDescent="0.35">
      <c r="B6" s="385"/>
      <c r="C6" s="385" t="s">
        <v>111</v>
      </c>
      <c r="D6">
        <v>6.6909120557076296</v>
      </c>
      <c r="E6" s="540">
        <v>7</v>
      </c>
      <c r="F6" s="540">
        <v>6</v>
      </c>
    </row>
    <row r="7" spans="2:6" outlineLevel="1" x14ac:dyDescent="0.35">
      <c r="B7" s="385"/>
      <c r="C7" s="385" t="s">
        <v>71</v>
      </c>
      <c r="D7" s="541">
        <v>5.7344643937862802E-2</v>
      </c>
      <c r="E7" s="542">
        <v>0.05</v>
      </c>
      <c r="F7" s="542">
        <v>0.06</v>
      </c>
    </row>
    <row r="8" spans="2:6" outlineLevel="1" x14ac:dyDescent="0.35">
      <c r="B8" s="385"/>
      <c r="C8" s="385" t="s">
        <v>1286</v>
      </c>
      <c r="D8" s="541">
        <v>9.7252544169372804E-2</v>
      </c>
      <c r="E8" s="542">
        <v>0.09</v>
      </c>
      <c r="F8" s="542">
        <v>0.1</v>
      </c>
    </row>
    <row r="9" spans="2:6" x14ac:dyDescent="0.35">
      <c r="B9" s="386" t="s">
        <v>1396</v>
      </c>
      <c r="C9" s="386"/>
      <c r="D9" s="384"/>
      <c r="E9" s="384"/>
      <c r="F9" s="384"/>
    </row>
    <row r="10" spans="2:6" ht="15" outlineLevel="1" thickBot="1" x14ac:dyDescent="0.4">
      <c r="B10" s="387"/>
      <c r="C10" s="387" t="s">
        <v>1534</v>
      </c>
      <c r="D10" s="461">
        <v>65110.401537085803</v>
      </c>
      <c r="E10" s="461">
        <v>75755.827832025097</v>
      </c>
      <c r="F10" s="461">
        <v>59392.076596443403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8C6D7-E3A5-4E26-8A43-DFD8B75EF0B9}">
  <sheetPr>
    <tabColor theme="9"/>
    <outlinePr summaryBelow="0"/>
  </sheetPr>
  <dimension ref="B1:J26"/>
  <sheetViews>
    <sheetView showGridLines="0" zoomScale="115" zoomScaleNormal="115" workbookViewId="0">
      <selection activeCell="D26" sqref="D26"/>
    </sheetView>
  </sheetViews>
  <sheetFormatPr defaultColWidth="8.81640625" defaultRowHeight="14.5" outlineLevelRow="1" outlineLevelCol="1" x14ac:dyDescent="0.35"/>
  <cols>
    <col min="2" max="2" width="63" bestFit="1" customWidth="1"/>
    <col min="3" max="3" width="10.1796875" bestFit="1" customWidth="1"/>
    <col min="4" max="10" width="23.81640625" bestFit="1" customWidth="1" outlineLevel="1"/>
  </cols>
  <sheetData>
    <row r="1" spans="2:10" ht="15" thickBot="1" x14ac:dyDescent="0.4"/>
    <row r="2" spans="2:10" ht="15.5" x14ac:dyDescent="0.35">
      <c r="B2" s="383" t="s">
        <v>1394</v>
      </c>
      <c r="C2" s="383"/>
      <c r="D2" s="388"/>
      <c r="E2" s="388"/>
      <c r="F2" s="388"/>
      <c r="G2" s="388"/>
      <c r="H2" s="388"/>
      <c r="I2" s="388"/>
      <c r="J2" s="388"/>
    </row>
    <row r="3" spans="2:10" ht="15.5" collapsed="1" x14ac:dyDescent="0.35">
      <c r="B3" s="382" t="s">
        <v>1527</v>
      </c>
      <c r="C3" s="382"/>
      <c r="D3" s="389" t="s">
        <v>1409</v>
      </c>
      <c r="E3" s="389" t="s">
        <v>1413</v>
      </c>
      <c r="F3" s="389" t="s">
        <v>1414</v>
      </c>
      <c r="G3" s="389" t="s">
        <v>1496</v>
      </c>
      <c r="H3" s="389" t="s">
        <v>1498</v>
      </c>
      <c r="I3" s="389" t="s">
        <v>1435</v>
      </c>
      <c r="J3" s="389" t="s">
        <v>1535</v>
      </c>
    </row>
    <row r="4" spans="2:10" ht="21" hidden="1" outlineLevel="1" x14ac:dyDescent="0.35">
      <c r="B4" s="385"/>
      <c r="C4" s="385"/>
      <c r="E4" s="392" t="s">
        <v>1533</v>
      </c>
      <c r="F4" s="392" t="s">
        <v>1533</v>
      </c>
      <c r="G4" s="392" t="s">
        <v>1533</v>
      </c>
      <c r="H4" s="392" t="s">
        <v>1536</v>
      </c>
      <c r="I4" s="392" t="s">
        <v>1533</v>
      </c>
      <c r="J4" s="392" t="s">
        <v>1533</v>
      </c>
    </row>
    <row r="5" spans="2:10" x14ac:dyDescent="0.35">
      <c r="B5" s="386" t="s">
        <v>1395</v>
      </c>
      <c r="C5" s="386"/>
      <c r="D5" s="384"/>
      <c r="E5" s="384"/>
      <c r="F5" s="384"/>
      <c r="G5" s="384"/>
      <c r="H5" s="384"/>
      <c r="I5" s="384"/>
      <c r="J5" s="384"/>
    </row>
    <row r="6" spans="2:10" outlineLevel="1" x14ac:dyDescent="0.35">
      <c r="B6" s="385"/>
      <c r="C6" s="385" t="s">
        <v>71</v>
      </c>
      <c r="D6" s="9">
        <v>5.7344643937862802E-2</v>
      </c>
      <c r="E6" s="391">
        <v>0.05</v>
      </c>
      <c r="F6" s="391">
        <v>0.06</v>
      </c>
      <c r="G6" s="9">
        <v>5.7344643937862802E-2</v>
      </c>
      <c r="H6" s="9">
        <v>5.7344643937862802E-2</v>
      </c>
      <c r="I6" s="9">
        <v>5.7344643937862802E-2</v>
      </c>
      <c r="J6" s="9">
        <v>5.7344643937862802E-2</v>
      </c>
    </row>
    <row r="7" spans="2:10" outlineLevel="1" x14ac:dyDescent="0.35">
      <c r="B7" s="385"/>
      <c r="C7" s="385" t="s">
        <v>111</v>
      </c>
      <c r="D7" s="51">
        <v>6.6909120557076296</v>
      </c>
      <c r="E7" s="51">
        <v>6.6909120557076296</v>
      </c>
      <c r="F7" s="51">
        <v>6.6909120557076296</v>
      </c>
      <c r="G7" s="462">
        <v>7</v>
      </c>
      <c r="H7" s="462">
        <v>6</v>
      </c>
      <c r="I7" s="51">
        <v>6.6909120557076296</v>
      </c>
      <c r="J7" s="51">
        <v>6.6909120557076296</v>
      </c>
    </row>
    <row r="8" spans="2:10" outlineLevel="1" x14ac:dyDescent="0.35">
      <c r="B8" s="385"/>
      <c r="C8" s="385" t="s">
        <v>1286</v>
      </c>
      <c r="D8" s="9">
        <v>9.7252544169372804E-2</v>
      </c>
      <c r="E8" s="9">
        <v>9.7252544169372804E-2</v>
      </c>
      <c r="F8" s="9">
        <v>9.7252544169372804E-2</v>
      </c>
      <c r="G8" s="9">
        <v>9.7252544169372804E-2</v>
      </c>
      <c r="H8" s="9">
        <v>9.7252544169372804E-2</v>
      </c>
      <c r="I8" s="391">
        <v>0.09</v>
      </c>
      <c r="J8" s="391">
        <v>0.1</v>
      </c>
    </row>
    <row r="9" spans="2:10" x14ac:dyDescent="0.35">
      <c r="B9" s="386" t="s">
        <v>1396</v>
      </c>
      <c r="C9" s="386"/>
      <c r="D9" s="384"/>
      <c r="E9" s="384"/>
      <c r="F9" s="384"/>
      <c r="G9" s="384"/>
      <c r="H9" s="384"/>
      <c r="I9" s="384"/>
      <c r="J9" s="384"/>
    </row>
    <row r="10" spans="2:10" ht="15" outlineLevel="1" thickBot="1" x14ac:dyDescent="0.4">
      <c r="B10" s="387"/>
      <c r="C10" s="387" t="s">
        <v>79</v>
      </c>
      <c r="D10" s="461">
        <v>65110.401537085803</v>
      </c>
      <c r="E10" s="461">
        <v>71996.6918547815</v>
      </c>
      <c r="F10" s="461">
        <v>63312.324918709302</v>
      </c>
      <c r="G10" s="461">
        <v>66557.017755255903</v>
      </c>
      <c r="H10" s="461">
        <v>61876.743920952802</v>
      </c>
      <c r="I10" s="461">
        <v>67141.983807217795</v>
      </c>
      <c r="J10" s="461">
        <v>64361.2854607591</v>
      </c>
    </row>
    <row r="16" spans="2:10" ht="15" thickBot="1" x14ac:dyDescent="0.4"/>
    <row r="17" spans="2:9" ht="15" thickBot="1" x14ac:dyDescent="0.4">
      <c r="B17" s="646" t="s">
        <v>1509</v>
      </c>
      <c r="C17" s="647"/>
      <c r="D17" s="647"/>
      <c r="E17" s="648"/>
      <c r="F17" s="646" t="s">
        <v>1510</v>
      </c>
      <c r="G17" s="647"/>
      <c r="H17" s="647"/>
      <c r="I17" s="648"/>
    </row>
    <row r="18" spans="2:9" x14ac:dyDescent="0.35">
      <c r="B18" s="489" t="s">
        <v>1503</v>
      </c>
      <c r="C18" s="489" t="s">
        <v>51</v>
      </c>
      <c r="D18" s="489" t="s">
        <v>50</v>
      </c>
      <c r="E18" s="491" t="s">
        <v>52</v>
      </c>
      <c r="F18" s="489" t="s">
        <v>1511</v>
      </c>
      <c r="G18" s="489" t="s">
        <v>66</v>
      </c>
      <c r="H18" s="489" t="s">
        <v>52</v>
      </c>
      <c r="I18" s="489" t="s">
        <v>1512</v>
      </c>
    </row>
    <row r="19" spans="2:9" x14ac:dyDescent="0.35">
      <c r="B19" t="s">
        <v>71</v>
      </c>
      <c r="C19" s="9">
        <f>D6</f>
        <v>5.7344643937862802E-2</v>
      </c>
      <c r="D19" s="9">
        <f>E6</f>
        <v>0.05</v>
      </c>
      <c r="E19" s="520">
        <f>F6</f>
        <v>0.06</v>
      </c>
      <c r="F19" s="61">
        <f>D10</f>
        <v>65110.401537085803</v>
      </c>
      <c r="G19" s="61">
        <f>E10</f>
        <v>71996.6918547815</v>
      </c>
      <c r="H19" s="61">
        <f>F10</f>
        <v>63312.324918709302</v>
      </c>
      <c r="I19" s="522">
        <f>ABS(G19-H19)</f>
        <v>8684.3669360721979</v>
      </c>
    </row>
    <row r="20" spans="2:9" x14ac:dyDescent="0.35">
      <c r="B20" t="s">
        <v>111</v>
      </c>
      <c r="C20" s="51">
        <f>D7</f>
        <v>6.6909120557076296</v>
      </c>
      <c r="D20" s="51">
        <f>G7</f>
        <v>7</v>
      </c>
      <c r="E20" s="543">
        <f>H7</f>
        <v>6</v>
      </c>
      <c r="F20" s="61">
        <f>D10</f>
        <v>65110.401537085803</v>
      </c>
      <c r="G20" s="61">
        <f>G10</f>
        <v>66557.017755255903</v>
      </c>
      <c r="H20" s="61">
        <f>H10</f>
        <v>61876.743920952802</v>
      </c>
      <c r="I20" s="522">
        <f>ABS(G20-H20)</f>
        <v>4680.2738343031015</v>
      </c>
    </row>
    <row r="21" spans="2:9" x14ac:dyDescent="0.35">
      <c r="B21" t="s">
        <v>1286</v>
      </c>
      <c r="C21" s="9">
        <f>D8</f>
        <v>9.7252544169372804E-2</v>
      </c>
      <c r="D21" s="9">
        <f>I8</f>
        <v>0.09</v>
      </c>
      <c r="E21" s="520">
        <f>J8</f>
        <v>0.1</v>
      </c>
      <c r="F21" s="61">
        <f>D10</f>
        <v>65110.401537085803</v>
      </c>
      <c r="G21" s="61">
        <f>I10</f>
        <v>67141.983807217795</v>
      </c>
      <c r="H21" s="61">
        <f>J10</f>
        <v>64361.2854607591</v>
      </c>
      <c r="I21" s="522">
        <f>ABS(G21-H21)</f>
        <v>2780.6983464586956</v>
      </c>
    </row>
    <row r="23" spans="2:9" x14ac:dyDescent="0.35">
      <c r="B23" t="s">
        <v>1507</v>
      </c>
      <c r="C23" t="s">
        <v>66</v>
      </c>
      <c r="D23" t="s">
        <v>52</v>
      </c>
    </row>
    <row r="24" spans="2:9" x14ac:dyDescent="0.35">
      <c r="B24" t="s">
        <v>71</v>
      </c>
      <c r="C24" s="330">
        <f>G19-F19</f>
        <v>6886.290317695697</v>
      </c>
      <c r="D24" s="330">
        <f>H19-F19</f>
        <v>-1798.0766183765008</v>
      </c>
    </row>
    <row r="25" spans="2:9" x14ac:dyDescent="0.35">
      <c r="B25" t="s">
        <v>111</v>
      </c>
      <c r="C25" s="330">
        <f t="shared" ref="C25:C26" si="0">G20-F20</f>
        <v>1446.6162181701002</v>
      </c>
      <c r="D25" s="330">
        <f t="shared" ref="D25:D26" si="1">H20-F20</f>
        <v>-3233.6576161330013</v>
      </c>
    </row>
    <row r="26" spans="2:9" x14ac:dyDescent="0.35">
      <c r="B26" t="s">
        <v>1286</v>
      </c>
      <c r="C26" s="330">
        <f t="shared" si="0"/>
        <v>2031.5822701319921</v>
      </c>
      <c r="D26" s="330">
        <f t="shared" si="1"/>
        <v>-749.11607632670348</v>
      </c>
    </row>
  </sheetData>
  <mergeCells count="2">
    <mergeCell ref="B17:E17"/>
    <mergeCell ref="F17:I17"/>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5AD1F-9475-4104-A2C1-B641A08FE51F}">
  <sheetPr>
    <tabColor theme="0"/>
    <outlinePr summaryBelow="0"/>
  </sheetPr>
  <dimension ref="B1:J13"/>
  <sheetViews>
    <sheetView showGridLines="0" workbookViewId="0">
      <selection activeCell="K6" sqref="K6"/>
    </sheetView>
  </sheetViews>
  <sheetFormatPr defaultColWidth="8.81640625" defaultRowHeight="14.5" outlineLevelRow="1" outlineLevelCol="1" x14ac:dyDescent="0.35"/>
  <cols>
    <col min="2" max="2" width="29.26953125" customWidth="1"/>
    <col min="3" max="3" width="14.453125" bestFit="1" customWidth="1"/>
    <col min="4" max="4" width="11.81640625" customWidth="1" outlineLevel="1"/>
    <col min="5" max="6" width="23.453125" customWidth="1" outlineLevel="1"/>
    <col min="7" max="8" width="23" customWidth="1" outlineLevel="1"/>
    <col min="9" max="9" width="24.81640625" customWidth="1" outlineLevel="1"/>
    <col min="10" max="10" width="26.453125" customWidth="1" outlineLevel="1"/>
  </cols>
  <sheetData>
    <row r="1" spans="2:10" ht="15" thickBot="1" x14ac:dyDescent="0.4"/>
    <row r="2" spans="2:10" ht="15.5" x14ac:dyDescent="0.35">
      <c r="B2" s="383" t="s">
        <v>1394</v>
      </c>
      <c r="C2" s="383"/>
      <c r="D2" s="388"/>
      <c r="E2" s="388"/>
      <c r="F2" s="388"/>
      <c r="G2" s="388"/>
      <c r="H2" s="388"/>
      <c r="I2" s="388"/>
      <c r="J2" s="388"/>
    </row>
    <row r="3" spans="2:10" ht="15.5" x14ac:dyDescent="0.35">
      <c r="B3" s="382"/>
      <c r="C3" s="382"/>
      <c r="D3" s="389" t="s">
        <v>1408</v>
      </c>
      <c r="E3" s="389" t="s">
        <v>1402</v>
      </c>
      <c r="F3" s="389" t="s">
        <v>1403</v>
      </c>
      <c r="G3" s="389" t="s">
        <v>1404</v>
      </c>
      <c r="H3" s="389" t="s">
        <v>1405</v>
      </c>
      <c r="I3" s="389" t="s">
        <v>1406</v>
      </c>
      <c r="J3" s="389" t="s">
        <v>1407</v>
      </c>
    </row>
    <row r="4" spans="2:10" ht="21" outlineLevel="1" x14ac:dyDescent="0.35">
      <c r="B4" s="385"/>
      <c r="C4" s="385"/>
      <c r="E4" s="392" t="s">
        <v>1393</v>
      </c>
      <c r="F4" s="392" t="s">
        <v>1393</v>
      </c>
      <c r="G4" s="392" t="s">
        <v>1392</v>
      </c>
      <c r="H4" s="392" t="s">
        <v>1392</v>
      </c>
      <c r="I4" s="392" t="s">
        <v>1392</v>
      </c>
      <c r="J4" s="392" t="s">
        <v>1392</v>
      </c>
    </row>
    <row r="5" spans="2:10" x14ac:dyDescent="0.35">
      <c r="B5" s="386" t="s">
        <v>1395</v>
      </c>
      <c r="C5" s="386"/>
      <c r="D5" s="384"/>
      <c r="E5" s="384"/>
      <c r="F5" s="384"/>
      <c r="G5" s="384"/>
      <c r="H5" s="384"/>
      <c r="I5" s="384"/>
      <c r="J5" s="384"/>
    </row>
    <row r="6" spans="2:10" outlineLevel="1" x14ac:dyDescent="0.35">
      <c r="B6" s="385"/>
      <c r="C6" s="385" t="s">
        <v>1400</v>
      </c>
      <c r="D6" s="10">
        <v>0.65080380654610404</v>
      </c>
      <c r="E6" s="390">
        <v>0.6</v>
      </c>
      <c r="F6" s="390">
        <v>0.7</v>
      </c>
      <c r="G6" s="10">
        <v>0.65080380654610404</v>
      </c>
      <c r="H6" s="10">
        <v>0.65080380654610404</v>
      </c>
      <c r="I6" s="10">
        <v>0.65080380654610404</v>
      </c>
      <c r="J6" s="10">
        <v>0.65080380654610404</v>
      </c>
    </row>
    <row r="7" spans="2:10" outlineLevel="1" x14ac:dyDescent="0.35">
      <c r="B7" s="385"/>
      <c r="C7" s="385" t="s">
        <v>94</v>
      </c>
      <c r="D7" s="9">
        <v>7.0534026005116601E-2</v>
      </c>
      <c r="E7" s="9">
        <v>7.0534026005116601E-2</v>
      </c>
      <c r="F7" s="9">
        <v>7.0534026005116601E-2</v>
      </c>
      <c r="G7" s="391">
        <v>0.06</v>
      </c>
      <c r="H7" s="391">
        <v>0.1</v>
      </c>
      <c r="I7" s="9">
        <v>7.0534026005116601E-2</v>
      </c>
      <c r="J7" s="9">
        <v>7.0534026005116601E-2</v>
      </c>
    </row>
    <row r="8" spans="2:10" outlineLevel="1" x14ac:dyDescent="0.35">
      <c r="B8" s="385"/>
      <c r="C8" s="385" t="s">
        <v>1400</v>
      </c>
      <c r="D8" s="9">
        <v>4.9091818419245398E-2</v>
      </c>
      <c r="E8" s="9">
        <v>4.9091818419245398E-2</v>
      </c>
      <c r="F8" s="9">
        <v>4.9091818419245398E-2</v>
      </c>
      <c r="G8" s="9">
        <v>4.9091818419245398E-2</v>
      </c>
      <c r="H8" s="9">
        <v>4.9091818419245398E-2</v>
      </c>
      <c r="I8" s="391">
        <v>5.5E-2</v>
      </c>
      <c r="J8" s="391">
        <v>0.03</v>
      </c>
    </row>
    <row r="9" spans="2:10" x14ac:dyDescent="0.35">
      <c r="B9" s="386" t="s">
        <v>1396</v>
      </c>
      <c r="C9" s="386"/>
      <c r="D9" s="384"/>
      <c r="E9" s="384"/>
      <c r="F9" s="384"/>
      <c r="G9" s="384"/>
      <c r="H9" s="384"/>
      <c r="I9" s="384"/>
      <c r="J9" s="384"/>
    </row>
    <row r="10" spans="2:10" ht="15" outlineLevel="1" thickBot="1" x14ac:dyDescent="0.4">
      <c r="B10" s="387"/>
      <c r="C10" s="387" t="s">
        <v>1401</v>
      </c>
      <c r="D10" s="393">
        <v>110186.13815026599</v>
      </c>
      <c r="E10" s="393">
        <v>126216.883477928</v>
      </c>
      <c r="F10" s="393">
        <v>94662.662608446204</v>
      </c>
      <c r="G10" s="393">
        <v>217886.75887756699</v>
      </c>
      <c r="H10" s="393">
        <v>45690.0856553907</v>
      </c>
      <c r="I10" s="393">
        <v>149316.11122473399</v>
      </c>
      <c r="J10" s="393">
        <v>61727.936153012197</v>
      </c>
    </row>
    <row r="11" spans="2:10" x14ac:dyDescent="0.35">
      <c r="B11" t="s">
        <v>1397</v>
      </c>
    </row>
    <row r="12" spans="2:10" x14ac:dyDescent="0.35">
      <c r="B12" t="s">
        <v>1398</v>
      </c>
    </row>
    <row r="13" spans="2:10" x14ac:dyDescent="0.35">
      <c r="B13" t="s">
        <v>1399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F4C52-ADC8-440B-B412-A415FB4870DD}">
  <sheetPr>
    <tabColor rgb="FFFFFF00"/>
  </sheetPr>
  <dimension ref="B1:F17"/>
  <sheetViews>
    <sheetView showGridLines="0" workbookViewId="0">
      <selection activeCell="C14" sqref="C14"/>
    </sheetView>
  </sheetViews>
  <sheetFormatPr defaultColWidth="8.81640625" defaultRowHeight="14.5" x14ac:dyDescent="0.35"/>
  <cols>
    <col min="2" max="2" width="17" bestFit="1" customWidth="1"/>
    <col min="3" max="3" width="10.453125" bestFit="1" customWidth="1"/>
    <col min="4" max="4" width="11.1796875" bestFit="1" customWidth="1"/>
    <col min="5" max="5" width="6.81640625" bestFit="1" customWidth="1"/>
  </cols>
  <sheetData>
    <row r="1" spans="2:6" ht="15" thickBot="1" x14ac:dyDescent="0.4"/>
    <row r="2" spans="2:6" ht="15" thickBot="1" x14ac:dyDescent="0.4">
      <c r="B2" s="677" t="s">
        <v>1537</v>
      </c>
      <c r="C2" s="678"/>
      <c r="D2" s="678"/>
      <c r="E2" s="679"/>
    </row>
    <row r="3" spans="2:6" x14ac:dyDescent="0.35">
      <c r="B3" s="680" t="s">
        <v>1542</v>
      </c>
      <c r="C3" s="681"/>
      <c r="D3" s="552" t="s">
        <v>1355</v>
      </c>
      <c r="E3" s="553" t="s">
        <v>42</v>
      </c>
    </row>
    <row r="4" spans="2:6" x14ac:dyDescent="0.35">
      <c r="B4" s="684" t="s">
        <v>75</v>
      </c>
      <c r="C4" t="s">
        <v>1540</v>
      </c>
      <c r="D4" s="143">
        <f>DCF!B35</f>
        <v>68530.528910623936</v>
      </c>
      <c r="E4" s="490">
        <v>0.2</v>
      </c>
      <c r="F4" s="330"/>
    </row>
    <row r="5" spans="2:6" ht="15" thickBot="1" x14ac:dyDescent="0.4">
      <c r="B5" s="683"/>
      <c r="C5" s="507" t="s">
        <v>111</v>
      </c>
      <c r="D5" s="548">
        <f>DCF!E38</f>
        <v>85230.137256324859</v>
      </c>
      <c r="E5" s="554">
        <v>0.15</v>
      </c>
      <c r="F5" s="330"/>
    </row>
    <row r="6" spans="2:6" ht="15" thickTop="1" x14ac:dyDescent="0.35">
      <c r="B6" s="682" t="s">
        <v>76</v>
      </c>
      <c r="C6" s="546" t="s">
        <v>1540</v>
      </c>
      <c r="D6" s="547">
        <f>APV!C23</f>
        <v>58172.531567298982</v>
      </c>
      <c r="E6" s="555">
        <v>0.2</v>
      </c>
      <c r="F6" s="330"/>
    </row>
    <row r="7" spans="2:6" ht="15" thickBot="1" x14ac:dyDescent="0.4">
      <c r="B7" s="683"/>
      <c r="C7" s="507" t="s">
        <v>111</v>
      </c>
      <c r="D7" s="548">
        <f>APV!F27</f>
        <v>72048.271506872581</v>
      </c>
      <c r="E7" s="554">
        <v>0.15</v>
      </c>
      <c r="F7" s="330"/>
    </row>
    <row r="8" spans="2:6" ht="15" thickTop="1" x14ac:dyDescent="0.35">
      <c r="B8" s="682" t="s">
        <v>1538</v>
      </c>
      <c r="C8" s="546" t="s">
        <v>1341</v>
      </c>
      <c r="D8" s="547">
        <f>'Relative Valuation'!F16</f>
        <v>70143.278994572393</v>
      </c>
      <c r="E8" s="555">
        <v>0.05</v>
      </c>
      <c r="F8" s="330"/>
    </row>
    <row r="9" spans="2:6" ht="15" thickBot="1" x14ac:dyDescent="0.4">
      <c r="B9" s="683"/>
      <c r="C9" s="507" t="s">
        <v>111</v>
      </c>
      <c r="D9" s="548">
        <f>'Relative Valuation'!C16</f>
        <v>53477.622986031936</v>
      </c>
      <c r="E9" s="554">
        <v>0.05</v>
      </c>
      <c r="F9" s="330"/>
    </row>
    <row r="10" spans="2:6" ht="15" thickTop="1" x14ac:dyDescent="0.35">
      <c r="B10" s="684" t="s">
        <v>1541</v>
      </c>
      <c r="C10" t="s">
        <v>1539</v>
      </c>
      <c r="D10" s="143">
        <f>'DDM Valuation'!C9</f>
        <v>107416.99287578752</v>
      </c>
      <c r="E10" s="490">
        <v>0.1</v>
      </c>
      <c r="F10" s="330"/>
    </row>
    <row r="11" spans="2:6" ht="15" thickBot="1" x14ac:dyDescent="0.4">
      <c r="B11" s="685"/>
      <c r="C11" s="62" t="s">
        <v>1341</v>
      </c>
      <c r="D11" s="492">
        <f>'PE Valuation'!Q37</f>
        <v>74323.113695951659</v>
      </c>
      <c r="E11" s="556">
        <v>0.1</v>
      </c>
      <c r="F11" s="330"/>
    </row>
    <row r="12" spans="2:6" ht="15" thickBot="1" x14ac:dyDescent="0.4">
      <c r="E12" s="545">
        <f>SUM(E4:E11)</f>
        <v>1.0000000000000002</v>
      </c>
    </row>
    <row r="13" spans="2:6" ht="15" thickBot="1" x14ac:dyDescent="0.4">
      <c r="B13" s="675" t="s">
        <v>1543</v>
      </c>
      <c r="C13" s="676"/>
    </row>
    <row r="14" spans="2:6" x14ac:dyDescent="0.35">
      <c r="B14" s="549" t="s">
        <v>1355</v>
      </c>
      <c r="C14" s="550">
        <f>SUMPRODUCT(D4:D11,E4:E11)</f>
        <v>73287.429166268339</v>
      </c>
    </row>
    <row r="15" spans="2:6" x14ac:dyDescent="0.35">
      <c r="B15" s="549" t="s">
        <v>1544</v>
      </c>
      <c r="C15" s="344">
        <f>Beta!E4</f>
        <v>58700</v>
      </c>
    </row>
    <row r="16" spans="2:6" ht="15" thickBot="1" x14ac:dyDescent="0.4">
      <c r="B16" s="551" t="s">
        <v>1545</v>
      </c>
      <c r="C16" s="559">
        <f>C14/C15-1</f>
        <v>0.24850816296879619</v>
      </c>
    </row>
    <row r="17" spans="3:3" x14ac:dyDescent="0.35">
      <c r="C17" s="171"/>
    </row>
  </sheetData>
  <mergeCells count="7">
    <mergeCell ref="B13:C13"/>
    <mergeCell ref="B2:E2"/>
    <mergeCell ref="B3:C3"/>
    <mergeCell ref="B6:B7"/>
    <mergeCell ref="B4:B5"/>
    <mergeCell ref="B10:B11"/>
    <mergeCell ref="B8:B9"/>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1A67E-7539-4E4D-A3F0-6763DDAA2A7E}">
  <sheetPr>
    <tabColor rgb="FFFF0000"/>
  </sheetPr>
  <dimension ref="A1:K82"/>
  <sheetViews>
    <sheetView showGridLines="0" zoomScale="114" zoomScaleNormal="85" workbookViewId="0">
      <selection activeCell="C77" sqref="C77:G77"/>
    </sheetView>
  </sheetViews>
  <sheetFormatPr defaultColWidth="8.81640625" defaultRowHeight="14.5" x14ac:dyDescent="0.35"/>
  <cols>
    <col min="1" max="1" width="38.453125" bestFit="1" customWidth="1"/>
    <col min="2" max="2" width="26.453125" bestFit="1" customWidth="1"/>
    <col min="3" max="3" width="20" bestFit="1" customWidth="1"/>
    <col min="4" max="6" width="16.453125" bestFit="1" customWidth="1"/>
    <col min="7" max="7" width="11.26953125" bestFit="1" customWidth="1"/>
    <col min="10" max="10" width="11.81640625" bestFit="1" customWidth="1"/>
  </cols>
  <sheetData>
    <row r="1" spans="1:6" x14ac:dyDescent="0.35">
      <c r="A1" s="688" t="s">
        <v>47</v>
      </c>
      <c r="B1" s="688"/>
    </row>
    <row r="2" spans="1:6" x14ac:dyDescent="0.35">
      <c r="A2" s="96" t="s">
        <v>48</v>
      </c>
      <c r="B2" s="96" t="s">
        <v>49</v>
      </c>
    </row>
    <row r="3" spans="1:6" x14ac:dyDescent="0.35">
      <c r="A3" s="97" t="s">
        <v>50</v>
      </c>
      <c r="B3" s="98">
        <v>0.32</v>
      </c>
      <c r="C3" s="689"/>
    </row>
    <row r="4" spans="1:6" x14ac:dyDescent="0.35">
      <c r="A4" s="97" t="s">
        <v>51</v>
      </c>
      <c r="B4" s="99">
        <f>Assumptions!B10</f>
        <v>0.22608895019440448</v>
      </c>
      <c r="C4" s="689"/>
    </row>
    <row r="5" spans="1:6" x14ac:dyDescent="0.35">
      <c r="A5" s="97" t="s">
        <v>52</v>
      </c>
      <c r="B5" s="98">
        <v>0.12</v>
      </c>
      <c r="C5" s="689"/>
    </row>
    <row r="6" spans="1:6" x14ac:dyDescent="0.35">
      <c r="A6" s="100"/>
      <c r="B6" s="100"/>
      <c r="C6" s="100"/>
      <c r="D6" s="100"/>
    </row>
    <row r="7" spans="1:6" x14ac:dyDescent="0.35">
      <c r="A7" s="690" t="s">
        <v>53</v>
      </c>
      <c r="B7" s="690" t="s">
        <v>54</v>
      </c>
      <c r="C7" s="690" t="s">
        <v>54</v>
      </c>
      <c r="D7" s="690" t="s">
        <v>54</v>
      </c>
    </row>
    <row r="8" spans="1:6" x14ac:dyDescent="0.35">
      <c r="A8" s="101" t="s">
        <v>55</v>
      </c>
      <c r="B8" s="101" t="s">
        <v>56</v>
      </c>
      <c r="C8" s="101" t="s">
        <v>57</v>
      </c>
      <c r="D8" s="101" t="s">
        <v>58</v>
      </c>
      <c r="E8" s="102"/>
    </row>
    <row r="9" spans="1:6" ht="15" customHeight="1" x14ac:dyDescent="0.35">
      <c r="A9" s="97" t="s">
        <v>59</v>
      </c>
      <c r="B9" s="99">
        <v>5.2400000000000002E-2</v>
      </c>
      <c r="C9" s="99">
        <v>-1.7299999999999999E-2</v>
      </c>
      <c r="D9" s="99">
        <f>(C9-B9)/B9</f>
        <v>-1.330152671755725</v>
      </c>
    </row>
    <row r="10" spans="1:6" x14ac:dyDescent="0.35">
      <c r="A10" s="97" t="s">
        <v>60</v>
      </c>
      <c r="B10" s="98">
        <v>0.63495489613522405</v>
      </c>
      <c r="C10" s="99">
        <v>0.65349999999999997</v>
      </c>
      <c r="D10" s="99">
        <f>(C10-B10)/B10</f>
        <v>2.9206962538054736E-2</v>
      </c>
    </row>
    <row r="11" spans="1:6" x14ac:dyDescent="0.35">
      <c r="A11" s="97" t="s">
        <v>61</v>
      </c>
      <c r="B11" s="99">
        <f>1-B10</f>
        <v>0.36504510386477595</v>
      </c>
      <c r="C11" s="99">
        <f>1-C10</f>
        <v>0.34650000000000003</v>
      </c>
      <c r="D11" s="99">
        <f>(C11-B11)/B11</f>
        <v>-5.0802225994642042E-2</v>
      </c>
      <c r="F11" s="9"/>
    </row>
    <row r="12" spans="1:6" x14ac:dyDescent="0.35">
      <c r="A12" s="97" t="s">
        <v>62</v>
      </c>
      <c r="B12" s="55">
        <v>0.104320039550248</v>
      </c>
      <c r="C12" s="99">
        <v>0.20399999999999999</v>
      </c>
      <c r="D12" s="99">
        <f>(C12-B12)/B12</f>
        <v>0.95552073100719037</v>
      </c>
    </row>
    <row r="13" spans="1:6" x14ac:dyDescent="0.35">
      <c r="A13" s="97" t="s">
        <v>63</v>
      </c>
      <c r="B13" s="103">
        <f>[1]FS!I2</f>
        <v>1994107468818.886</v>
      </c>
      <c r="C13" s="103">
        <v>1573053000708</v>
      </c>
      <c r="D13" s="99">
        <f>(C13-B13)/B13</f>
        <v>-0.21114933607880093</v>
      </c>
    </row>
    <row r="14" spans="1:6" x14ac:dyDescent="0.35">
      <c r="D14" s="104"/>
    </row>
    <row r="15" spans="1:6" x14ac:dyDescent="0.35">
      <c r="A15" s="691" t="s">
        <v>64</v>
      </c>
      <c r="B15" s="692"/>
      <c r="C15" s="692"/>
      <c r="D15" s="692"/>
      <c r="E15" s="692"/>
      <c r="F15" s="693"/>
    </row>
    <row r="16" spans="1:6" x14ac:dyDescent="0.35">
      <c r="A16" s="105"/>
      <c r="B16" s="29">
        <v>2023</v>
      </c>
      <c r="C16" s="29">
        <v>2024</v>
      </c>
      <c r="D16" s="29">
        <v>2025</v>
      </c>
      <c r="E16" s="29">
        <v>2026</v>
      </c>
      <c r="F16" s="80">
        <v>2027</v>
      </c>
    </row>
    <row r="17" spans="1:6" x14ac:dyDescent="0.35">
      <c r="A17" s="106" t="s">
        <v>65</v>
      </c>
      <c r="B17" s="107"/>
      <c r="C17" s="107"/>
      <c r="D17" s="107"/>
      <c r="E17" s="107"/>
      <c r="F17" s="108"/>
    </row>
    <row r="18" spans="1:6" x14ac:dyDescent="0.35">
      <c r="A18" s="31" t="s">
        <v>51</v>
      </c>
      <c r="B18" s="109"/>
      <c r="C18" s="109"/>
      <c r="D18" s="109"/>
      <c r="E18" s="109"/>
      <c r="F18" s="110"/>
    </row>
    <row r="19" spans="1:6" x14ac:dyDescent="0.35">
      <c r="A19" s="31" t="s">
        <v>66</v>
      </c>
      <c r="B19" s="109"/>
      <c r="C19" s="109"/>
      <c r="D19" s="109"/>
      <c r="E19" s="109"/>
      <c r="F19" s="110"/>
    </row>
    <row r="20" spans="1:6" x14ac:dyDescent="0.35">
      <c r="A20" s="32" t="s">
        <v>52</v>
      </c>
      <c r="B20" s="111"/>
      <c r="C20" s="111"/>
      <c r="D20" s="111"/>
      <c r="E20" s="111"/>
      <c r="F20" s="112"/>
    </row>
    <row r="21" spans="1:6" x14ac:dyDescent="0.35">
      <c r="A21" s="31"/>
      <c r="B21" s="58"/>
      <c r="C21" s="58"/>
      <c r="D21" s="58"/>
      <c r="E21" s="58"/>
      <c r="F21" s="113"/>
    </row>
    <row r="22" spans="1:6" x14ac:dyDescent="0.35">
      <c r="A22" s="106" t="s">
        <v>67</v>
      </c>
      <c r="B22" s="107"/>
      <c r="C22" s="107"/>
      <c r="D22" s="107"/>
      <c r="E22" s="107"/>
      <c r="F22" s="108"/>
    </row>
    <row r="23" spans="1:6" x14ac:dyDescent="0.35">
      <c r="A23" s="31" t="s">
        <v>51</v>
      </c>
      <c r="B23" s="109"/>
      <c r="C23" s="109"/>
      <c r="D23" s="109"/>
      <c r="E23" s="109"/>
      <c r="F23" s="110"/>
    </row>
    <row r="24" spans="1:6" x14ac:dyDescent="0.35">
      <c r="A24" s="31" t="s">
        <v>66</v>
      </c>
      <c r="B24" s="109"/>
      <c r="C24" s="109"/>
      <c r="D24" s="109"/>
      <c r="E24" s="109"/>
      <c r="F24" s="110"/>
    </row>
    <row r="25" spans="1:6" x14ac:dyDescent="0.35">
      <c r="A25" s="32" t="s">
        <v>52</v>
      </c>
      <c r="B25" s="111"/>
      <c r="C25" s="111"/>
      <c r="D25" s="111"/>
      <c r="E25" s="111"/>
      <c r="F25" s="112"/>
    </row>
    <row r="26" spans="1:6" x14ac:dyDescent="0.35">
      <c r="A26" s="31"/>
      <c r="B26" s="58"/>
      <c r="C26" s="58"/>
      <c r="D26" s="58"/>
      <c r="E26" s="58"/>
      <c r="F26" s="113"/>
    </row>
    <row r="27" spans="1:6" x14ac:dyDescent="0.35">
      <c r="A27" s="106" t="s">
        <v>68</v>
      </c>
      <c r="B27" s="107"/>
      <c r="C27" s="107"/>
      <c r="D27" s="107"/>
      <c r="E27" s="107"/>
      <c r="F27" s="108"/>
    </row>
    <row r="28" spans="1:6" x14ac:dyDescent="0.35">
      <c r="A28" s="31" t="s">
        <v>51</v>
      </c>
      <c r="B28" s="109"/>
      <c r="C28" s="109"/>
      <c r="D28" s="109"/>
      <c r="E28" s="109"/>
      <c r="F28" s="110"/>
    </row>
    <row r="29" spans="1:6" x14ac:dyDescent="0.35">
      <c r="A29" s="31" t="s">
        <v>66</v>
      </c>
      <c r="B29" s="109"/>
      <c r="C29" s="109"/>
      <c r="D29" s="109"/>
      <c r="E29" s="109"/>
      <c r="F29" s="110"/>
    </row>
    <row r="30" spans="1:6" x14ac:dyDescent="0.35">
      <c r="A30" s="32" t="s">
        <v>52</v>
      </c>
      <c r="B30" s="114"/>
      <c r="C30" s="115"/>
      <c r="D30" s="115"/>
      <c r="E30" s="115"/>
      <c r="F30" s="116"/>
    </row>
    <row r="31" spans="1:6" x14ac:dyDescent="0.35">
      <c r="A31" s="31"/>
      <c r="B31" s="58"/>
      <c r="C31" s="58"/>
      <c r="D31" s="58"/>
      <c r="E31" s="58"/>
      <c r="F31" s="113"/>
    </row>
    <row r="32" spans="1:6" x14ac:dyDescent="0.35">
      <c r="A32" s="117" t="s">
        <v>69</v>
      </c>
      <c r="B32" s="118"/>
      <c r="C32" s="118"/>
      <c r="D32" s="118"/>
      <c r="E32" s="118"/>
      <c r="F32" s="119"/>
    </row>
    <row r="33" spans="1:6" x14ac:dyDescent="0.35">
      <c r="A33" s="31" t="s">
        <v>51</v>
      </c>
      <c r="B33" s="58"/>
      <c r="C33" s="58"/>
      <c r="D33" s="58"/>
      <c r="E33" s="58"/>
      <c r="F33" s="113"/>
    </row>
    <row r="34" spans="1:6" x14ac:dyDescent="0.35">
      <c r="A34" s="31" t="s">
        <v>66</v>
      </c>
      <c r="B34" s="120"/>
      <c r="C34" s="120"/>
      <c r="D34" s="120"/>
      <c r="E34" s="120"/>
      <c r="F34" s="121"/>
    </row>
    <row r="35" spans="1:6" x14ac:dyDescent="0.35">
      <c r="A35" s="32" t="s">
        <v>52</v>
      </c>
      <c r="B35" s="122"/>
      <c r="C35" s="122"/>
      <c r="D35" s="122"/>
      <c r="E35" s="122"/>
      <c r="F35" s="123"/>
    </row>
    <row r="37" spans="1:6" x14ac:dyDescent="0.35">
      <c r="A37" s="694" t="s">
        <v>70</v>
      </c>
      <c r="B37" s="695"/>
      <c r="C37" s="695"/>
      <c r="D37" s="695"/>
      <c r="E37" s="695"/>
      <c r="F37" s="695"/>
    </row>
    <row r="38" spans="1:6" x14ac:dyDescent="0.35">
      <c r="A38" s="124" t="s">
        <v>54</v>
      </c>
      <c r="B38" s="125">
        <v>2023</v>
      </c>
      <c r="C38" s="125">
        <v>2024</v>
      </c>
      <c r="D38" s="125">
        <v>2025</v>
      </c>
      <c r="E38" s="125">
        <v>2026</v>
      </c>
      <c r="F38" s="126">
        <v>2027</v>
      </c>
    </row>
    <row r="39" spans="1:6" x14ac:dyDescent="0.35">
      <c r="A39" s="127" t="s">
        <v>65</v>
      </c>
      <c r="B39" s="128" t="s">
        <v>54</v>
      </c>
      <c r="C39" s="128" t="s">
        <v>54</v>
      </c>
      <c r="D39" s="128" t="s">
        <v>54</v>
      </c>
      <c r="E39" s="128" t="s">
        <v>54</v>
      </c>
      <c r="F39" s="129" t="s">
        <v>54</v>
      </c>
    </row>
    <row r="40" spans="1:6" x14ac:dyDescent="0.35">
      <c r="A40" s="130" t="s">
        <v>51</v>
      </c>
      <c r="B40" s="100">
        <v>1994</v>
      </c>
      <c r="C40" s="100">
        <v>2099</v>
      </c>
      <c r="D40" s="100">
        <v>2209</v>
      </c>
      <c r="E40" s="100">
        <v>2324</v>
      </c>
      <c r="F40" s="131">
        <v>2446</v>
      </c>
    </row>
    <row r="41" spans="1:6" x14ac:dyDescent="0.35">
      <c r="A41" s="130" t="s">
        <v>66</v>
      </c>
      <c r="B41" s="100">
        <v>2046</v>
      </c>
      <c r="C41" s="100">
        <v>2210</v>
      </c>
      <c r="D41" s="100">
        <v>2387</v>
      </c>
      <c r="E41" s="100">
        <v>2578</v>
      </c>
      <c r="F41" s="131">
        <v>2784</v>
      </c>
    </row>
    <row r="42" spans="1:6" x14ac:dyDescent="0.35">
      <c r="A42" s="132" t="s">
        <v>52</v>
      </c>
      <c r="B42" s="133">
        <v>1933</v>
      </c>
      <c r="C42" s="133">
        <v>1971</v>
      </c>
      <c r="D42" s="133">
        <v>2011</v>
      </c>
      <c r="E42" s="133">
        <v>2051</v>
      </c>
      <c r="F42" s="134">
        <v>2092</v>
      </c>
    </row>
    <row r="43" spans="1:6" x14ac:dyDescent="0.35">
      <c r="A43" s="130" t="s">
        <v>54</v>
      </c>
      <c r="B43" s="100"/>
      <c r="C43" s="100"/>
      <c r="D43" s="100"/>
      <c r="E43" s="100"/>
      <c r="F43" s="135" t="s">
        <v>54</v>
      </c>
    </row>
    <row r="44" spans="1:6" x14ac:dyDescent="0.35">
      <c r="A44" s="127" t="s">
        <v>67</v>
      </c>
      <c r="B44" s="128" t="s">
        <v>54</v>
      </c>
      <c r="C44" s="128" t="s">
        <v>54</v>
      </c>
      <c r="D44" s="128" t="s">
        <v>54</v>
      </c>
      <c r="E44" s="128" t="s">
        <v>54</v>
      </c>
      <c r="F44" s="129" t="s">
        <v>54</v>
      </c>
    </row>
    <row r="45" spans="1:6" x14ac:dyDescent="0.35">
      <c r="A45" s="130" t="s">
        <v>51</v>
      </c>
      <c r="B45" s="100">
        <v>445</v>
      </c>
      <c r="C45" s="100">
        <v>481</v>
      </c>
      <c r="D45" s="100">
        <v>519</v>
      </c>
      <c r="E45" s="100">
        <v>560</v>
      </c>
      <c r="F45" s="131">
        <v>601</v>
      </c>
    </row>
    <row r="46" spans="1:6" x14ac:dyDescent="0.35">
      <c r="A46" s="130" t="s">
        <v>66</v>
      </c>
      <c r="B46" s="100">
        <v>455</v>
      </c>
      <c r="C46" s="100">
        <v>501</v>
      </c>
      <c r="D46" s="100">
        <v>552</v>
      </c>
      <c r="E46" s="100">
        <v>608</v>
      </c>
      <c r="F46" s="131">
        <v>666</v>
      </c>
    </row>
    <row r="47" spans="1:6" x14ac:dyDescent="0.35">
      <c r="A47" s="132" t="s">
        <v>52</v>
      </c>
      <c r="B47" s="133">
        <v>435</v>
      </c>
      <c r="C47" s="133">
        <v>458</v>
      </c>
      <c r="D47" s="133">
        <v>483</v>
      </c>
      <c r="E47" s="133">
        <v>508</v>
      </c>
      <c r="F47" s="134">
        <v>533</v>
      </c>
    </row>
    <row r="48" spans="1:6" x14ac:dyDescent="0.35">
      <c r="A48" s="130" t="s">
        <v>54</v>
      </c>
      <c r="B48" s="100"/>
      <c r="C48" s="100"/>
      <c r="D48" s="100"/>
      <c r="E48" s="100"/>
      <c r="F48" s="135" t="s">
        <v>54</v>
      </c>
    </row>
    <row r="49" spans="1:10" x14ac:dyDescent="0.35">
      <c r="A49" s="127" t="s">
        <v>68</v>
      </c>
      <c r="B49" s="128" t="s">
        <v>54</v>
      </c>
      <c r="C49" s="128" t="s">
        <v>54</v>
      </c>
      <c r="D49" s="128" t="s">
        <v>54</v>
      </c>
      <c r="E49" s="128" t="s">
        <v>54</v>
      </c>
      <c r="F49" s="129" t="s">
        <v>54</v>
      </c>
    </row>
    <row r="50" spans="1:10" x14ac:dyDescent="0.35">
      <c r="A50" s="130" t="s">
        <v>51</v>
      </c>
      <c r="B50" s="100">
        <v>-97</v>
      </c>
      <c r="C50" s="100">
        <v>97</v>
      </c>
      <c r="D50" s="100">
        <v>85</v>
      </c>
      <c r="E50" s="100">
        <v>83</v>
      </c>
      <c r="F50" s="131">
        <v>90</v>
      </c>
    </row>
    <row r="51" spans="1:10" x14ac:dyDescent="0.35">
      <c r="A51" s="130" t="s">
        <v>66</v>
      </c>
      <c r="B51" s="100">
        <v>-79</v>
      </c>
      <c r="C51" s="100">
        <v>109</v>
      </c>
      <c r="D51" s="100">
        <v>110</v>
      </c>
      <c r="E51" s="100">
        <v>103</v>
      </c>
      <c r="F51" s="131">
        <v>123</v>
      </c>
    </row>
    <row r="52" spans="1:10" x14ac:dyDescent="0.35">
      <c r="A52" s="132" t="s">
        <v>52</v>
      </c>
      <c r="B52" s="133">
        <v>-118</v>
      </c>
      <c r="C52" s="133">
        <v>83</v>
      </c>
      <c r="D52" s="133">
        <v>58</v>
      </c>
      <c r="E52" s="133">
        <v>64</v>
      </c>
      <c r="F52" s="134">
        <v>56</v>
      </c>
    </row>
    <row r="53" spans="1:10" x14ac:dyDescent="0.35">
      <c r="A53" s="130" t="s">
        <v>54</v>
      </c>
      <c r="B53" s="100"/>
      <c r="C53" s="100"/>
      <c r="D53" s="100"/>
      <c r="E53" s="100"/>
      <c r="F53" s="135" t="s">
        <v>54</v>
      </c>
    </row>
    <row r="54" spans="1:10" x14ac:dyDescent="0.35">
      <c r="A54" s="136" t="s">
        <v>69</v>
      </c>
      <c r="B54" s="137" t="s">
        <v>54</v>
      </c>
      <c r="C54" s="137" t="s">
        <v>54</v>
      </c>
      <c r="D54" s="137" t="s">
        <v>54</v>
      </c>
      <c r="E54" s="137" t="s">
        <v>54</v>
      </c>
      <c r="F54" s="138" t="s">
        <v>54</v>
      </c>
    </row>
    <row r="55" spans="1:10" x14ac:dyDescent="0.35">
      <c r="A55" s="130" t="s">
        <v>51</v>
      </c>
      <c r="B55" s="100">
        <v>288</v>
      </c>
      <c r="C55" s="100">
        <v>291</v>
      </c>
      <c r="D55" s="100">
        <v>302</v>
      </c>
      <c r="E55" s="100">
        <v>312</v>
      </c>
      <c r="F55" s="131">
        <v>323</v>
      </c>
    </row>
    <row r="56" spans="1:10" x14ac:dyDescent="0.35">
      <c r="A56" s="130" t="s">
        <v>66</v>
      </c>
      <c r="B56" s="100">
        <v>296</v>
      </c>
      <c r="C56" s="100">
        <v>308</v>
      </c>
      <c r="D56" s="100">
        <v>333</v>
      </c>
      <c r="E56" s="100">
        <v>355</v>
      </c>
      <c r="F56" s="131">
        <v>380</v>
      </c>
    </row>
    <row r="57" spans="1:10" x14ac:dyDescent="0.35">
      <c r="A57" s="132" t="s">
        <v>52</v>
      </c>
      <c r="B57" s="133">
        <v>279</v>
      </c>
      <c r="C57" s="133">
        <v>275</v>
      </c>
      <c r="D57" s="133">
        <v>278</v>
      </c>
      <c r="E57" s="133">
        <v>281</v>
      </c>
      <c r="F57" s="134">
        <v>282</v>
      </c>
    </row>
    <row r="59" spans="1:10" x14ac:dyDescent="0.35">
      <c r="A59" s="139"/>
      <c r="B59" s="140"/>
      <c r="C59" s="686" t="s">
        <v>71</v>
      </c>
      <c r="D59" s="686"/>
      <c r="E59" s="686"/>
      <c r="F59" s="686"/>
      <c r="G59" s="687"/>
    </row>
    <row r="60" spans="1:10" x14ac:dyDescent="0.35">
      <c r="A60" s="66"/>
      <c r="B60" s="141">
        <f>DCF!B35</f>
        <v>68530.528910623936</v>
      </c>
      <c r="C60" s="9">
        <v>3.7199999999999997E-2</v>
      </c>
      <c r="D60" s="9">
        <v>4.7199999999999999E-2</v>
      </c>
      <c r="E60" s="11">
        <v>5.7200000000000001E-2</v>
      </c>
      <c r="F60" s="9">
        <v>6.7199999999999996E-2</v>
      </c>
      <c r="G60" s="142">
        <v>7.7200000000000005E-2</v>
      </c>
    </row>
    <row r="61" spans="1:10" x14ac:dyDescent="0.35">
      <c r="A61" s="653" t="s">
        <v>72</v>
      </c>
      <c r="B61" s="69">
        <v>3.2000000000000001E-2</v>
      </c>
      <c r="C61" s="143"/>
      <c r="D61" s="143"/>
      <c r="E61" s="143"/>
      <c r="F61" s="143"/>
      <c r="G61" s="144"/>
    </row>
    <row r="62" spans="1:10" x14ac:dyDescent="0.35">
      <c r="A62" s="653"/>
      <c r="B62" s="69">
        <v>2.8000000000000001E-2</v>
      </c>
      <c r="C62" s="143"/>
      <c r="D62" s="143"/>
      <c r="E62" s="143"/>
      <c r="F62" s="143"/>
      <c r="G62" s="144"/>
      <c r="J62" s="9"/>
    </row>
    <row r="63" spans="1:10" x14ac:dyDescent="0.35">
      <c r="A63" s="653"/>
      <c r="B63" s="11">
        <v>2.4E-2</v>
      </c>
      <c r="C63" s="143"/>
      <c r="D63" s="143"/>
      <c r="E63" s="143"/>
      <c r="F63" s="143"/>
      <c r="G63" s="144"/>
      <c r="J63" s="9"/>
    </row>
    <row r="64" spans="1:10" x14ac:dyDescent="0.35">
      <c r="A64" s="653"/>
      <c r="B64" s="69">
        <v>0.02</v>
      </c>
      <c r="C64" s="143"/>
      <c r="D64" s="143"/>
      <c r="E64" s="143"/>
      <c r="F64" s="143"/>
      <c r="G64" s="144"/>
    </row>
    <row r="65" spans="1:11" x14ac:dyDescent="0.35">
      <c r="A65" s="654"/>
      <c r="B65" s="145">
        <v>1.6E-2</v>
      </c>
      <c r="C65" s="146"/>
      <c r="D65" s="146"/>
      <c r="E65" s="146"/>
      <c r="F65" s="146"/>
      <c r="G65" s="147"/>
    </row>
    <row r="67" spans="1:11" x14ac:dyDescent="0.35">
      <c r="A67" s="139"/>
      <c r="B67" s="140"/>
      <c r="C67" s="686" t="s">
        <v>74</v>
      </c>
      <c r="D67" s="686"/>
      <c r="E67" s="686"/>
      <c r="F67" s="686"/>
      <c r="G67" s="687"/>
    </row>
    <row r="68" spans="1:11" x14ac:dyDescent="0.35">
      <c r="A68" s="66"/>
      <c r="B68" s="141">
        <f>[1]DCF!E38</f>
        <v>91693.555799541311</v>
      </c>
      <c r="C68" s="51">
        <v>1.128316690442225</v>
      </c>
      <c r="D68" s="51">
        <v>2.128316690442225</v>
      </c>
      <c r="E68" s="71">
        <v>3.128316690442225</v>
      </c>
      <c r="F68" s="71">
        <v>4.128316690442225</v>
      </c>
      <c r="G68" s="148">
        <v>5.128316690442225</v>
      </c>
    </row>
    <row r="69" spans="1:11" x14ac:dyDescent="0.35">
      <c r="A69" s="653" t="s">
        <v>71</v>
      </c>
      <c r="B69" s="9">
        <v>6.5881127106138845E-2</v>
      </c>
      <c r="C69" s="51">
        <v>49781.594413519757</v>
      </c>
      <c r="D69" s="51">
        <v>74635.231502372408</v>
      </c>
      <c r="E69" s="61">
        <v>99488.868591225066</v>
      </c>
      <c r="F69" s="61">
        <v>124342.50568007771</v>
      </c>
      <c r="G69" s="144">
        <v>149196.14276893038</v>
      </c>
    </row>
    <row r="70" spans="1:11" x14ac:dyDescent="0.35">
      <c r="A70" s="653"/>
      <c r="B70" s="9">
        <v>7.588112710613884E-2</v>
      </c>
      <c r="C70" s="51">
        <v>48044.776578605226</v>
      </c>
      <c r="D70" s="51">
        <v>71764.650081140717</v>
      </c>
      <c r="E70" s="61">
        <v>95484.5235836762</v>
      </c>
      <c r="F70" s="61">
        <v>119204.39708621167</v>
      </c>
      <c r="G70" s="144">
        <v>142924.27058874717</v>
      </c>
    </row>
    <row r="71" spans="1:11" x14ac:dyDescent="0.35">
      <c r="A71" s="653"/>
      <c r="B71" s="9">
        <v>8.5881127106138835E-2</v>
      </c>
      <c r="C71" s="51">
        <v>46398.334542631164</v>
      </c>
      <c r="D71" s="51">
        <v>69045.945171086249</v>
      </c>
      <c r="E71" s="61">
        <v>91693.555799541311</v>
      </c>
      <c r="F71" s="61">
        <v>114341.16642799639</v>
      </c>
      <c r="G71" s="144">
        <v>136988.77705645148</v>
      </c>
      <c r="I71" s="149"/>
      <c r="J71" s="149"/>
      <c r="K71" s="149"/>
    </row>
    <row r="72" spans="1:11" x14ac:dyDescent="0.35">
      <c r="A72" s="653"/>
      <c r="B72" s="9">
        <v>9.588112710613883E-2</v>
      </c>
      <c r="C72" s="51">
        <v>44836.758278304464</v>
      </c>
      <c r="D72" s="51">
        <v>66469.749615254303</v>
      </c>
      <c r="E72" s="61">
        <v>88102.740952204156</v>
      </c>
      <c r="F72" s="61">
        <v>109735.732289154</v>
      </c>
      <c r="G72" s="144">
        <v>131368.72362610383</v>
      </c>
      <c r="I72" s="149"/>
      <c r="J72" s="149"/>
      <c r="K72" s="149"/>
    </row>
    <row r="73" spans="1:11" x14ac:dyDescent="0.35">
      <c r="A73" s="654"/>
      <c r="B73" s="150">
        <v>0.10588112710613883</v>
      </c>
      <c r="C73" s="151">
        <v>43354.921683406406</v>
      </c>
      <c r="D73" s="151">
        <v>64027.354184637705</v>
      </c>
      <c r="E73" s="146">
        <v>84699.786685869025</v>
      </c>
      <c r="F73" s="146">
        <v>105372.21918710032</v>
      </c>
      <c r="G73" s="147">
        <v>126044.65168833164</v>
      </c>
      <c r="I73" s="149"/>
      <c r="J73" s="149"/>
      <c r="K73" s="149"/>
    </row>
    <row r="77" spans="1:11" x14ac:dyDescent="0.35">
      <c r="C77" s="9"/>
      <c r="D77" s="9"/>
      <c r="E77" s="11"/>
      <c r="F77" s="9"/>
      <c r="G77" s="9"/>
    </row>
    <row r="78" spans="1:11" x14ac:dyDescent="0.35">
      <c r="B78" s="69"/>
    </row>
    <row r="79" spans="1:11" x14ac:dyDescent="0.35">
      <c r="B79" s="69"/>
    </row>
    <row r="80" spans="1:11" x14ac:dyDescent="0.35">
      <c r="B80" s="11"/>
    </row>
    <row r="81" spans="2:2" x14ac:dyDescent="0.35">
      <c r="B81" s="69"/>
    </row>
    <row r="82" spans="2:2" x14ac:dyDescent="0.35">
      <c r="B82" s="69"/>
    </row>
  </sheetData>
  <sortState xmlns:xlrd2="http://schemas.microsoft.com/office/spreadsheetml/2017/richdata2" ref="B78:G82">
    <sortCondition descending="1" ref="G77:G82"/>
  </sortState>
  <mergeCells count="9">
    <mergeCell ref="A61:A65"/>
    <mergeCell ref="C67:G67"/>
    <mergeCell ref="A69:A73"/>
    <mergeCell ref="A1:B1"/>
    <mergeCell ref="C3:C5"/>
    <mergeCell ref="A7:D7"/>
    <mergeCell ref="A15:F15"/>
    <mergeCell ref="A37:F37"/>
    <mergeCell ref="C59:G59"/>
  </mergeCells>
  <conditionalFormatting sqref="C61:G65">
    <cfRule type="colorScale" priority="2">
      <colorScale>
        <cfvo type="min"/>
        <cfvo type="percentile" val="50"/>
        <cfvo type="max"/>
        <color rgb="FFF8696B"/>
        <color rgb="FFFFEB84"/>
        <color rgb="FF63BE7B"/>
      </colorScale>
    </cfRule>
  </conditionalFormatting>
  <conditionalFormatting sqref="C69:G7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3C0BC-55B7-4430-BDA6-25F6E8DDD372}">
  <sheetPr>
    <tabColor rgb="FFFFFF00"/>
  </sheetPr>
  <dimension ref="A1:R13"/>
  <sheetViews>
    <sheetView tabSelected="1" workbookViewId="0">
      <selection activeCell="D17" sqref="D17:E17"/>
    </sheetView>
  </sheetViews>
  <sheetFormatPr defaultColWidth="8.81640625" defaultRowHeight="14.5" x14ac:dyDescent="0.35"/>
  <cols>
    <col min="1" max="1" width="55.6328125" customWidth="1"/>
    <col min="2" max="2" width="11.26953125" customWidth="1"/>
    <col min="3" max="8" width="9.453125" bestFit="1" customWidth="1"/>
    <col min="9" max="9" width="16.81640625" customWidth="1"/>
    <col min="10" max="10" width="16.1796875" customWidth="1"/>
    <col min="11" max="11" width="29.453125" bestFit="1" customWidth="1"/>
    <col min="12" max="12" width="18.453125" customWidth="1"/>
    <col min="13" max="18" width="18.453125" bestFit="1" customWidth="1"/>
  </cols>
  <sheetData>
    <row r="1" spans="1:18" x14ac:dyDescent="0.35">
      <c r="A1" s="40"/>
      <c r="B1" s="376">
        <v>2016</v>
      </c>
      <c r="C1" s="377">
        <v>2017</v>
      </c>
      <c r="D1" s="376">
        <v>2018</v>
      </c>
      <c r="E1" s="377">
        <v>2019</v>
      </c>
      <c r="F1" s="376">
        <v>2020</v>
      </c>
      <c r="G1" s="377">
        <v>2021</v>
      </c>
      <c r="H1" s="376">
        <v>2022</v>
      </c>
      <c r="K1" s="40"/>
      <c r="L1" s="40">
        <v>2016</v>
      </c>
      <c r="M1" s="40">
        <v>2017</v>
      </c>
      <c r="N1" s="40">
        <v>2018</v>
      </c>
      <c r="O1" s="40">
        <v>2019</v>
      </c>
      <c r="P1" s="40">
        <v>2020</v>
      </c>
      <c r="Q1" s="40">
        <v>2021</v>
      </c>
      <c r="R1" s="40">
        <v>2022</v>
      </c>
    </row>
    <row r="2" spans="1:18" x14ac:dyDescent="0.35">
      <c r="A2" s="378" t="s">
        <v>1387</v>
      </c>
      <c r="B2" s="380">
        <f>L2/L8</f>
        <v>0.44210906237874686</v>
      </c>
      <c r="C2" s="380">
        <f t="shared" ref="C2:H2" si="0">M2/M8</f>
        <v>0.39361614258523681</v>
      </c>
      <c r="D2" s="380">
        <f t="shared" si="0"/>
        <v>0.3793082493431354</v>
      </c>
      <c r="E2" s="380">
        <f t="shared" si="0"/>
        <v>0.52804776430865286</v>
      </c>
      <c r="F2" s="380">
        <f t="shared" si="0"/>
        <v>0.51939678157048952</v>
      </c>
      <c r="G2" s="380">
        <f t="shared" si="0"/>
        <v>0.52701758477496208</v>
      </c>
      <c r="H2" s="380">
        <f t="shared" si="0"/>
        <v>0.45379610793670799</v>
      </c>
      <c r="K2" s="40" t="s">
        <v>1375</v>
      </c>
      <c r="L2" s="379">
        <f>FS!B32-FS!B75</f>
        <v>612017086703</v>
      </c>
      <c r="M2" s="379">
        <f>FS!C32-FS!C75</f>
        <v>617393499504</v>
      </c>
      <c r="N2" s="379">
        <f>FS!D32-FS!D75</f>
        <v>680729207872</v>
      </c>
      <c r="O2" s="379">
        <f>FS!E32-FS!E75</f>
        <v>1276240715716</v>
      </c>
      <c r="P2" s="379">
        <f>FS!F32-FS!F75</f>
        <v>1202195344857</v>
      </c>
      <c r="Q2" s="379">
        <f>FS!G32-FS!G75</f>
        <v>1289158031135</v>
      </c>
      <c r="R2" s="379">
        <f>FS!H32-FS!H75</f>
        <v>1301957393635</v>
      </c>
    </row>
    <row r="3" spans="1:18" x14ac:dyDescent="0.35">
      <c r="A3" s="378" t="s">
        <v>1388</v>
      </c>
      <c r="B3" s="380">
        <f t="shared" ref="B3:H3" si="1">L3/L8</f>
        <v>0.22813261326623338</v>
      </c>
      <c r="C3" s="380">
        <f t="shared" si="1"/>
        <v>0.2551623355729345</v>
      </c>
      <c r="D3" s="380">
        <f t="shared" si="1"/>
        <v>0.23687336565797909</v>
      </c>
      <c r="E3" s="380">
        <f t="shared" si="1"/>
        <v>0.19780588349267028</v>
      </c>
      <c r="F3" s="380">
        <f t="shared" si="1"/>
        <v>0.17656570253927045</v>
      </c>
      <c r="G3" s="380">
        <f t="shared" si="1"/>
        <v>0.18707399217856868</v>
      </c>
      <c r="H3" s="380">
        <f t="shared" si="1"/>
        <v>0.19334745028875264</v>
      </c>
      <c r="K3" s="40" t="s">
        <v>1377</v>
      </c>
      <c r="L3" s="379">
        <f>FS!B96</f>
        <v>315806820611</v>
      </c>
      <c r="M3" s="379">
        <f>FS!C96</f>
        <v>400226388751</v>
      </c>
      <c r="N3" s="379">
        <f>FS!D96</f>
        <v>425107070172</v>
      </c>
      <c r="O3" s="379">
        <f>FS!E96</f>
        <v>478077816790</v>
      </c>
      <c r="P3" s="379">
        <f>FS!F96</f>
        <v>408678823562</v>
      </c>
      <c r="Q3" s="379">
        <f>FS!G96</f>
        <v>457608904144</v>
      </c>
      <c r="R3" s="379">
        <f>FS!H96</f>
        <v>554720805316</v>
      </c>
    </row>
    <row r="4" spans="1:18" x14ac:dyDescent="0.35">
      <c r="A4" s="378" t="s">
        <v>1389</v>
      </c>
      <c r="B4" s="380">
        <f t="shared" ref="B4:H4" si="2">L4/L8</f>
        <v>0.11097023688331546</v>
      </c>
      <c r="C4" s="380">
        <f t="shared" si="2"/>
        <v>0.12469814137806844</v>
      </c>
      <c r="D4" s="380">
        <f t="shared" si="2"/>
        <v>0.15137754931000894</v>
      </c>
      <c r="E4" s="380">
        <f t="shared" si="2"/>
        <v>0.10135135832984329</v>
      </c>
      <c r="F4" s="380">
        <f t="shared" si="2"/>
        <v>3.3680186492100535E-2</v>
      </c>
      <c r="G4" s="380">
        <f t="shared" si="2"/>
        <v>4.5630492685974348E-2</v>
      </c>
      <c r="H4" s="380">
        <f t="shared" si="2"/>
        <v>0.13828103448077245</v>
      </c>
      <c r="K4" s="40" t="s">
        <v>1378</v>
      </c>
      <c r="L4" s="379">
        <f>FS!B97</f>
        <v>153617482353</v>
      </c>
      <c r="M4" s="379">
        <f>FS!C97</f>
        <v>195591119260</v>
      </c>
      <c r="N4" s="379">
        <f>FS!D97</f>
        <v>271671178810</v>
      </c>
      <c r="O4" s="379">
        <f>FS!E97</f>
        <v>244956496053</v>
      </c>
      <c r="P4" s="379">
        <f>FS!F97</f>
        <v>77956130749</v>
      </c>
      <c r="Q4" s="379">
        <f>FS!G97</f>
        <v>111618507257</v>
      </c>
      <c r="R4" s="379">
        <f>FS!H97</f>
        <v>396733273144</v>
      </c>
    </row>
    <row r="5" spans="1:18" x14ac:dyDescent="0.35">
      <c r="A5" s="378" t="s">
        <v>1390</v>
      </c>
      <c r="B5" s="380">
        <f>L5/L6</f>
        <v>8.4106013570177325</v>
      </c>
      <c r="C5" s="380">
        <f t="shared" ref="C5:H5" si="3">M5/M6</f>
        <v>10.040468203503321</v>
      </c>
      <c r="D5" s="380">
        <f t="shared" si="3"/>
        <v>8.1218081454708653</v>
      </c>
      <c r="E5" s="380">
        <f t="shared" si="3"/>
        <v>5.0892165873873312</v>
      </c>
      <c r="F5" s="380">
        <f t="shared" si="3"/>
        <v>5.3572105966215382</v>
      </c>
      <c r="G5" s="380">
        <f t="shared" si="3"/>
        <v>5.7158041245829363</v>
      </c>
      <c r="H5" s="380">
        <f t="shared" si="3"/>
        <v>4.3548677486684477</v>
      </c>
      <c r="K5" s="40" t="s">
        <v>1379</v>
      </c>
      <c r="L5" s="379">
        <v>3869600000000</v>
      </c>
      <c r="M5" s="379">
        <v>5106200000000</v>
      </c>
      <c r="N5" s="379">
        <v>4272000000000</v>
      </c>
      <c r="O5" s="379">
        <v>3104000000000</v>
      </c>
      <c r="P5" s="379">
        <v>3034000000000</v>
      </c>
      <c r="Q5" s="379">
        <v>3547000000000</v>
      </c>
      <c r="R5" s="379">
        <v>3968000000000</v>
      </c>
    </row>
    <row r="6" spans="1:18" x14ac:dyDescent="0.35">
      <c r="A6" s="378" t="s">
        <v>1391</v>
      </c>
      <c r="B6" s="394">
        <f t="shared" ref="B6:H6" si="4">L7/L8</f>
        <v>1.5620143271219662</v>
      </c>
      <c r="C6" s="394">
        <f t="shared" si="4"/>
        <v>1.5922053566312127</v>
      </c>
      <c r="D6" s="394">
        <f t="shared" si="4"/>
        <v>1.5912634794992999</v>
      </c>
      <c r="E6" s="394">
        <f t="shared" si="4"/>
        <v>1.3457223013316411</v>
      </c>
      <c r="F6" s="394">
        <f t="shared" si="4"/>
        <v>1.159834505206103</v>
      </c>
      <c r="G6" s="394">
        <f t="shared" si="4"/>
        <v>1.0908111039232538</v>
      </c>
      <c r="H6" s="394">
        <f t="shared" si="4"/>
        <v>1.2271919508512816</v>
      </c>
      <c r="K6" s="40" t="s">
        <v>1380</v>
      </c>
      <c r="L6" s="379">
        <f>FS!B74</f>
        <v>460086007616</v>
      </c>
      <c r="M6" s="379">
        <f>FS!C74</f>
        <v>508561941187</v>
      </c>
      <c r="N6" s="379">
        <f>FS!D74</f>
        <v>525991247698</v>
      </c>
      <c r="O6" s="379">
        <f>FS!E74</f>
        <v>609917056329</v>
      </c>
      <c r="P6" s="379">
        <f>FS!F74</f>
        <v>566339505472</v>
      </c>
      <c r="Q6" s="379">
        <f>FS!G74</f>
        <v>620560103651</v>
      </c>
      <c r="R6" s="379">
        <f>FS!H74</f>
        <v>911164294533</v>
      </c>
    </row>
    <row r="7" spans="1:18" x14ac:dyDescent="0.35">
      <c r="A7" s="381" t="s">
        <v>1374</v>
      </c>
      <c r="B7" s="180">
        <f>1.2*B2+1.4*B3+3.3*B4+0.6*B5+B6</f>
        <v>7.8244934564747695</v>
      </c>
      <c r="C7" s="180">
        <f t="shared" ref="C7:G7" si="5">1.2*C2+1.4*C3+3.3*C4+0.6*C5+C6</f>
        <v>8.8575567861852242</v>
      </c>
      <c r="D7" s="180">
        <f>1.2*D2+1.4*D3+3.3*D4+0.6*D5+D6</f>
        <v>7.7506868906377822</v>
      </c>
      <c r="E7" s="180">
        <f t="shared" si="5"/>
        <v>5.644297290312644</v>
      </c>
      <c r="F7" s="180">
        <f t="shared" si="5"/>
        <v>5.3557736000425233</v>
      </c>
      <c r="G7" s="180">
        <f t="shared" si="5"/>
        <v>5.5651988953166809</v>
      </c>
      <c r="H7" s="180">
        <f>1.2*H2+1.4*H3+3.3*H4+0.6*H5+H6</f>
        <v>5.1116817737672022</v>
      </c>
      <c r="K7" s="40" t="s">
        <v>40</v>
      </c>
      <c r="L7" s="379">
        <f>FS!B2</f>
        <v>2162315906238</v>
      </c>
      <c r="M7" s="379">
        <f>FS!C2</f>
        <v>2497400717875</v>
      </c>
      <c r="N7" s="379">
        <f>FS!D2</f>
        <v>2855776350214</v>
      </c>
      <c r="O7" s="379">
        <f>FS!E2</f>
        <v>3252481516052</v>
      </c>
      <c r="P7" s="379">
        <f>FS!F2</f>
        <v>2684551950336</v>
      </c>
      <c r="Q7" s="379">
        <f>FS!G2</f>
        <v>2668275093087</v>
      </c>
      <c r="R7" s="379">
        <f>FS!H2</f>
        <v>3520857948925</v>
      </c>
    </row>
    <row r="8" spans="1:18" x14ac:dyDescent="0.35">
      <c r="K8" s="40" t="s">
        <v>1376</v>
      </c>
      <c r="L8" s="379">
        <f>FS!B72</f>
        <v>1384312466725</v>
      </c>
      <c r="M8" s="379">
        <f>FS!C72</f>
        <v>1568516716436</v>
      </c>
      <c r="N8" s="379">
        <f>FS!D72</f>
        <v>1794659644368</v>
      </c>
      <c r="O8" s="379">
        <f>FS!E72</f>
        <v>2416903927975</v>
      </c>
      <c r="P8" s="379">
        <f>FS!F72</f>
        <v>2314599141762</v>
      </c>
      <c r="Q8" s="379">
        <f>FS!G72</f>
        <v>2446138550928</v>
      </c>
      <c r="R8" s="379">
        <f>FS!H72</f>
        <v>2869036051355</v>
      </c>
    </row>
    <row r="13" spans="1:18" x14ac:dyDescent="0.35">
      <c r="E13" t="s">
        <v>1619</v>
      </c>
    </row>
  </sheetData>
  <conditionalFormatting sqref="B7:H7">
    <cfRule type="colorScale" priority="1">
      <colorScale>
        <cfvo type="num" val="3"/>
        <cfvo type="num" val="5"/>
        <cfvo type="num" val="7"/>
        <color rgb="FFF8696B"/>
        <color rgb="FFFFEB84"/>
        <color rgb="FF63BE7B"/>
      </colorScale>
    </cfRule>
    <cfRule type="cellIs" dxfId="0" priority="2" operator="greaterThan">
      <formula>3</formula>
    </cfRule>
  </conditionalFormatting>
  <pageMargins left="0.7" right="0.7" top="0.75" bottom="0.75" header="0.3" footer="0.3"/>
  <extLst>
    <ext xmlns:x14="http://schemas.microsoft.com/office/spreadsheetml/2009/9/main" uri="{05C60535-1F16-4fd2-B633-F4F36F0B64E0}">
      <x14:sparklineGroups xmlns:xm="http://schemas.microsoft.com/office/excel/2006/main">
        <x14:sparklineGroup manualMin="3" displayEmptyCellsAs="span" markers="1" high="1" low="1" first="1" last="1" negative="1" minAxisType="custom" xr2:uid="{74B3F750-EDD6-45C0-8DEB-9C58F35732FE}">
          <x14:colorSeries rgb="FF000000"/>
          <x14:colorNegative rgb="FF0070C0"/>
          <x14:colorAxis rgb="FF000000"/>
          <x14:colorMarkers rgb="FF0070C0"/>
          <x14:colorFirst rgb="FF0070C0"/>
          <x14:colorLast rgb="FF0070C0"/>
          <x14:colorHigh rgb="FF0070C0"/>
          <x14:colorLow rgb="FF0070C0"/>
          <x14:sparklines>
            <x14:sparkline>
              <xm:f>'Z-score'!B7:H7</xm:f>
              <xm:sqref>I7</xm:sqref>
            </x14:sparkline>
          </x14:sparklines>
        </x14:sparklineGroup>
      </x14:sparklineGroup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11E6A-95F7-4538-8F0A-4A0CB60356F7}">
  <dimension ref="A1:T1252"/>
  <sheetViews>
    <sheetView topLeftCell="D19" zoomScale="85" zoomScaleNormal="70" workbookViewId="0">
      <selection activeCell="E10" sqref="E10"/>
    </sheetView>
  </sheetViews>
  <sheetFormatPr defaultColWidth="8.6328125" defaultRowHeight="12.5" x14ac:dyDescent="0.25"/>
  <cols>
    <col min="1" max="1" width="8.81640625" style="410" bestFit="1" customWidth="1"/>
    <col min="2" max="2" width="9.453125" style="410" bestFit="1" customWidth="1"/>
    <col min="3" max="3" width="6.453125" style="410" bestFit="1" customWidth="1"/>
    <col min="4" max="4" width="15.453125" style="410" bestFit="1" customWidth="1"/>
    <col min="5" max="5" width="21.6328125" style="410" bestFit="1" customWidth="1"/>
    <col min="6" max="6" width="11.81640625" style="410" customWidth="1"/>
    <col min="7" max="7" width="8.6328125" style="410"/>
    <col min="8" max="8" width="22" style="410" bestFit="1" customWidth="1"/>
    <col min="9" max="9" width="9.7265625" style="410" bestFit="1" customWidth="1"/>
    <col min="10" max="10" width="15.1796875" style="410" bestFit="1" customWidth="1"/>
    <col min="11" max="11" width="5.453125" style="410" bestFit="1" customWidth="1"/>
    <col min="12" max="12" width="11.81640625" style="410" bestFit="1" customWidth="1"/>
    <col min="13" max="13" width="9.7265625" style="410" bestFit="1" customWidth="1"/>
    <col min="14" max="14" width="17.26953125" style="410" bestFit="1" customWidth="1"/>
    <col min="15" max="15" width="19.453125" style="410" customWidth="1"/>
    <col min="16" max="16" width="11.81640625" style="410" bestFit="1" customWidth="1"/>
    <col min="17" max="17" width="8.1796875" style="410" bestFit="1" customWidth="1"/>
    <col min="18" max="18" width="11.1796875" style="410" customWidth="1"/>
    <col min="19" max="19" width="13.453125" style="410" customWidth="1"/>
    <col min="20" max="20" width="12.81640625" style="410" customWidth="1"/>
    <col min="21" max="21" width="18.6328125" style="410" customWidth="1"/>
    <col min="22" max="22" width="8.6328125" style="410"/>
    <col min="23" max="23" width="20.453125" style="410" customWidth="1"/>
    <col min="24" max="24" width="13.453125" style="410" customWidth="1"/>
    <col min="25" max="16384" width="8.6328125" style="410"/>
  </cols>
  <sheetData>
    <row r="1" spans="1:20" ht="15" thickBot="1" x14ac:dyDescent="0.4">
      <c r="A1" s="454" t="s">
        <v>1488</v>
      </c>
      <c r="B1" s="454" t="s">
        <v>1460</v>
      </c>
      <c r="C1" s="454" t="s">
        <v>1461</v>
      </c>
      <c r="D1" s="455" t="s">
        <v>1462</v>
      </c>
      <c r="E1" s="455" t="s">
        <v>1618</v>
      </c>
      <c r="F1" s="456" t="s">
        <v>1463</v>
      </c>
      <c r="G1" s="457"/>
      <c r="H1" s="454" t="s">
        <v>1464</v>
      </c>
      <c r="I1" s="454" t="s">
        <v>1465</v>
      </c>
      <c r="J1" s="411"/>
      <c r="K1" s="411"/>
      <c r="L1" s="411"/>
      <c r="M1" s="411"/>
      <c r="N1" s="411"/>
      <c r="O1" s="411"/>
      <c r="P1" s="411"/>
      <c r="Q1" s="411"/>
      <c r="R1" s="411"/>
      <c r="S1" s="411"/>
      <c r="T1" s="411"/>
    </row>
    <row r="2" spans="1:20" ht="15" thickBot="1" x14ac:dyDescent="0.4">
      <c r="A2" s="412">
        <v>-9811.27</v>
      </c>
      <c r="B2" s="413">
        <v>1E-3</v>
      </c>
      <c r="C2" s="413">
        <v>1</v>
      </c>
      <c r="D2" s="414">
        <f t="shared" ref="D2:D65" si="0">A2*B2/1%</f>
        <v>-981.12700000000007</v>
      </c>
      <c r="E2" s="414">
        <f>A2*B2/5%</f>
        <v>-196.22540000000001</v>
      </c>
      <c r="F2" s="415">
        <f>D2</f>
        <v>-981.12700000000007</v>
      </c>
      <c r="G2" s="411"/>
      <c r="H2" s="416">
        <f>Beta!J2</f>
        <v>58700</v>
      </c>
      <c r="I2" s="414">
        <f>_xlfn.STDEV.S(A2:A1001)</f>
        <v>2757.3978829993675</v>
      </c>
      <c r="J2" s="411"/>
      <c r="K2" s="411"/>
      <c r="L2" s="411"/>
      <c r="M2" s="411"/>
      <c r="N2" s="411"/>
      <c r="O2" s="411"/>
      <c r="P2" s="411"/>
      <c r="Q2" s="411"/>
      <c r="R2" s="411"/>
      <c r="S2" s="411"/>
      <c r="T2" s="411"/>
    </row>
    <row r="3" spans="1:20" ht="15" thickBot="1" x14ac:dyDescent="0.4">
      <c r="A3" s="412">
        <v>-9311.09</v>
      </c>
      <c r="B3" s="413">
        <v>1E-3</v>
      </c>
      <c r="C3" s="413">
        <v>0.999</v>
      </c>
      <c r="D3" s="414">
        <f t="shared" si="0"/>
        <v>-931.10900000000004</v>
      </c>
      <c r="E3" s="414">
        <f t="shared" ref="E3:E52" si="1">A3*B3/5%</f>
        <v>-186.2218</v>
      </c>
      <c r="F3" s="415">
        <f t="shared" ref="F3:F66" si="2">F2+D3</f>
        <v>-1912.2360000000001</v>
      </c>
      <c r="G3" s="411"/>
      <c r="H3" s="417" t="s">
        <v>1466</v>
      </c>
      <c r="I3" s="418"/>
      <c r="J3" s="703" t="s">
        <v>1467</v>
      </c>
      <c r="K3" s="704"/>
      <c r="L3" s="704"/>
      <c r="M3" s="419"/>
      <c r="N3" s="420"/>
      <c r="O3" s="419"/>
      <c r="P3" s="419"/>
      <c r="Q3" s="418"/>
      <c r="R3" s="411"/>
      <c r="S3" s="411"/>
      <c r="T3" s="411"/>
    </row>
    <row r="4" spans="1:20" ht="15" thickBot="1" x14ac:dyDescent="0.4">
      <c r="A4" s="412">
        <v>-9126.27</v>
      </c>
      <c r="B4" s="413">
        <v>1E-3</v>
      </c>
      <c r="C4" s="413">
        <v>0.998</v>
      </c>
      <c r="D4" s="414">
        <f t="shared" si="0"/>
        <v>-912.62699999999995</v>
      </c>
      <c r="E4" s="414">
        <f t="shared" si="1"/>
        <v>-182.52539999999999</v>
      </c>
      <c r="F4" s="415">
        <f t="shared" si="2"/>
        <v>-2824.8630000000003</v>
      </c>
      <c r="G4" s="411"/>
      <c r="H4" s="421" t="s">
        <v>1468</v>
      </c>
      <c r="I4" s="422">
        <f>A12</f>
        <v>-6783.8</v>
      </c>
      <c r="J4" s="698" t="s">
        <v>1469</v>
      </c>
      <c r="K4" s="699"/>
      <c r="L4" s="697" t="s">
        <v>1470</v>
      </c>
      <c r="M4" s="697"/>
      <c r="N4" s="698" t="s">
        <v>1471</v>
      </c>
      <c r="O4" s="699"/>
      <c r="P4" s="702" t="s">
        <v>1470</v>
      </c>
      <c r="Q4" s="702"/>
      <c r="R4" s="411"/>
      <c r="S4" s="411"/>
      <c r="T4" s="411"/>
    </row>
    <row r="5" spans="1:20" ht="15" thickBot="1" x14ac:dyDescent="0.4">
      <c r="A5" s="412">
        <v>-8064.97</v>
      </c>
      <c r="B5" s="413">
        <v>1E-3</v>
      </c>
      <c r="C5" s="413">
        <v>0.997</v>
      </c>
      <c r="D5" s="414">
        <f t="shared" si="0"/>
        <v>-806.49700000000007</v>
      </c>
      <c r="E5" s="414">
        <f t="shared" si="1"/>
        <v>-161.29939999999999</v>
      </c>
      <c r="F5" s="415">
        <f t="shared" si="2"/>
        <v>-3631.3600000000006</v>
      </c>
      <c r="G5" s="411"/>
      <c r="H5" s="425">
        <f>-I4</f>
        <v>6783.8</v>
      </c>
      <c r="I5" s="424"/>
      <c r="J5" s="413">
        <f>NORMINV(0.99,0,I2)</f>
        <v>6414.6667030002936</v>
      </c>
      <c r="K5" s="411"/>
      <c r="L5" s="413">
        <f>(1/J8)*SQRT((0.01*0.99)/1000)</f>
        <v>325.5254240584253</v>
      </c>
      <c r="M5" s="411"/>
      <c r="N5" s="426">
        <f>NORMINV(0.95,0,I2)</f>
        <v>4535.515908799819</v>
      </c>
      <c r="O5" s="411"/>
      <c r="P5" s="413">
        <f>(1/N8)*SQRT((0.95*0.05)/1000)</f>
        <v>184.26271805672462</v>
      </c>
      <c r="Q5" s="424"/>
      <c r="R5" s="411"/>
      <c r="S5" s="411"/>
      <c r="T5" s="411"/>
    </row>
    <row r="6" spans="1:20" ht="15" thickBot="1" x14ac:dyDescent="0.4">
      <c r="A6" s="412">
        <v>-7595.53</v>
      </c>
      <c r="B6" s="413">
        <v>1E-3</v>
      </c>
      <c r="C6" s="413">
        <v>0.996</v>
      </c>
      <c r="D6" s="414">
        <f t="shared" si="0"/>
        <v>-759.553</v>
      </c>
      <c r="E6" s="414">
        <f t="shared" si="1"/>
        <v>-151.91059999999999</v>
      </c>
      <c r="F6" s="415">
        <f t="shared" si="2"/>
        <v>-4390.9130000000005</v>
      </c>
      <c r="G6" s="411"/>
      <c r="H6" s="427"/>
      <c r="I6" s="424"/>
      <c r="J6" s="411"/>
      <c r="K6" s="411"/>
      <c r="L6" s="411"/>
      <c r="M6" s="411"/>
      <c r="N6" s="427"/>
      <c r="O6" s="411"/>
      <c r="P6" s="411"/>
      <c r="Q6" s="424"/>
      <c r="R6" s="411"/>
      <c r="S6" s="411"/>
      <c r="T6" s="411"/>
    </row>
    <row r="7" spans="1:20" ht="15" thickBot="1" x14ac:dyDescent="0.4">
      <c r="A7" s="412">
        <v>-7174.63</v>
      </c>
      <c r="B7" s="413">
        <v>1E-3</v>
      </c>
      <c r="C7" s="413">
        <v>0.995</v>
      </c>
      <c r="D7" s="414">
        <f t="shared" si="0"/>
        <v>-717.46300000000008</v>
      </c>
      <c r="E7" s="414">
        <f t="shared" si="1"/>
        <v>-143.49260000000001</v>
      </c>
      <c r="F7" s="415">
        <f t="shared" si="2"/>
        <v>-5108.3760000000002</v>
      </c>
      <c r="G7" s="411"/>
      <c r="H7" s="421" t="s">
        <v>1472</v>
      </c>
      <c r="I7" s="422">
        <f>A52</f>
        <v>-3626.93</v>
      </c>
      <c r="J7" s="411" t="s">
        <v>1473</v>
      </c>
      <c r="K7" s="411"/>
      <c r="L7" s="697" t="s">
        <v>1474</v>
      </c>
      <c r="M7" s="697"/>
      <c r="N7" s="427" t="s">
        <v>1473</v>
      </c>
      <c r="O7" s="411"/>
      <c r="P7" s="702" t="s">
        <v>1474</v>
      </c>
      <c r="Q7" s="702"/>
      <c r="R7" s="411"/>
      <c r="S7" s="411"/>
      <c r="T7" s="411"/>
    </row>
    <row r="8" spans="1:20" ht="15" thickBot="1" x14ac:dyDescent="0.4">
      <c r="A8" s="412">
        <v>-7077.14</v>
      </c>
      <c r="B8" s="413">
        <v>1E-3</v>
      </c>
      <c r="C8" s="413">
        <v>0.99399999999999999</v>
      </c>
      <c r="D8" s="414">
        <f t="shared" si="0"/>
        <v>-707.71400000000006</v>
      </c>
      <c r="E8" s="414">
        <f t="shared" si="1"/>
        <v>-141.5428</v>
      </c>
      <c r="F8" s="415">
        <f t="shared" si="2"/>
        <v>-5816.09</v>
      </c>
      <c r="G8" s="411"/>
      <c r="H8" s="428">
        <f>-I7</f>
        <v>3626.93</v>
      </c>
      <c r="I8" s="429"/>
      <c r="J8" s="449">
        <f>_xlfn.NORM.DIST(J5,0,I2,FALSE)</f>
        <v>9.6656860323933856E-6</v>
      </c>
      <c r="K8" s="430"/>
      <c r="L8" s="431">
        <f>H5+L5*1.96</f>
        <v>7421.8298311545141</v>
      </c>
      <c r="M8" s="431">
        <f>H5-L5*1.96</f>
        <v>6145.7701688454863</v>
      </c>
      <c r="N8" s="450">
        <f>_xlfn.NORM.DIST(N5,0,I2,FALSE)</f>
        <v>3.7403249277607129E-5</v>
      </c>
      <c r="O8" s="430"/>
      <c r="P8" s="431">
        <f>H8+1.95*P5</f>
        <v>3986.2423002106129</v>
      </c>
      <c r="Q8" s="432">
        <f>H8-1.95*P5</f>
        <v>3267.6176997893867</v>
      </c>
      <c r="R8" s="411"/>
      <c r="S8" s="411"/>
      <c r="T8" s="411"/>
    </row>
    <row r="9" spans="1:20" ht="15" thickBot="1" x14ac:dyDescent="0.4">
      <c r="A9" s="412">
        <v>-6946.09</v>
      </c>
      <c r="B9" s="413">
        <v>1E-3</v>
      </c>
      <c r="C9" s="413">
        <v>0.99299999999999999</v>
      </c>
      <c r="D9" s="414">
        <f t="shared" si="0"/>
        <v>-694.60899999999992</v>
      </c>
      <c r="E9" s="414">
        <f t="shared" si="1"/>
        <v>-138.92179999999999</v>
      </c>
      <c r="F9" s="415">
        <f t="shared" si="2"/>
        <v>-6510.6990000000005</v>
      </c>
      <c r="G9" s="411"/>
      <c r="H9" s="411"/>
      <c r="I9" s="411"/>
      <c r="J9" s="411"/>
      <c r="K9" s="411"/>
      <c r="L9" s="411"/>
      <c r="M9" s="411"/>
      <c r="N9" s="411"/>
      <c r="O9" s="411"/>
      <c r="P9" s="411"/>
      <c r="Q9" s="411"/>
      <c r="R9" s="411"/>
      <c r="S9" s="411"/>
      <c r="T9" s="411"/>
    </row>
    <row r="10" spans="1:20" ht="43.5" customHeight="1" thickBot="1" x14ac:dyDescent="0.4">
      <c r="A10" s="412">
        <v>-6869.24</v>
      </c>
      <c r="B10" s="413">
        <v>1E-3</v>
      </c>
      <c r="C10" s="413">
        <v>0.99199999999999999</v>
      </c>
      <c r="D10" s="414">
        <f t="shared" si="0"/>
        <v>-686.92399999999998</v>
      </c>
      <c r="E10" s="414">
        <f t="shared" si="1"/>
        <v>-137.38479999999998</v>
      </c>
      <c r="F10" s="415">
        <f t="shared" si="2"/>
        <v>-7197.6230000000005</v>
      </c>
      <c r="G10" s="411"/>
      <c r="H10" s="417" t="s">
        <v>1475</v>
      </c>
      <c r="I10" s="418"/>
      <c r="J10" s="703" t="s">
        <v>1476</v>
      </c>
      <c r="K10" s="704"/>
      <c r="L10" s="704"/>
      <c r="M10" s="704"/>
      <c r="N10" s="705"/>
      <c r="O10" s="411"/>
      <c r="P10" s="411"/>
      <c r="Q10" s="411"/>
      <c r="R10" s="411"/>
      <c r="S10" s="411"/>
      <c r="T10" s="411"/>
    </row>
    <row r="11" spans="1:20" ht="44.25" customHeight="1" thickBot="1" x14ac:dyDescent="0.4">
      <c r="A11" s="412">
        <v>-6823.59</v>
      </c>
      <c r="B11" s="413">
        <v>1E-3</v>
      </c>
      <c r="C11" s="413">
        <v>0.99099999999999999</v>
      </c>
      <c r="D11" s="414">
        <f t="shared" si="0"/>
        <v>-682.35900000000004</v>
      </c>
      <c r="E11" s="414">
        <f t="shared" si="1"/>
        <v>-136.4718</v>
      </c>
      <c r="F11" s="415">
        <f t="shared" si="2"/>
        <v>-7879.9820000000009</v>
      </c>
      <c r="G11" s="411"/>
      <c r="H11" s="421" t="s">
        <v>1468</v>
      </c>
      <c r="I11" s="433">
        <f>NORMSINV(0.99)</f>
        <v>2.3263478740408408</v>
      </c>
      <c r="J11" s="698" t="s">
        <v>1477</v>
      </c>
      <c r="K11" s="699"/>
      <c r="L11" s="423"/>
      <c r="M11" s="434" t="s">
        <v>1478</v>
      </c>
      <c r="N11" s="435">
        <f>COUNTIF(A2:A1001,"&lt;-6,414.67")</f>
        <v>13</v>
      </c>
      <c r="O11" s="411"/>
      <c r="P11" s="436"/>
      <c r="Q11" s="411"/>
      <c r="R11" s="411"/>
      <c r="S11" s="411"/>
      <c r="T11" s="411"/>
    </row>
    <row r="12" spans="1:20" ht="15" thickBot="1" x14ac:dyDescent="0.4">
      <c r="A12" s="412">
        <v>-6783.8</v>
      </c>
      <c r="B12" s="437">
        <v>1E-3</v>
      </c>
      <c r="C12" s="438">
        <v>0.99</v>
      </c>
      <c r="D12" s="439">
        <f t="shared" si="0"/>
        <v>-678.38</v>
      </c>
      <c r="E12" s="439">
        <f t="shared" si="1"/>
        <v>-135.67599999999999</v>
      </c>
      <c r="F12" s="440">
        <f>F11+D12</f>
        <v>-8558.362000000001</v>
      </c>
      <c r="G12" s="413"/>
      <c r="H12" s="425">
        <f>I11*I2*SQRT(1)</f>
        <v>6414.6667030002936</v>
      </c>
      <c r="I12" s="441"/>
      <c r="J12" s="442">
        <f>-2*LN((1-0.01)^(1000-13)*0.01^13)+2*LN((1-(13/1000))^(1000-13)*(13/1000)^13)</f>
        <v>0.83057098192071521</v>
      </c>
      <c r="K12" s="562" t="s">
        <v>1554</v>
      </c>
      <c r="L12" s="696" t="s">
        <v>1490</v>
      </c>
      <c r="M12" s="697"/>
      <c r="N12" s="424"/>
      <c r="O12" s="411"/>
      <c r="P12" s="411"/>
      <c r="Q12" s="411"/>
      <c r="R12" s="411"/>
      <c r="S12" s="411"/>
      <c r="T12" s="411"/>
    </row>
    <row r="13" spans="1:20" ht="15" thickBot="1" x14ac:dyDescent="0.4">
      <c r="A13" s="412">
        <v>-6726.41</v>
      </c>
      <c r="B13" s="413">
        <v>1E-3</v>
      </c>
      <c r="C13" s="413">
        <v>0.98899999999999999</v>
      </c>
      <c r="D13" s="414">
        <f t="shared" si="0"/>
        <v>-672.64099999999996</v>
      </c>
      <c r="E13" s="414">
        <f t="shared" si="1"/>
        <v>-134.52819999999997</v>
      </c>
      <c r="F13" s="415">
        <f t="shared" si="2"/>
        <v>-9231.0030000000006</v>
      </c>
      <c r="G13" s="411"/>
      <c r="H13" s="427"/>
      <c r="I13" s="441"/>
      <c r="J13" s="427"/>
      <c r="K13" s="562" t="s">
        <v>1555</v>
      </c>
      <c r="L13" s="696" t="s">
        <v>1491</v>
      </c>
      <c r="M13" s="697"/>
      <c r="N13" s="424"/>
      <c r="O13" s="411"/>
      <c r="P13" s="411"/>
      <c r="Q13" s="411"/>
      <c r="R13" s="411"/>
      <c r="S13" s="411"/>
      <c r="T13" s="411"/>
    </row>
    <row r="14" spans="1:20" ht="43.5" customHeight="1" thickBot="1" x14ac:dyDescent="0.4">
      <c r="A14" s="412">
        <v>-6523.38</v>
      </c>
      <c r="B14" s="413">
        <v>1E-3</v>
      </c>
      <c r="C14" s="413">
        <v>0.98799999999999999</v>
      </c>
      <c r="D14" s="414">
        <f t="shared" si="0"/>
        <v>-652.33800000000008</v>
      </c>
      <c r="E14" s="414">
        <f t="shared" si="1"/>
        <v>-130.4676</v>
      </c>
      <c r="F14" s="415">
        <f t="shared" si="2"/>
        <v>-9883.3410000000003</v>
      </c>
      <c r="G14" s="411"/>
      <c r="H14" s="421" t="s">
        <v>1472</v>
      </c>
      <c r="I14" s="441">
        <f>NORMSINV(0.95)</f>
        <v>1.6448536269514715</v>
      </c>
      <c r="J14" s="698" t="s">
        <v>1482</v>
      </c>
      <c r="K14" s="699"/>
      <c r="L14" s="423"/>
      <c r="M14" s="434" t="s">
        <v>1478</v>
      </c>
      <c r="N14" s="435">
        <f>COUNTIF(A2:A1001,"&lt;-4,535.52")</f>
        <v>30</v>
      </c>
      <c r="O14" s="411"/>
      <c r="P14" s="411"/>
      <c r="Q14" s="411"/>
      <c r="R14" s="411"/>
      <c r="S14" s="411"/>
      <c r="T14" s="411"/>
    </row>
    <row r="15" spans="1:20" ht="15" thickBot="1" x14ac:dyDescent="0.4">
      <c r="A15" s="412">
        <v>-6196.33</v>
      </c>
      <c r="B15" s="413">
        <v>1E-3</v>
      </c>
      <c r="C15" s="413">
        <v>0.98699999999999999</v>
      </c>
      <c r="D15" s="414">
        <f t="shared" si="0"/>
        <v>-619.63299999999992</v>
      </c>
      <c r="E15" s="414">
        <f t="shared" si="1"/>
        <v>-123.92659999999999</v>
      </c>
      <c r="F15" s="415">
        <f t="shared" si="2"/>
        <v>-10502.974</v>
      </c>
      <c r="G15" s="411"/>
      <c r="H15" s="425">
        <f>I14*1*I2</f>
        <v>4535.515908799819</v>
      </c>
      <c r="I15" s="424"/>
      <c r="J15" s="442">
        <f>-2*LN((1-0.05)^(1000-30)*0.05^30)+2*LN((1-(30/1000))^(1000-30)*(30/1000)^30)</f>
        <v>9.7685911655539712</v>
      </c>
      <c r="K15" s="411" t="s">
        <v>1479</v>
      </c>
      <c r="L15" s="696" t="s">
        <v>1480</v>
      </c>
      <c r="M15" s="697"/>
      <c r="N15" s="424"/>
      <c r="O15" s="411"/>
      <c r="P15" s="411"/>
      <c r="Q15" s="411"/>
      <c r="R15" s="411"/>
      <c r="S15" s="411"/>
      <c r="T15" s="411"/>
    </row>
    <row r="16" spans="1:20" ht="15" thickBot="1" x14ac:dyDescent="0.4">
      <c r="A16" s="412">
        <v>-6169.76</v>
      </c>
      <c r="B16" s="413">
        <v>1E-3</v>
      </c>
      <c r="C16" s="413">
        <v>0.98599999999999999</v>
      </c>
      <c r="D16" s="414">
        <f t="shared" si="0"/>
        <v>-616.976</v>
      </c>
      <c r="E16" s="414">
        <f t="shared" si="1"/>
        <v>-123.3952</v>
      </c>
      <c r="F16" s="415">
        <f t="shared" si="2"/>
        <v>-11119.95</v>
      </c>
      <c r="G16" s="411"/>
      <c r="H16" s="427"/>
      <c r="I16" s="424"/>
      <c r="J16" s="451"/>
      <c r="K16" s="452" t="s">
        <v>1481</v>
      </c>
      <c r="L16" s="700" t="s">
        <v>1489</v>
      </c>
      <c r="M16" s="701"/>
      <c r="N16" s="453"/>
      <c r="O16" s="411"/>
      <c r="P16" s="411"/>
      <c r="Q16" s="411"/>
      <c r="R16" s="411"/>
      <c r="S16" s="411"/>
      <c r="T16" s="411"/>
    </row>
    <row r="17" spans="1:20" ht="15" thickBot="1" x14ac:dyDescent="0.4">
      <c r="A17" s="412">
        <v>-6000.6</v>
      </c>
      <c r="B17" s="413">
        <v>1E-3</v>
      </c>
      <c r="C17" s="413">
        <v>0.98499999999999999</v>
      </c>
      <c r="D17" s="414">
        <f t="shared" si="0"/>
        <v>-600.06000000000006</v>
      </c>
      <c r="E17" s="414">
        <f t="shared" si="1"/>
        <v>-120.012</v>
      </c>
      <c r="F17" s="415">
        <f t="shared" si="2"/>
        <v>-11720.01</v>
      </c>
      <c r="G17" s="411"/>
      <c r="H17" s="421" t="s">
        <v>1483</v>
      </c>
      <c r="I17" s="441">
        <f>I11</f>
        <v>2.3263478740408408</v>
      </c>
      <c r="J17" s="411"/>
      <c r="K17" s="411"/>
      <c r="L17" s="411"/>
      <c r="M17" s="411"/>
      <c r="N17" s="411"/>
      <c r="O17" s="411"/>
      <c r="P17" s="411"/>
      <c r="Q17" s="411"/>
      <c r="R17" s="411"/>
      <c r="S17" s="411"/>
      <c r="T17" s="411"/>
    </row>
    <row r="18" spans="1:20" ht="15" thickBot="1" x14ac:dyDescent="0.4">
      <c r="A18" s="412">
        <v>-5816.33</v>
      </c>
      <c r="B18" s="413">
        <v>1E-3</v>
      </c>
      <c r="C18" s="413">
        <v>0.98399999999999999</v>
      </c>
      <c r="D18" s="414">
        <f t="shared" si="0"/>
        <v>-581.63299999999992</v>
      </c>
      <c r="E18" s="414">
        <f t="shared" si="1"/>
        <v>-116.32659999999998</v>
      </c>
      <c r="F18" s="415">
        <f t="shared" si="2"/>
        <v>-12301.643</v>
      </c>
      <c r="G18" s="411"/>
      <c r="H18" s="425">
        <f>I17*SQRT(7)*I2</f>
        <v>16971.612839505404</v>
      </c>
      <c r="I18" s="424"/>
      <c r="J18" s="436"/>
      <c r="K18" s="411"/>
      <c r="L18" s="411"/>
      <c r="M18" s="411"/>
      <c r="N18" s="411"/>
      <c r="O18" s="411"/>
      <c r="P18" s="411"/>
      <c r="Q18" s="411"/>
      <c r="R18" s="411"/>
      <c r="S18" s="411"/>
      <c r="T18" s="411"/>
    </row>
    <row r="19" spans="1:20" ht="15" thickBot="1" x14ac:dyDescent="0.4">
      <c r="A19" s="412">
        <v>-5635.13</v>
      </c>
      <c r="B19" s="413">
        <v>1E-3</v>
      </c>
      <c r="C19" s="413">
        <v>0.98299999999999998</v>
      </c>
      <c r="D19" s="414">
        <f t="shared" si="0"/>
        <v>-563.51300000000003</v>
      </c>
      <c r="E19" s="414">
        <f t="shared" si="1"/>
        <v>-112.7026</v>
      </c>
      <c r="F19" s="415">
        <f t="shared" si="2"/>
        <v>-12865.156000000001</v>
      </c>
      <c r="G19" s="411"/>
      <c r="H19" s="427"/>
      <c r="I19" s="424"/>
      <c r="J19" s="411"/>
      <c r="K19" s="411"/>
      <c r="L19" s="411"/>
      <c r="M19" s="411"/>
      <c r="N19" s="411"/>
      <c r="O19" s="411"/>
      <c r="P19" s="411"/>
      <c r="Q19" s="411"/>
      <c r="R19" s="411"/>
      <c r="S19" s="411"/>
      <c r="T19" s="411"/>
    </row>
    <row r="20" spans="1:20" ht="15" thickBot="1" x14ac:dyDescent="0.4">
      <c r="A20" s="412">
        <v>-5435.45</v>
      </c>
      <c r="B20" s="413">
        <v>1E-3</v>
      </c>
      <c r="C20" s="413">
        <v>0.98199999999999998</v>
      </c>
      <c r="D20" s="414">
        <f t="shared" si="0"/>
        <v>-543.54500000000007</v>
      </c>
      <c r="E20" s="414">
        <f t="shared" si="1"/>
        <v>-108.709</v>
      </c>
      <c r="F20" s="415">
        <f t="shared" si="2"/>
        <v>-13408.701000000001</v>
      </c>
      <c r="G20" s="411"/>
      <c r="H20" s="421" t="s">
        <v>1484</v>
      </c>
      <c r="I20" s="441">
        <f>I14</f>
        <v>1.6448536269514715</v>
      </c>
      <c r="J20" s="411"/>
      <c r="K20" s="411"/>
      <c r="L20" s="411"/>
      <c r="M20" s="411"/>
      <c r="N20" s="411"/>
      <c r="O20" s="411"/>
      <c r="P20" s="411"/>
      <c r="Q20" s="411"/>
      <c r="R20" s="411"/>
      <c r="S20" s="411"/>
      <c r="T20" s="411"/>
    </row>
    <row r="21" spans="1:20" ht="15" thickBot="1" x14ac:dyDescent="0.4">
      <c r="A21" s="412">
        <v>-5331.64</v>
      </c>
      <c r="B21" s="413">
        <v>1E-3</v>
      </c>
      <c r="C21" s="413">
        <v>0.98099999999999998</v>
      </c>
      <c r="D21" s="414">
        <f t="shared" si="0"/>
        <v>-533.16399999999999</v>
      </c>
      <c r="E21" s="414">
        <f t="shared" si="1"/>
        <v>-106.6328</v>
      </c>
      <c r="F21" s="415">
        <f t="shared" si="2"/>
        <v>-13941.865000000002</v>
      </c>
      <c r="G21" s="411"/>
      <c r="H21" s="443">
        <f>I20*SQRT(7)*I2</f>
        <v>11999.847162061429</v>
      </c>
      <c r="I21" s="444"/>
      <c r="J21" s="411"/>
      <c r="K21" s="411"/>
      <c r="L21" s="411"/>
      <c r="M21" s="411"/>
      <c r="N21" s="411"/>
      <c r="O21" s="411"/>
      <c r="P21" s="411"/>
      <c r="Q21" s="411"/>
      <c r="R21" s="411"/>
      <c r="S21" s="411"/>
      <c r="T21" s="411"/>
    </row>
    <row r="22" spans="1:20" ht="15" thickBot="1" x14ac:dyDescent="0.4">
      <c r="A22" s="412">
        <v>-5150.34</v>
      </c>
      <c r="B22" s="413">
        <v>1E-3</v>
      </c>
      <c r="C22" s="414">
        <v>0.98</v>
      </c>
      <c r="D22" s="414">
        <f t="shared" si="0"/>
        <v>-515.03399999999999</v>
      </c>
      <c r="E22" s="414">
        <f t="shared" si="1"/>
        <v>-103.0068</v>
      </c>
      <c r="F22" s="415">
        <f t="shared" si="2"/>
        <v>-14456.899000000001</v>
      </c>
      <c r="G22" s="411"/>
      <c r="H22" s="411"/>
      <c r="I22" s="411"/>
      <c r="J22" s="411"/>
      <c r="K22" s="411"/>
      <c r="L22" s="411"/>
      <c r="M22" s="411"/>
      <c r="N22" s="411"/>
      <c r="O22" s="411"/>
      <c r="P22" s="411"/>
      <c r="Q22" s="411"/>
      <c r="R22" s="411"/>
      <c r="S22" s="411"/>
      <c r="T22" s="411"/>
    </row>
    <row r="23" spans="1:20" ht="15" thickBot="1" x14ac:dyDescent="0.4">
      <c r="A23" s="412">
        <v>-5049.8999999999996</v>
      </c>
      <c r="B23" s="413">
        <v>1E-3</v>
      </c>
      <c r="C23" s="413">
        <v>0.97899999999999998</v>
      </c>
      <c r="D23" s="414">
        <f t="shared" si="0"/>
        <v>-504.99</v>
      </c>
      <c r="E23" s="414">
        <f t="shared" si="1"/>
        <v>-100.99799999999999</v>
      </c>
      <c r="F23" s="415">
        <f t="shared" si="2"/>
        <v>-14961.889000000001</v>
      </c>
      <c r="G23" s="411"/>
      <c r="H23" s="417" t="s">
        <v>1485</v>
      </c>
      <c r="I23" s="418"/>
      <c r="J23" s="411"/>
      <c r="K23" s="411"/>
      <c r="L23" s="411"/>
      <c r="M23" s="411"/>
      <c r="N23" s="411"/>
      <c r="O23" s="411"/>
      <c r="P23" s="411"/>
      <c r="Q23" s="411"/>
      <c r="R23" s="411"/>
      <c r="S23" s="411"/>
      <c r="T23" s="411"/>
    </row>
    <row r="24" spans="1:20" ht="15" thickBot="1" x14ac:dyDescent="0.4">
      <c r="A24" s="412">
        <v>-5047.07</v>
      </c>
      <c r="B24" s="413">
        <v>1E-3</v>
      </c>
      <c r="C24" s="413">
        <v>0.97799999999999998</v>
      </c>
      <c r="D24" s="414">
        <f t="shared" si="0"/>
        <v>-504.70699999999994</v>
      </c>
      <c r="E24" s="414">
        <f t="shared" si="1"/>
        <v>-100.94139999999999</v>
      </c>
      <c r="F24" s="415">
        <f t="shared" si="2"/>
        <v>-15466.596000000001</v>
      </c>
      <c r="G24" s="411"/>
      <c r="H24" s="421" t="s">
        <v>1486</v>
      </c>
      <c r="I24" s="422"/>
      <c r="J24" s="411"/>
      <c r="K24" s="411"/>
      <c r="L24" s="411"/>
      <c r="M24" s="411"/>
      <c r="N24" s="411"/>
      <c r="O24" s="411"/>
      <c r="P24" s="411"/>
      <c r="Q24" s="411"/>
      <c r="R24" s="411"/>
      <c r="S24" s="411"/>
      <c r="T24" s="411"/>
    </row>
    <row r="25" spans="1:20" ht="15" thickBot="1" x14ac:dyDescent="0.4">
      <c r="A25" s="412">
        <v>-5034.91</v>
      </c>
      <c r="B25" s="413">
        <v>1E-3</v>
      </c>
      <c r="C25" s="413">
        <v>0.97699999999999998</v>
      </c>
      <c r="D25" s="414">
        <f t="shared" si="0"/>
        <v>-503.49099999999999</v>
      </c>
      <c r="E25" s="414">
        <f t="shared" si="1"/>
        <v>-100.6982</v>
      </c>
      <c r="F25" s="415">
        <f t="shared" si="2"/>
        <v>-15970.087000000001</v>
      </c>
      <c r="G25" s="411"/>
      <c r="H25" s="425">
        <f>SUM(D2:D12)</f>
        <v>-8558.362000000001</v>
      </c>
      <c r="I25" s="424"/>
      <c r="J25" s="411"/>
      <c r="K25" s="411"/>
      <c r="L25" s="411"/>
      <c r="M25" s="411"/>
      <c r="N25" s="411"/>
      <c r="O25" s="411"/>
      <c r="P25" s="411"/>
      <c r="Q25" s="411"/>
      <c r="R25" s="411"/>
      <c r="S25" s="411"/>
      <c r="T25" s="411"/>
    </row>
    <row r="26" spans="1:20" ht="15" thickBot="1" x14ac:dyDescent="0.4">
      <c r="A26" s="412">
        <v>-4917.6499999999996</v>
      </c>
      <c r="B26" s="413">
        <v>1E-3</v>
      </c>
      <c r="C26" s="413">
        <v>0.97599999999999998</v>
      </c>
      <c r="D26" s="414">
        <f t="shared" si="0"/>
        <v>-491.76499999999999</v>
      </c>
      <c r="E26" s="414">
        <f t="shared" si="1"/>
        <v>-98.352999999999994</v>
      </c>
      <c r="F26" s="415">
        <f t="shared" si="2"/>
        <v>-16461.852000000003</v>
      </c>
      <c r="G26" s="411"/>
      <c r="H26" s="427"/>
      <c r="I26" s="424"/>
      <c r="J26" s="411"/>
      <c r="K26" s="411"/>
      <c r="L26" s="411"/>
      <c r="M26" s="411"/>
      <c r="N26" s="411"/>
      <c r="O26" s="411"/>
      <c r="P26" s="411"/>
      <c r="Q26" s="411"/>
      <c r="R26" s="411"/>
      <c r="S26" s="411"/>
      <c r="T26" s="411"/>
    </row>
    <row r="27" spans="1:20" ht="15" thickBot="1" x14ac:dyDescent="0.4">
      <c r="A27" s="412">
        <v>-4905.78</v>
      </c>
      <c r="B27" s="413">
        <v>1E-3</v>
      </c>
      <c r="C27" s="413">
        <v>0.97499999999999998</v>
      </c>
      <c r="D27" s="414">
        <f t="shared" si="0"/>
        <v>-490.57799999999997</v>
      </c>
      <c r="E27" s="414">
        <f t="shared" si="1"/>
        <v>-98.115600000000001</v>
      </c>
      <c r="F27" s="415">
        <f t="shared" si="2"/>
        <v>-16952.430000000004</v>
      </c>
      <c r="G27" s="411"/>
      <c r="H27" s="421" t="s">
        <v>1487</v>
      </c>
      <c r="I27" s="422"/>
      <c r="J27" s="411"/>
      <c r="K27" s="411"/>
      <c r="L27" s="411"/>
      <c r="M27" s="411"/>
      <c r="N27" s="411"/>
      <c r="O27" s="411"/>
      <c r="P27" s="411"/>
      <c r="Q27" s="411"/>
      <c r="R27" s="411"/>
      <c r="S27" s="411"/>
      <c r="T27" s="411"/>
    </row>
    <row r="28" spans="1:20" ht="15" thickBot="1" x14ac:dyDescent="0.4">
      <c r="A28" s="412">
        <v>-4902.41</v>
      </c>
      <c r="B28" s="413">
        <v>1E-3</v>
      </c>
      <c r="C28" s="413">
        <v>0.97399999999999998</v>
      </c>
      <c r="D28" s="414">
        <f t="shared" si="0"/>
        <v>-490.24099999999999</v>
      </c>
      <c r="E28" s="414">
        <f t="shared" si="1"/>
        <v>-98.048199999999994</v>
      </c>
      <c r="F28" s="415">
        <f t="shared" si="2"/>
        <v>-17442.671000000002</v>
      </c>
      <c r="G28" s="411"/>
      <c r="H28" s="443">
        <f>SUM(E2:E52)</f>
        <v>-5487.0441999999994</v>
      </c>
      <c r="I28" s="444"/>
      <c r="J28" s="411"/>
      <c r="K28" s="411"/>
      <c r="L28" s="411"/>
      <c r="M28" s="411"/>
      <c r="N28" s="411"/>
      <c r="O28" s="411"/>
      <c r="P28" s="411"/>
      <c r="Q28" s="411"/>
      <c r="R28" s="411"/>
      <c r="S28" s="411"/>
      <c r="T28" s="411"/>
    </row>
    <row r="29" spans="1:20" ht="15" thickBot="1" x14ac:dyDescent="0.4">
      <c r="A29" s="412">
        <v>-4870.58</v>
      </c>
      <c r="B29" s="413">
        <v>1E-3</v>
      </c>
      <c r="C29" s="413">
        <v>0.97299999999999998</v>
      </c>
      <c r="D29" s="414">
        <f t="shared" si="0"/>
        <v>-487.05800000000005</v>
      </c>
      <c r="E29" s="414">
        <f t="shared" si="1"/>
        <v>-97.411600000000007</v>
      </c>
      <c r="F29" s="415">
        <f t="shared" si="2"/>
        <v>-17929.729000000003</v>
      </c>
      <c r="G29" s="411"/>
      <c r="H29" s="411"/>
      <c r="I29" s="411"/>
      <c r="J29" s="411"/>
      <c r="K29" s="411"/>
      <c r="L29" s="411"/>
      <c r="M29" s="411"/>
      <c r="N29" s="411"/>
      <c r="O29" s="411"/>
      <c r="P29" s="411"/>
      <c r="Q29" s="411"/>
      <c r="R29" s="411"/>
      <c r="S29" s="411"/>
      <c r="T29" s="411"/>
    </row>
    <row r="30" spans="1:20" ht="15" thickBot="1" x14ac:dyDescent="0.4">
      <c r="A30" s="412">
        <v>-4674.03</v>
      </c>
      <c r="B30" s="413">
        <v>1E-3</v>
      </c>
      <c r="C30" s="413">
        <v>0.97199999999999998</v>
      </c>
      <c r="D30" s="414">
        <f t="shared" si="0"/>
        <v>-467.40300000000002</v>
      </c>
      <c r="E30" s="414">
        <f t="shared" si="1"/>
        <v>-93.480599999999995</v>
      </c>
      <c r="F30" s="415">
        <f t="shared" si="2"/>
        <v>-18397.132000000001</v>
      </c>
      <c r="G30" s="411"/>
      <c r="H30" s="411"/>
      <c r="I30" s="411"/>
      <c r="J30" s="411"/>
      <c r="K30" s="411"/>
      <c r="L30" s="411"/>
      <c r="M30" s="411"/>
      <c r="N30" s="411"/>
      <c r="O30" s="411"/>
      <c r="P30" s="411"/>
      <c r="Q30" s="411"/>
      <c r="R30" s="411"/>
      <c r="S30" s="411"/>
      <c r="T30" s="411"/>
    </row>
    <row r="31" spans="1:20" ht="15" thickBot="1" x14ac:dyDescent="0.4">
      <c r="A31" s="412">
        <v>-4637.51</v>
      </c>
      <c r="B31" s="413">
        <v>1E-3</v>
      </c>
      <c r="C31" s="445">
        <v>0.97099999999999997</v>
      </c>
      <c r="D31" s="414">
        <f t="shared" si="0"/>
        <v>-463.75100000000003</v>
      </c>
      <c r="E31" s="414">
        <f t="shared" si="1"/>
        <v>-92.750200000000007</v>
      </c>
      <c r="F31" s="415">
        <f t="shared" si="2"/>
        <v>-18860.883000000002</v>
      </c>
      <c r="G31" s="411"/>
      <c r="H31" s="411"/>
      <c r="I31" s="411"/>
      <c r="J31" s="411"/>
      <c r="K31" s="411"/>
      <c r="L31" s="411"/>
      <c r="M31" s="411"/>
      <c r="N31" s="411"/>
      <c r="O31" s="411"/>
      <c r="P31" s="411"/>
      <c r="Q31" s="411"/>
      <c r="R31" s="411"/>
      <c r="S31" s="411"/>
      <c r="T31" s="411"/>
    </row>
    <row r="32" spans="1:20" ht="15" thickBot="1" x14ac:dyDescent="0.4">
      <c r="A32" s="412">
        <v>-4502.62</v>
      </c>
      <c r="B32" s="413">
        <v>1E-3</v>
      </c>
      <c r="C32" s="413">
        <v>0.97</v>
      </c>
      <c r="D32" s="414">
        <f t="shared" si="0"/>
        <v>-450.262</v>
      </c>
      <c r="E32" s="414">
        <f t="shared" si="1"/>
        <v>-90.052400000000006</v>
      </c>
      <c r="F32" s="415">
        <f t="shared" si="2"/>
        <v>-19311.145</v>
      </c>
      <c r="G32" s="411"/>
      <c r="H32" s="411"/>
      <c r="I32" s="411"/>
      <c r="J32" s="411"/>
      <c r="K32" s="411"/>
      <c r="L32" s="411"/>
      <c r="M32" s="411"/>
      <c r="N32" s="411"/>
      <c r="O32" s="411"/>
      <c r="P32" s="411"/>
      <c r="Q32" s="411"/>
      <c r="R32" s="411"/>
      <c r="S32" s="411"/>
      <c r="T32" s="411"/>
    </row>
    <row r="33" spans="1:20" ht="15" thickBot="1" x14ac:dyDescent="0.4">
      <c r="A33" s="412">
        <v>-4484.2700000000004</v>
      </c>
      <c r="B33" s="413">
        <v>1E-3</v>
      </c>
      <c r="C33" s="413">
        <v>0.96899999999999997</v>
      </c>
      <c r="D33" s="414">
        <f t="shared" si="0"/>
        <v>-448.42700000000002</v>
      </c>
      <c r="E33" s="414">
        <f t="shared" si="1"/>
        <v>-89.685400000000001</v>
      </c>
      <c r="F33" s="415">
        <f t="shared" si="2"/>
        <v>-19759.572</v>
      </c>
      <c r="G33" s="411"/>
      <c r="H33" s="411"/>
      <c r="I33" s="411"/>
      <c r="J33" s="411"/>
      <c r="K33" s="411"/>
      <c r="L33" s="411"/>
      <c r="M33" s="411"/>
      <c r="N33" s="411"/>
      <c r="O33" s="411"/>
      <c r="P33" s="411"/>
      <c r="Q33" s="411"/>
      <c r="R33" s="411"/>
      <c r="S33" s="411"/>
      <c r="T33" s="411"/>
    </row>
    <row r="34" spans="1:20" ht="15" thickBot="1" x14ac:dyDescent="0.4">
      <c r="A34" s="412">
        <v>-4430.47</v>
      </c>
      <c r="B34" s="413">
        <v>1E-3</v>
      </c>
      <c r="C34" s="413">
        <v>0.96799999999999997</v>
      </c>
      <c r="D34" s="414">
        <f t="shared" si="0"/>
        <v>-443.04700000000003</v>
      </c>
      <c r="E34" s="414">
        <f t="shared" si="1"/>
        <v>-88.609400000000008</v>
      </c>
      <c r="F34" s="415">
        <f t="shared" si="2"/>
        <v>-20202.618999999999</v>
      </c>
      <c r="G34" s="411"/>
      <c r="H34" s="411"/>
      <c r="I34" s="411"/>
      <c r="J34" s="411"/>
      <c r="K34" s="411"/>
      <c r="L34" s="411"/>
      <c r="M34" s="411"/>
      <c r="N34" s="411"/>
      <c r="O34" s="411"/>
      <c r="P34" s="411"/>
      <c r="Q34" s="411"/>
      <c r="R34" s="411"/>
      <c r="S34" s="411"/>
      <c r="T34" s="411"/>
    </row>
    <row r="35" spans="1:20" ht="15" thickBot="1" x14ac:dyDescent="0.4">
      <c r="A35" s="412">
        <v>-4426.53</v>
      </c>
      <c r="B35" s="413">
        <v>1E-3</v>
      </c>
      <c r="C35" s="413">
        <v>0.96699999999999997</v>
      </c>
      <c r="D35" s="414">
        <f t="shared" si="0"/>
        <v>-442.65299999999996</v>
      </c>
      <c r="E35" s="414">
        <f t="shared" si="1"/>
        <v>-88.530599999999993</v>
      </c>
      <c r="F35" s="415">
        <f t="shared" si="2"/>
        <v>-20645.271999999997</v>
      </c>
      <c r="G35" s="411"/>
      <c r="H35" s="411"/>
      <c r="I35" s="411"/>
      <c r="J35" s="411"/>
      <c r="K35" s="411"/>
      <c r="L35" s="411"/>
      <c r="M35" s="411"/>
      <c r="N35" s="411"/>
      <c r="O35" s="411"/>
      <c r="P35" s="411"/>
      <c r="Q35" s="411"/>
      <c r="R35" s="411"/>
      <c r="S35" s="411"/>
      <c r="T35" s="411"/>
    </row>
    <row r="36" spans="1:20" ht="15" thickBot="1" x14ac:dyDescent="0.4">
      <c r="A36" s="412">
        <v>-4355.3</v>
      </c>
      <c r="B36" s="413">
        <v>1E-3</v>
      </c>
      <c r="C36" s="413">
        <v>0.96599999999999997</v>
      </c>
      <c r="D36" s="414">
        <f t="shared" si="0"/>
        <v>-435.53000000000003</v>
      </c>
      <c r="E36" s="414">
        <f t="shared" si="1"/>
        <v>-87.106000000000009</v>
      </c>
      <c r="F36" s="415">
        <f t="shared" si="2"/>
        <v>-21080.801999999996</v>
      </c>
      <c r="G36" s="411"/>
      <c r="H36" s="411"/>
      <c r="I36" s="411"/>
      <c r="J36" s="411"/>
      <c r="K36" s="411"/>
      <c r="L36" s="411"/>
      <c r="M36" s="411"/>
      <c r="N36" s="411"/>
      <c r="O36" s="411"/>
      <c r="P36" s="411"/>
      <c r="Q36" s="411"/>
      <c r="R36" s="411"/>
      <c r="S36" s="411"/>
      <c r="T36" s="411"/>
    </row>
    <row r="37" spans="1:20" ht="15" thickBot="1" x14ac:dyDescent="0.4">
      <c r="A37" s="412">
        <v>-4314.07</v>
      </c>
      <c r="B37" s="413">
        <v>1E-3</v>
      </c>
      <c r="C37" s="413">
        <v>0.96499999999999997</v>
      </c>
      <c r="D37" s="414">
        <f t="shared" si="0"/>
        <v>-431.40699999999998</v>
      </c>
      <c r="E37" s="414">
        <f t="shared" si="1"/>
        <v>-86.281399999999991</v>
      </c>
      <c r="F37" s="415">
        <f t="shared" si="2"/>
        <v>-21512.208999999995</v>
      </c>
      <c r="G37" s="411"/>
      <c r="H37" s="411"/>
      <c r="I37" s="411"/>
      <c r="J37" s="411"/>
      <c r="K37" s="411"/>
      <c r="L37" s="411"/>
      <c r="M37" s="411"/>
      <c r="N37" s="411"/>
      <c r="O37" s="411"/>
      <c r="P37" s="411"/>
      <c r="Q37" s="411"/>
      <c r="R37" s="411"/>
      <c r="S37" s="411"/>
      <c r="T37" s="411"/>
    </row>
    <row r="38" spans="1:20" ht="15" thickBot="1" x14ac:dyDescent="0.4">
      <c r="A38" s="412">
        <v>-4282.63</v>
      </c>
      <c r="B38" s="413">
        <v>1E-3</v>
      </c>
      <c r="C38" s="413">
        <v>0.96399999999999997</v>
      </c>
      <c r="D38" s="414">
        <f t="shared" si="0"/>
        <v>-428.26300000000003</v>
      </c>
      <c r="E38" s="414">
        <f t="shared" si="1"/>
        <v>-85.652599999999993</v>
      </c>
      <c r="F38" s="415">
        <f t="shared" si="2"/>
        <v>-21940.471999999994</v>
      </c>
      <c r="G38" s="411"/>
      <c r="H38" s="411"/>
      <c r="I38" s="411"/>
      <c r="J38" s="411"/>
      <c r="K38" s="411"/>
      <c r="L38" s="411"/>
      <c r="M38" s="411"/>
      <c r="N38" s="411"/>
      <c r="O38" s="411"/>
      <c r="P38" s="411"/>
      <c r="Q38" s="411"/>
      <c r="R38" s="411"/>
      <c r="S38" s="411"/>
      <c r="T38" s="411"/>
    </row>
    <row r="39" spans="1:20" ht="15" thickBot="1" x14ac:dyDescent="0.4">
      <c r="A39" s="412">
        <v>-4190.37</v>
      </c>
      <c r="B39" s="413">
        <v>1E-3</v>
      </c>
      <c r="C39" s="413">
        <v>0.96299999999999997</v>
      </c>
      <c r="D39" s="414">
        <f t="shared" si="0"/>
        <v>-419.03699999999998</v>
      </c>
      <c r="E39" s="414">
        <f t="shared" si="1"/>
        <v>-83.807399999999987</v>
      </c>
      <c r="F39" s="415">
        <f t="shared" si="2"/>
        <v>-22359.508999999995</v>
      </c>
      <c r="G39" s="411"/>
      <c r="H39" s="411"/>
      <c r="I39" s="411"/>
      <c r="J39" s="411"/>
      <c r="K39" s="411"/>
      <c r="L39" s="411"/>
      <c r="M39" s="411"/>
      <c r="N39" s="411"/>
      <c r="O39" s="411"/>
      <c r="P39" s="411"/>
      <c r="Q39" s="411"/>
      <c r="R39" s="411"/>
      <c r="S39" s="411"/>
      <c r="T39" s="411"/>
    </row>
    <row r="40" spans="1:20" ht="15" thickBot="1" x14ac:dyDescent="0.4">
      <c r="A40" s="412">
        <v>-4150.5200000000004</v>
      </c>
      <c r="B40" s="413">
        <v>1E-3</v>
      </c>
      <c r="C40" s="413">
        <v>0.96199999999999997</v>
      </c>
      <c r="D40" s="414">
        <f t="shared" si="0"/>
        <v>-415.05200000000002</v>
      </c>
      <c r="E40" s="414">
        <f t="shared" si="1"/>
        <v>-83.010400000000004</v>
      </c>
      <c r="F40" s="415">
        <f t="shared" si="2"/>
        <v>-22774.560999999994</v>
      </c>
      <c r="G40" s="411"/>
      <c r="H40" s="411"/>
      <c r="I40" s="411"/>
      <c r="J40" s="411"/>
      <c r="K40" s="411"/>
      <c r="L40" s="411"/>
      <c r="M40" s="411"/>
      <c r="N40" s="411"/>
      <c r="O40" s="411"/>
      <c r="P40" s="411"/>
      <c r="Q40" s="411"/>
      <c r="R40" s="411"/>
      <c r="S40" s="411"/>
      <c r="T40" s="411"/>
    </row>
    <row r="41" spans="1:20" ht="15" thickBot="1" x14ac:dyDescent="0.4">
      <c r="A41" s="412">
        <v>-4116.1499999999996</v>
      </c>
      <c r="B41" s="413">
        <v>1E-3</v>
      </c>
      <c r="C41" s="413">
        <v>0.96099999999999997</v>
      </c>
      <c r="D41" s="414">
        <f t="shared" si="0"/>
        <v>-411.6149999999999</v>
      </c>
      <c r="E41" s="414">
        <f t="shared" si="1"/>
        <v>-82.322999999999979</v>
      </c>
      <c r="F41" s="415">
        <f t="shared" si="2"/>
        <v>-23186.175999999996</v>
      </c>
      <c r="G41" s="411"/>
      <c r="H41" s="411"/>
      <c r="I41" s="411"/>
      <c r="J41" s="411"/>
      <c r="K41" s="411"/>
      <c r="L41" s="411"/>
      <c r="M41" s="411"/>
      <c r="N41" s="411"/>
      <c r="O41" s="411"/>
      <c r="P41" s="411"/>
      <c r="Q41" s="411"/>
      <c r="R41" s="411"/>
      <c r="S41" s="411"/>
      <c r="T41" s="411"/>
    </row>
    <row r="42" spans="1:20" ht="15" thickBot="1" x14ac:dyDescent="0.4">
      <c r="A42" s="412">
        <v>-4095.8</v>
      </c>
      <c r="B42" s="413">
        <v>1E-3</v>
      </c>
      <c r="C42" s="413">
        <v>0.96</v>
      </c>
      <c r="D42" s="414">
        <f t="shared" si="0"/>
        <v>-409.58000000000004</v>
      </c>
      <c r="E42" s="414">
        <f t="shared" si="1"/>
        <v>-81.916000000000011</v>
      </c>
      <c r="F42" s="415">
        <f t="shared" si="2"/>
        <v>-23595.755999999998</v>
      </c>
      <c r="G42" s="411"/>
      <c r="H42" s="411"/>
      <c r="I42" s="411"/>
      <c r="J42" s="411"/>
      <c r="K42" s="411"/>
      <c r="L42" s="411"/>
      <c r="M42" s="411"/>
      <c r="N42" s="411"/>
      <c r="O42" s="411"/>
      <c r="P42" s="411"/>
      <c r="Q42" s="411"/>
      <c r="R42" s="411"/>
      <c r="S42" s="411"/>
      <c r="T42" s="411"/>
    </row>
    <row r="43" spans="1:20" ht="15" thickBot="1" x14ac:dyDescent="0.4">
      <c r="A43" s="412">
        <v>-4094.43</v>
      </c>
      <c r="B43" s="413">
        <v>1E-3</v>
      </c>
      <c r="C43" s="413">
        <v>0.95899999999999996</v>
      </c>
      <c r="D43" s="414">
        <f t="shared" si="0"/>
        <v>-409.44299999999998</v>
      </c>
      <c r="E43" s="414">
        <f t="shared" si="1"/>
        <v>-81.888599999999997</v>
      </c>
      <c r="F43" s="415">
        <f t="shared" si="2"/>
        <v>-24005.198999999997</v>
      </c>
      <c r="G43" s="411"/>
      <c r="H43" s="411"/>
      <c r="I43" s="411"/>
      <c r="J43" s="411"/>
      <c r="K43" s="411"/>
      <c r="L43" s="411"/>
      <c r="M43" s="411"/>
      <c r="N43" s="411"/>
      <c r="O43" s="411"/>
      <c r="P43" s="411"/>
      <c r="Q43" s="411"/>
      <c r="R43" s="411"/>
      <c r="S43" s="411"/>
      <c r="T43" s="411"/>
    </row>
    <row r="44" spans="1:20" ht="15" thickBot="1" x14ac:dyDescent="0.4">
      <c r="A44" s="412">
        <v>-4011.02</v>
      </c>
      <c r="B44" s="413">
        <v>1E-3</v>
      </c>
      <c r="C44" s="413">
        <v>0.95799999999999996</v>
      </c>
      <c r="D44" s="414">
        <f t="shared" si="0"/>
        <v>-401.10200000000003</v>
      </c>
      <c r="E44" s="414">
        <f t="shared" si="1"/>
        <v>-80.220399999999998</v>
      </c>
      <c r="F44" s="415">
        <f t="shared" si="2"/>
        <v>-24406.300999999996</v>
      </c>
      <c r="G44" s="411"/>
      <c r="H44" s="411"/>
      <c r="I44" s="411"/>
      <c r="J44" s="411"/>
      <c r="K44" s="411"/>
      <c r="L44" s="411"/>
      <c r="M44" s="411"/>
      <c r="N44" s="411"/>
      <c r="O44" s="411"/>
      <c r="P44" s="411"/>
      <c r="Q44" s="411"/>
      <c r="R44" s="411"/>
      <c r="S44" s="411"/>
      <c r="T44" s="411"/>
    </row>
    <row r="45" spans="1:20" ht="15" thickBot="1" x14ac:dyDescent="0.4">
      <c r="A45" s="412">
        <v>-3991.08</v>
      </c>
      <c r="B45" s="413">
        <v>1E-3</v>
      </c>
      <c r="C45" s="413">
        <v>0.95699999999999996</v>
      </c>
      <c r="D45" s="414">
        <f t="shared" si="0"/>
        <v>-399.108</v>
      </c>
      <c r="E45" s="414">
        <f t="shared" si="1"/>
        <v>-79.821600000000004</v>
      </c>
      <c r="F45" s="415">
        <f t="shared" si="2"/>
        <v>-24805.408999999996</v>
      </c>
      <c r="G45" s="411"/>
      <c r="H45" s="411"/>
      <c r="I45" s="411"/>
      <c r="J45" s="411"/>
      <c r="K45" s="411"/>
      <c r="L45" s="411"/>
      <c r="M45" s="411"/>
      <c r="N45" s="411"/>
      <c r="O45" s="411"/>
      <c r="P45" s="411"/>
      <c r="Q45" s="411"/>
      <c r="R45" s="411"/>
      <c r="S45" s="411"/>
      <c r="T45" s="411"/>
    </row>
    <row r="46" spans="1:20" ht="15" thickBot="1" x14ac:dyDescent="0.4">
      <c r="A46" s="412">
        <v>-3869.31</v>
      </c>
      <c r="B46" s="413">
        <v>1E-3</v>
      </c>
      <c r="C46" s="413">
        <v>0.95599999999999996</v>
      </c>
      <c r="D46" s="414">
        <f t="shared" si="0"/>
        <v>-386.93099999999998</v>
      </c>
      <c r="E46" s="414">
        <f t="shared" si="1"/>
        <v>-77.386200000000002</v>
      </c>
      <c r="F46" s="415">
        <f t="shared" si="2"/>
        <v>-25192.339999999997</v>
      </c>
      <c r="G46" s="411"/>
      <c r="H46" s="411"/>
      <c r="I46" s="411"/>
      <c r="J46" s="411"/>
      <c r="K46" s="411"/>
      <c r="L46" s="411"/>
      <c r="M46" s="411"/>
      <c r="N46" s="411"/>
      <c r="O46" s="411"/>
      <c r="P46" s="411"/>
      <c r="Q46" s="411"/>
      <c r="R46" s="411"/>
      <c r="S46" s="411"/>
      <c r="T46" s="411"/>
    </row>
    <row r="47" spans="1:20" ht="15" thickBot="1" x14ac:dyDescent="0.4">
      <c r="A47" s="412">
        <v>-3850.58</v>
      </c>
      <c r="B47" s="413">
        <v>1E-3</v>
      </c>
      <c r="C47" s="413">
        <v>0.95499999999999996</v>
      </c>
      <c r="D47" s="414">
        <f t="shared" si="0"/>
        <v>-385.05799999999999</v>
      </c>
      <c r="E47" s="414">
        <f t="shared" si="1"/>
        <v>-77.011599999999987</v>
      </c>
      <c r="F47" s="415">
        <f t="shared" si="2"/>
        <v>-25577.397999999997</v>
      </c>
      <c r="G47" s="411"/>
      <c r="H47" s="411"/>
      <c r="I47" s="411"/>
      <c r="J47" s="411"/>
      <c r="K47" s="411"/>
      <c r="L47" s="411"/>
      <c r="M47" s="411"/>
      <c r="N47" s="411"/>
      <c r="O47" s="411"/>
      <c r="P47" s="411"/>
      <c r="Q47" s="411"/>
      <c r="R47" s="411"/>
      <c r="S47" s="411"/>
      <c r="T47" s="411"/>
    </row>
    <row r="48" spans="1:20" ht="15" thickBot="1" x14ac:dyDescent="0.4">
      <c r="A48" s="412">
        <v>-3803.23</v>
      </c>
      <c r="B48" s="413">
        <v>1E-3</v>
      </c>
      <c r="C48" s="413">
        <v>0.95399999999999996</v>
      </c>
      <c r="D48" s="414">
        <f t="shared" si="0"/>
        <v>-380.32299999999998</v>
      </c>
      <c r="E48" s="414">
        <f t="shared" si="1"/>
        <v>-76.064599999999999</v>
      </c>
      <c r="F48" s="415">
        <f t="shared" si="2"/>
        <v>-25957.720999999998</v>
      </c>
      <c r="G48" s="411"/>
      <c r="H48" s="411"/>
      <c r="I48" s="411"/>
      <c r="J48" s="411"/>
      <c r="K48" s="411"/>
      <c r="L48" s="411"/>
      <c r="M48" s="411"/>
      <c r="N48" s="411"/>
      <c r="O48" s="411"/>
      <c r="P48" s="411"/>
      <c r="Q48" s="411"/>
      <c r="R48" s="411"/>
      <c r="S48" s="411"/>
      <c r="T48" s="411"/>
    </row>
    <row r="49" spans="1:20" ht="15" thickBot="1" x14ac:dyDescent="0.4">
      <c r="A49" s="412">
        <v>-3769.31</v>
      </c>
      <c r="B49" s="413">
        <v>1E-3</v>
      </c>
      <c r="C49" s="413">
        <v>0.95299999999999996</v>
      </c>
      <c r="D49" s="414">
        <f t="shared" si="0"/>
        <v>-376.93099999999998</v>
      </c>
      <c r="E49" s="414">
        <f t="shared" si="1"/>
        <v>-75.386199999999988</v>
      </c>
      <c r="F49" s="415">
        <f t="shared" si="2"/>
        <v>-26334.651999999998</v>
      </c>
      <c r="G49" s="411"/>
      <c r="H49" s="411"/>
      <c r="I49" s="411"/>
      <c r="J49" s="411"/>
      <c r="K49" s="411"/>
      <c r="L49" s="411"/>
      <c r="M49" s="411"/>
      <c r="N49" s="411"/>
      <c r="O49" s="411"/>
      <c r="P49" s="411"/>
      <c r="Q49" s="411"/>
      <c r="R49" s="411"/>
      <c r="S49" s="411"/>
      <c r="T49" s="411"/>
    </row>
    <row r="50" spans="1:20" ht="15" thickBot="1" x14ac:dyDescent="0.4">
      <c r="A50" s="412">
        <v>-3722.94</v>
      </c>
      <c r="B50" s="413">
        <v>1E-3</v>
      </c>
      <c r="C50" s="413">
        <v>0.95199999999999996</v>
      </c>
      <c r="D50" s="414">
        <f t="shared" si="0"/>
        <v>-372.29399999999998</v>
      </c>
      <c r="E50" s="414">
        <f t="shared" si="1"/>
        <v>-74.458799999999997</v>
      </c>
      <c r="F50" s="415">
        <f t="shared" si="2"/>
        <v>-26706.946</v>
      </c>
      <c r="G50" s="411"/>
      <c r="H50" s="411"/>
      <c r="I50" s="411"/>
      <c r="J50" s="411"/>
      <c r="K50" s="411"/>
      <c r="L50" s="411"/>
      <c r="M50" s="411"/>
      <c r="N50" s="411"/>
      <c r="O50" s="411"/>
      <c r="P50" s="411"/>
      <c r="Q50" s="411"/>
      <c r="R50" s="411"/>
      <c r="S50" s="411"/>
      <c r="T50" s="411"/>
    </row>
    <row r="51" spans="1:20" ht="15" thickBot="1" x14ac:dyDescent="0.4">
      <c r="A51" s="412">
        <v>-3655.82</v>
      </c>
      <c r="B51" s="413">
        <v>1E-3</v>
      </c>
      <c r="C51" s="413">
        <v>0.95099999999999996</v>
      </c>
      <c r="D51" s="414">
        <f t="shared" si="0"/>
        <v>-365.58199999999999</v>
      </c>
      <c r="E51" s="414">
        <f t="shared" si="1"/>
        <v>-73.116399999999999</v>
      </c>
      <c r="F51" s="415">
        <f t="shared" si="2"/>
        <v>-27072.527999999998</v>
      </c>
      <c r="G51" s="411"/>
      <c r="H51" s="411"/>
      <c r="I51" s="411"/>
      <c r="J51" s="411"/>
      <c r="K51" s="411"/>
      <c r="L51" s="411"/>
      <c r="M51" s="411"/>
      <c r="N51" s="411"/>
      <c r="O51" s="411"/>
      <c r="P51" s="411"/>
      <c r="Q51" s="411"/>
      <c r="R51" s="411"/>
      <c r="S51" s="411"/>
      <c r="T51" s="411"/>
    </row>
    <row r="52" spans="1:20" ht="15" thickBot="1" x14ac:dyDescent="0.4">
      <c r="A52" s="412">
        <v>-3626.93</v>
      </c>
      <c r="B52" s="437">
        <v>1E-3</v>
      </c>
      <c r="C52" s="446">
        <v>0.95</v>
      </c>
      <c r="D52" s="439">
        <f t="shared" si="0"/>
        <v>-362.69299999999998</v>
      </c>
      <c r="E52" s="439">
        <f t="shared" si="1"/>
        <v>-72.538599999999988</v>
      </c>
      <c r="F52" s="440">
        <f t="shared" si="2"/>
        <v>-27435.220999999998</v>
      </c>
      <c r="G52" s="413"/>
      <c r="H52" s="411"/>
      <c r="I52" s="411"/>
      <c r="J52" s="411"/>
      <c r="K52" s="411"/>
      <c r="L52" s="411"/>
      <c r="M52" s="411"/>
      <c r="N52" s="411"/>
      <c r="O52" s="411"/>
      <c r="P52" s="411"/>
      <c r="Q52" s="411"/>
      <c r="R52" s="411"/>
      <c r="S52" s="411"/>
      <c r="T52" s="411"/>
    </row>
    <row r="53" spans="1:20" ht="15" thickBot="1" x14ac:dyDescent="0.4">
      <c r="A53" s="412">
        <v>-3588.33</v>
      </c>
      <c r="B53" s="413">
        <v>1E-3</v>
      </c>
      <c r="C53" s="413">
        <v>0.94899999999999995</v>
      </c>
      <c r="D53" s="414">
        <f t="shared" si="0"/>
        <v>-358.83299999999997</v>
      </c>
      <c r="E53" s="414"/>
      <c r="F53" s="415">
        <f t="shared" si="2"/>
        <v>-27794.053999999996</v>
      </c>
      <c r="G53" s="411"/>
      <c r="H53" s="411"/>
      <c r="I53" s="411"/>
      <c r="J53" s="411"/>
      <c r="K53" s="411"/>
      <c r="L53" s="411"/>
      <c r="M53" s="411"/>
      <c r="N53" s="411"/>
      <c r="O53" s="411"/>
      <c r="P53" s="411"/>
      <c r="Q53" s="411"/>
      <c r="R53" s="411"/>
      <c r="S53" s="411"/>
      <c r="T53" s="411"/>
    </row>
    <row r="54" spans="1:20" ht="15" thickBot="1" x14ac:dyDescent="0.4">
      <c r="A54" s="412">
        <v>-3508.98</v>
      </c>
      <c r="B54" s="413">
        <v>1E-3</v>
      </c>
      <c r="C54" s="413">
        <v>0.94799999999999995</v>
      </c>
      <c r="D54" s="414">
        <f t="shared" si="0"/>
        <v>-350.89800000000002</v>
      </c>
      <c r="E54" s="414"/>
      <c r="F54" s="415">
        <f t="shared" si="2"/>
        <v>-28144.951999999997</v>
      </c>
      <c r="G54" s="411"/>
      <c r="H54" s="411"/>
      <c r="I54" s="411"/>
      <c r="J54" s="411"/>
      <c r="K54" s="411"/>
      <c r="L54" s="411"/>
      <c r="M54" s="411"/>
      <c r="N54" s="411"/>
      <c r="O54" s="411"/>
      <c r="P54" s="411"/>
      <c r="Q54" s="411"/>
      <c r="R54" s="411"/>
      <c r="S54" s="411"/>
      <c r="T54" s="411"/>
    </row>
    <row r="55" spans="1:20" ht="15" thickBot="1" x14ac:dyDescent="0.4">
      <c r="A55" s="412">
        <v>-3457.19</v>
      </c>
      <c r="B55" s="413">
        <v>1E-3</v>
      </c>
      <c r="C55" s="413">
        <v>0.94699999999999995</v>
      </c>
      <c r="D55" s="414">
        <f t="shared" si="0"/>
        <v>-345.71899999999999</v>
      </c>
      <c r="E55" s="414"/>
      <c r="F55" s="415">
        <f t="shared" si="2"/>
        <v>-28490.670999999998</v>
      </c>
      <c r="G55" s="411"/>
      <c r="H55" s="411"/>
      <c r="I55" s="411"/>
      <c r="J55" s="411"/>
      <c r="K55" s="411"/>
      <c r="L55" s="411"/>
      <c r="M55" s="411"/>
      <c r="N55" s="411"/>
      <c r="O55" s="411"/>
      <c r="P55" s="411"/>
      <c r="Q55" s="411"/>
      <c r="R55" s="411"/>
      <c r="S55" s="411"/>
      <c r="T55" s="411"/>
    </row>
    <row r="56" spans="1:20" ht="15" thickBot="1" x14ac:dyDescent="0.4">
      <c r="A56" s="412">
        <v>-3454.57</v>
      </c>
      <c r="B56" s="413">
        <v>1E-3</v>
      </c>
      <c r="C56" s="413">
        <v>0.94599999999999995</v>
      </c>
      <c r="D56" s="414">
        <f t="shared" si="0"/>
        <v>-345.45700000000005</v>
      </c>
      <c r="E56" s="414"/>
      <c r="F56" s="415">
        <f t="shared" si="2"/>
        <v>-28836.127999999997</v>
      </c>
      <c r="G56" s="411"/>
      <c r="H56" s="411"/>
      <c r="I56" s="411"/>
      <c r="J56" s="411"/>
      <c r="K56" s="411"/>
      <c r="L56" s="411"/>
      <c r="M56" s="411"/>
      <c r="N56" s="411"/>
      <c r="O56" s="411"/>
      <c r="P56" s="411"/>
      <c r="Q56" s="411"/>
      <c r="R56" s="411"/>
      <c r="S56" s="411"/>
      <c r="T56" s="411"/>
    </row>
    <row r="57" spans="1:20" ht="15" thickBot="1" x14ac:dyDescent="0.4">
      <c r="A57" s="412">
        <v>-3395.25</v>
      </c>
      <c r="B57" s="413">
        <v>1E-3</v>
      </c>
      <c r="C57" s="413">
        <v>0.94499999999999995</v>
      </c>
      <c r="D57" s="414">
        <f t="shared" si="0"/>
        <v>-339.52499999999998</v>
      </c>
      <c r="E57" s="414"/>
      <c r="F57" s="415">
        <f t="shared" si="2"/>
        <v>-29175.652999999998</v>
      </c>
      <c r="G57" s="411"/>
      <c r="H57" s="411"/>
      <c r="I57" s="411"/>
      <c r="J57" s="411"/>
      <c r="K57" s="411"/>
      <c r="L57" s="411"/>
      <c r="M57" s="411"/>
      <c r="N57" s="411"/>
      <c r="O57" s="411"/>
      <c r="P57" s="411"/>
      <c r="Q57" s="411"/>
      <c r="R57" s="411"/>
      <c r="S57" s="411"/>
      <c r="T57" s="411"/>
    </row>
    <row r="58" spans="1:20" ht="15" thickBot="1" x14ac:dyDescent="0.4">
      <c r="A58" s="412">
        <v>-3367.93</v>
      </c>
      <c r="B58" s="413">
        <v>1E-3</v>
      </c>
      <c r="C58" s="413">
        <v>0.94399999999999995</v>
      </c>
      <c r="D58" s="414">
        <f t="shared" si="0"/>
        <v>-336.79300000000001</v>
      </c>
      <c r="E58" s="414"/>
      <c r="F58" s="415">
        <f t="shared" si="2"/>
        <v>-29512.446</v>
      </c>
      <c r="G58" s="411"/>
      <c r="H58" s="411"/>
      <c r="I58" s="411"/>
      <c r="J58" s="411"/>
      <c r="K58" s="411"/>
      <c r="L58" s="411"/>
      <c r="M58" s="411"/>
      <c r="N58" s="411"/>
      <c r="O58" s="411"/>
      <c r="P58" s="411"/>
      <c r="Q58" s="411"/>
      <c r="R58" s="411"/>
      <c r="S58" s="411"/>
      <c r="T58" s="411"/>
    </row>
    <row r="59" spans="1:20" ht="15" thickBot="1" x14ac:dyDescent="0.4">
      <c r="A59" s="412">
        <v>-3277.04</v>
      </c>
      <c r="B59" s="413">
        <v>1E-3</v>
      </c>
      <c r="C59" s="413">
        <v>0.94299999999999995</v>
      </c>
      <c r="D59" s="414">
        <f t="shared" si="0"/>
        <v>-327.70400000000001</v>
      </c>
      <c r="E59" s="414"/>
      <c r="F59" s="415">
        <f t="shared" si="2"/>
        <v>-29840.15</v>
      </c>
      <c r="G59" s="411"/>
      <c r="H59" s="411"/>
      <c r="I59" s="411"/>
      <c r="J59" s="411"/>
      <c r="K59" s="411"/>
      <c r="L59" s="411"/>
      <c r="M59" s="411"/>
      <c r="N59" s="411"/>
      <c r="O59" s="411"/>
      <c r="P59" s="411"/>
      <c r="Q59" s="411"/>
      <c r="R59" s="411"/>
      <c r="S59" s="411"/>
      <c r="T59" s="411"/>
    </row>
    <row r="60" spans="1:20" ht="15" thickBot="1" x14ac:dyDescent="0.4">
      <c r="A60" s="412">
        <v>-3247.43</v>
      </c>
      <c r="B60" s="413">
        <v>1E-3</v>
      </c>
      <c r="C60" s="413">
        <v>0.94199999999999995</v>
      </c>
      <c r="D60" s="414">
        <f t="shared" si="0"/>
        <v>-324.74299999999999</v>
      </c>
      <c r="E60" s="414"/>
      <c r="F60" s="415">
        <f t="shared" si="2"/>
        <v>-30164.893</v>
      </c>
      <c r="G60" s="411"/>
      <c r="H60" s="411"/>
      <c r="I60" s="411"/>
      <c r="J60" s="411"/>
      <c r="K60" s="411"/>
      <c r="L60" s="411"/>
      <c r="M60" s="411"/>
      <c r="N60" s="411"/>
      <c r="O60" s="411"/>
      <c r="P60" s="411"/>
      <c r="Q60" s="411"/>
      <c r="R60" s="411"/>
      <c r="S60" s="411"/>
      <c r="T60" s="411"/>
    </row>
    <row r="61" spans="1:20" ht="15" thickBot="1" x14ac:dyDescent="0.4">
      <c r="A61" s="412">
        <v>-3219.89</v>
      </c>
      <c r="B61" s="413">
        <v>1E-3</v>
      </c>
      <c r="C61" s="413">
        <v>0.94099999999999995</v>
      </c>
      <c r="D61" s="414">
        <f t="shared" si="0"/>
        <v>-321.98899999999998</v>
      </c>
      <c r="E61" s="414"/>
      <c r="F61" s="415">
        <f t="shared" si="2"/>
        <v>-30486.882000000001</v>
      </c>
      <c r="G61" s="411"/>
      <c r="H61" s="411"/>
      <c r="I61" s="411"/>
      <c r="J61" s="411"/>
      <c r="K61" s="411"/>
      <c r="L61" s="411"/>
      <c r="M61" s="411"/>
      <c r="N61" s="411"/>
      <c r="O61" s="411"/>
      <c r="P61" s="411"/>
      <c r="Q61" s="411"/>
      <c r="R61" s="411"/>
      <c r="S61" s="411"/>
      <c r="T61" s="411"/>
    </row>
    <row r="62" spans="1:20" ht="15" thickBot="1" x14ac:dyDescent="0.4">
      <c r="A62" s="412">
        <v>-3198.11</v>
      </c>
      <c r="B62" s="413">
        <v>1E-3</v>
      </c>
      <c r="C62" s="413">
        <v>0.94</v>
      </c>
      <c r="D62" s="414">
        <f t="shared" si="0"/>
        <v>-319.81100000000004</v>
      </c>
      <c r="E62" s="414"/>
      <c r="F62" s="415">
        <f t="shared" si="2"/>
        <v>-30806.693000000003</v>
      </c>
      <c r="G62" s="411"/>
      <c r="H62" s="411"/>
      <c r="I62" s="411"/>
      <c r="J62" s="411"/>
      <c r="K62" s="411"/>
      <c r="L62" s="411"/>
      <c r="M62" s="411"/>
      <c r="N62" s="411"/>
      <c r="O62" s="411"/>
      <c r="P62" s="411"/>
      <c r="Q62" s="411"/>
      <c r="R62" s="411"/>
      <c r="S62" s="411"/>
      <c r="T62" s="411"/>
    </row>
    <row r="63" spans="1:20" ht="15" thickBot="1" x14ac:dyDescent="0.4">
      <c r="A63" s="412">
        <v>-3195.99</v>
      </c>
      <c r="B63" s="413">
        <v>1E-3</v>
      </c>
      <c r="C63" s="413">
        <v>0.93899999999999995</v>
      </c>
      <c r="D63" s="414">
        <f t="shared" si="0"/>
        <v>-319.59899999999993</v>
      </c>
      <c r="E63" s="414"/>
      <c r="F63" s="415">
        <f t="shared" si="2"/>
        <v>-31126.292000000001</v>
      </c>
      <c r="G63" s="411"/>
      <c r="H63" s="411"/>
      <c r="I63" s="411"/>
      <c r="J63" s="411"/>
      <c r="K63" s="411"/>
      <c r="L63" s="411"/>
      <c r="M63" s="411"/>
      <c r="N63" s="411"/>
      <c r="O63" s="411"/>
      <c r="P63" s="411"/>
      <c r="Q63" s="411"/>
      <c r="R63" s="411"/>
      <c r="S63" s="411"/>
      <c r="T63" s="411"/>
    </row>
    <row r="64" spans="1:20" ht="15" thickBot="1" x14ac:dyDescent="0.4">
      <c r="A64" s="412">
        <v>-3188.95</v>
      </c>
      <c r="B64" s="413">
        <v>1E-3</v>
      </c>
      <c r="C64" s="413">
        <v>0.93799999999999994</v>
      </c>
      <c r="D64" s="414">
        <f t="shared" si="0"/>
        <v>-318.89499999999998</v>
      </c>
      <c r="E64" s="414"/>
      <c r="F64" s="415">
        <f t="shared" si="2"/>
        <v>-31445.187000000002</v>
      </c>
      <c r="G64" s="411"/>
      <c r="H64" s="411"/>
      <c r="I64" s="411"/>
      <c r="J64" s="411"/>
      <c r="K64" s="411"/>
      <c r="L64" s="411"/>
      <c r="M64" s="411"/>
      <c r="N64" s="411"/>
      <c r="O64" s="411"/>
      <c r="P64" s="411"/>
      <c r="Q64" s="411"/>
      <c r="R64" s="411"/>
      <c r="S64" s="411"/>
      <c r="T64" s="411"/>
    </row>
    <row r="65" spans="1:20" ht="15" thickBot="1" x14ac:dyDescent="0.4">
      <c r="A65" s="412">
        <v>-3187.02</v>
      </c>
      <c r="B65" s="413">
        <v>1E-3</v>
      </c>
      <c r="C65" s="413">
        <v>0.93700000000000006</v>
      </c>
      <c r="D65" s="414">
        <f t="shared" si="0"/>
        <v>-318.702</v>
      </c>
      <c r="E65" s="414"/>
      <c r="F65" s="415">
        <f t="shared" si="2"/>
        <v>-31763.889000000003</v>
      </c>
      <c r="G65" s="411"/>
      <c r="H65" s="411"/>
      <c r="I65" s="411"/>
      <c r="J65" s="411"/>
      <c r="K65" s="411"/>
      <c r="L65" s="411"/>
      <c r="M65" s="411"/>
      <c r="N65" s="411"/>
      <c r="O65" s="411"/>
      <c r="P65" s="411"/>
      <c r="Q65" s="411"/>
      <c r="R65" s="411"/>
      <c r="S65" s="411"/>
      <c r="T65" s="411"/>
    </row>
    <row r="66" spans="1:20" ht="15" thickBot="1" x14ac:dyDescent="0.4">
      <c r="A66" s="412">
        <v>-3136.92</v>
      </c>
      <c r="B66" s="413">
        <v>1E-3</v>
      </c>
      <c r="C66" s="413">
        <v>0.93600000000000005</v>
      </c>
      <c r="D66" s="414">
        <f t="shared" ref="D66:D129" si="3">A66*B66/1%</f>
        <v>-313.69200000000001</v>
      </c>
      <c r="E66" s="414"/>
      <c r="F66" s="415">
        <f t="shared" si="2"/>
        <v>-32077.581000000002</v>
      </c>
      <c r="G66" s="411"/>
      <c r="H66" s="411"/>
      <c r="I66" s="411"/>
      <c r="J66" s="411"/>
      <c r="K66" s="411"/>
      <c r="L66" s="411"/>
      <c r="M66" s="411"/>
      <c r="N66" s="411"/>
      <c r="O66" s="411"/>
      <c r="P66" s="411"/>
      <c r="Q66" s="411"/>
      <c r="R66" s="411"/>
      <c r="S66" s="411"/>
      <c r="T66" s="411"/>
    </row>
    <row r="67" spans="1:20" ht="15" thickBot="1" x14ac:dyDescent="0.4">
      <c r="A67" s="412">
        <v>-3132</v>
      </c>
      <c r="B67" s="413">
        <v>1E-3</v>
      </c>
      <c r="C67" s="413">
        <v>0.93500000000000005</v>
      </c>
      <c r="D67" s="414">
        <f t="shared" si="3"/>
        <v>-313.2</v>
      </c>
      <c r="E67" s="414"/>
      <c r="F67" s="415">
        <f t="shared" ref="F67:F130" si="4">F66+D67</f>
        <v>-32390.781000000003</v>
      </c>
      <c r="G67" s="411"/>
      <c r="H67" s="411"/>
      <c r="I67" s="411"/>
      <c r="J67" s="411"/>
      <c r="K67" s="411"/>
      <c r="L67" s="411"/>
      <c r="M67" s="411"/>
      <c r="N67" s="411"/>
      <c r="O67" s="411"/>
      <c r="P67" s="411"/>
      <c r="Q67" s="411"/>
      <c r="R67" s="411"/>
      <c r="S67" s="411"/>
      <c r="T67" s="411"/>
    </row>
    <row r="68" spans="1:20" ht="15" thickBot="1" x14ac:dyDescent="0.4">
      <c r="A68" s="412">
        <v>-3083.7</v>
      </c>
      <c r="B68" s="413">
        <v>1E-3</v>
      </c>
      <c r="C68" s="413">
        <v>0.93400000000000005</v>
      </c>
      <c r="D68" s="414">
        <f t="shared" si="3"/>
        <v>-308.37</v>
      </c>
      <c r="E68" s="414"/>
      <c r="F68" s="415">
        <f t="shared" si="4"/>
        <v>-32699.151000000002</v>
      </c>
      <c r="G68" s="411"/>
      <c r="H68" s="411"/>
      <c r="I68" s="411"/>
      <c r="J68" s="411"/>
      <c r="K68" s="411"/>
      <c r="L68" s="411"/>
      <c r="M68" s="411"/>
      <c r="N68" s="411"/>
      <c r="O68" s="411"/>
      <c r="P68" s="411"/>
      <c r="Q68" s="411"/>
      <c r="R68" s="411"/>
      <c r="S68" s="411"/>
      <c r="T68" s="411"/>
    </row>
    <row r="69" spans="1:20" ht="15" thickBot="1" x14ac:dyDescent="0.4">
      <c r="A69" s="412">
        <v>-3018.86</v>
      </c>
      <c r="B69" s="413">
        <v>1E-3</v>
      </c>
      <c r="C69" s="413">
        <v>0.93300000000000005</v>
      </c>
      <c r="D69" s="414">
        <f t="shared" si="3"/>
        <v>-301.88600000000002</v>
      </c>
      <c r="E69" s="414"/>
      <c r="F69" s="415">
        <f t="shared" si="4"/>
        <v>-33001.037000000004</v>
      </c>
      <c r="G69" s="411"/>
      <c r="H69" s="411"/>
      <c r="I69" s="411"/>
      <c r="J69" s="411"/>
      <c r="K69" s="411"/>
      <c r="L69" s="411"/>
      <c r="M69" s="411"/>
      <c r="N69" s="411"/>
      <c r="O69" s="411"/>
      <c r="P69" s="411"/>
      <c r="Q69" s="411"/>
      <c r="R69" s="411"/>
      <c r="S69" s="411"/>
      <c r="T69" s="411"/>
    </row>
    <row r="70" spans="1:20" ht="15" thickBot="1" x14ac:dyDescent="0.4">
      <c r="A70" s="412">
        <v>-2987.71</v>
      </c>
      <c r="B70" s="413">
        <v>1E-3</v>
      </c>
      <c r="C70" s="413">
        <v>0.93200000000000005</v>
      </c>
      <c r="D70" s="414">
        <f t="shared" si="3"/>
        <v>-298.77100000000002</v>
      </c>
      <c r="E70" s="414"/>
      <c r="F70" s="415">
        <f t="shared" si="4"/>
        <v>-33299.808000000005</v>
      </c>
      <c r="G70" s="411"/>
      <c r="H70" s="411"/>
      <c r="I70" s="411"/>
      <c r="J70" s="411"/>
      <c r="K70" s="411"/>
      <c r="L70" s="411"/>
      <c r="M70" s="411"/>
      <c r="N70" s="411"/>
      <c r="O70" s="411"/>
      <c r="P70" s="411"/>
      <c r="Q70" s="411"/>
      <c r="R70" s="411"/>
      <c r="S70" s="411"/>
      <c r="T70" s="411"/>
    </row>
    <row r="71" spans="1:20" ht="15" thickBot="1" x14ac:dyDescent="0.4">
      <c r="A71" s="412">
        <v>-2982.12</v>
      </c>
      <c r="B71" s="413">
        <v>1E-3</v>
      </c>
      <c r="C71" s="413">
        <v>0.93100000000000005</v>
      </c>
      <c r="D71" s="414">
        <f t="shared" si="3"/>
        <v>-298.21199999999999</v>
      </c>
      <c r="E71" s="414"/>
      <c r="F71" s="415">
        <f t="shared" si="4"/>
        <v>-33598.020000000004</v>
      </c>
      <c r="G71" s="411"/>
      <c r="H71" s="411"/>
      <c r="I71" s="411"/>
      <c r="J71" s="411"/>
      <c r="K71" s="411"/>
      <c r="L71" s="411"/>
      <c r="M71" s="411"/>
      <c r="N71" s="411"/>
      <c r="O71" s="411"/>
      <c r="P71" s="411"/>
      <c r="Q71" s="411"/>
      <c r="R71" s="411"/>
      <c r="S71" s="411"/>
      <c r="T71" s="411"/>
    </row>
    <row r="72" spans="1:20" ht="15" thickBot="1" x14ac:dyDescent="0.4">
      <c r="A72" s="412">
        <v>-2960.13</v>
      </c>
      <c r="B72" s="413">
        <v>1E-3</v>
      </c>
      <c r="C72" s="413">
        <v>0.93</v>
      </c>
      <c r="D72" s="414">
        <f t="shared" si="3"/>
        <v>-296.01300000000003</v>
      </c>
      <c r="E72" s="414"/>
      <c r="F72" s="415">
        <f t="shared" si="4"/>
        <v>-33894.033000000003</v>
      </c>
      <c r="G72" s="411"/>
      <c r="H72" s="411"/>
      <c r="I72" s="411"/>
      <c r="J72" s="411"/>
      <c r="K72" s="411"/>
      <c r="L72" s="411"/>
      <c r="M72" s="411"/>
      <c r="N72" s="411"/>
      <c r="O72" s="411"/>
      <c r="P72" s="411"/>
      <c r="Q72" s="411"/>
      <c r="R72" s="411"/>
      <c r="S72" s="411"/>
      <c r="T72" s="411"/>
    </row>
    <row r="73" spans="1:20" ht="15" thickBot="1" x14ac:dyDescent="0.4">
      <c r="A73" s="412">
        <v>-2888.3</v>
      </c>
      <c r="B73" s="413">
        <v>1E-3</v>
      </c>
      <c r="C73" s="413">
        <v>0.92900000000000005</v>
      </c>
      <c r="D73" s="414">
        <f t="shared" si="3"/>
        <v>-288.83</v>
      </c>
      <c r="E73" s="414"/>
      <c r="F73" s="415">
        <f t="shared" si="4"/>
        <v>-34182.863000000005</v>
      </c>
      <c r="G73" s="411"/>
      <c r="H73" s="411"/>
      <c r="I73" s="411"/>
      <c r="J73" s="411"/>
      <c r="K73" s="411"/>
      <c r="L73" s="411"/>
      <c r="M73" s="411"/>
      <c r="N73" s="411"/>
      <c r="O73" s="411"/>
      <c r="P73" s="411"/>
      <c r="Q73" s="411"/>
      <c r="R73" s="411"/>
      <c r="S73" s="411"/>
      <c r="T73" s="411"/>
    </row>
    <row r="74" spans="1:20" ht="15" thickBot="1" x14ac:dyDescent="0.4">
      <c r="A74" s="412">
        <v>-2857.24</v>
      </c>
      <c r="B74" s="413">
        <v>1E-3</v>
      </c>
      <c r="C74" s="413">
        <v>0.92800000000000005</v>
      </c>
      <c r="D74" s="414">
        <f t="shared" si="3"/>
        <v>-285.72399999999999</v>
      </c>
      <c r="E74" s="414"/>
      <c r="F74" s="415">
        <f t="shared" si="4"/>
        <v>-34468.587000000007</v>
      </c>
      <c r="G74" s="411"/>
      <c r="H74" s="411"/>
      <c r="I74" s="411"/>
      <c r="J74" s="411"/>
      <c r="K74" s="411"/>
      <c r="L74" s="411"/>
      <c r="M74" s="411"/>
      <c r="N74" s="411"/>
      <c r="O74" s="411"/>
      <c r="P74" s="411"/>
      <c r="Q74" s="411"/>
      <c r="R74" s="411"/>
      <c r="S74" s="411"/>
      <c r="T74" s="411"/>
    </row>
    <row r="75" spans="1:20" ht="15" thickBot="1" x14ac:dyDescent="0.4">
      <c r="A75" s="412">
        <v>-2836.86</v>
      </c>
      <c r="B75" s="413">
        <v>1E-3</v>
      </c>
      <c r="C75" s="413">
        <v>0.92700000000000005</v>
      </c>
      <c r="D75" s="414">
        <f t="shared" si="3"/>
        <v>-283.68600000000004</v>
      </c>
      <c r="E75" s="414"/>
      <c r="F75" s="415">
        <f t="shared" si="4"/>
        <v>-34752.273000000008</v>
      </c>
      <c r="G75" s="411"/>
      <c r="H75" s="411"/>
      <c r="I75" s="411"/>
      <c r="J75" s="411"/>
      <c r="K75" s="411"/>
      <c r="L75" s="411"/>
      <c r="M75" s="411"/>
      <c r="N75" s="411"/>
      <c r="O75" s="411"/>
      <c r="P75" s="411"/>
      <c r="Q75" s="411"/>
      <c r="R75" s="411"/>
      <c r="S75" s="411"/>
      <c r="T75" s="411"/>
    </row>
    <row r="76" spans="1:20" ht="15" thickBot="1" x14ac:dyDescent="0.4">
      <c r="A76" s="412">
        <v>-2779.72</v>
      </c>
      <c r="B76" s="413">
        <v>1E-3</v>
      </c>
      <c r="C76" s="413">
        <v>0.92600000000000005</v>
      </c>
      <c r="D76" s="414">
        <f t="shared" si="3"/>
        <v>-277.97199999999998</v>
      </c>
      <c r="E76" s="414"/>
      <c r="F76" s="415">
        <f t="shared" si="4"/>
        <v>-35030.24500000001</v>
      </c>
      <c r="G76" s="411"/>
      <c r="H76" s="411"/>
      <c r="I76" s="411"/>
      <c r="J76" s="411"/>
      <c r="K76" s="411"/>
      <c r="L76" s="411"/>
      <c r="M76" s="411"/>
      <c r="N76" s="411"/>
      <c r="O76" s="411"/>
      <c r="P76" s="411"/>
      <c r="Q76" s="411"/>
      <c r="R76" s="411"/>
      <c r="S76" s="411"/>
      <c r="T76" s="411"/>
    </row>
    <row r="77" spans="1:20" ht="15" thickBot="1" x14ac:dyDescent="0.4">
      <c r="A77" s="412">
        <v>-2759.37</v>
      </c>
      <c r="B77" s="413">
        <v>1E-3</v>
      </c>
      <c r="C77" s="413">
        <v>0.92500000000000004</v>
      </c>
      <c r="D77" s="414">
        <f t="shared" si="3"/>
        <v>-275.93700000000001</v>
      </c>
      <c r="E77" s="414"/>
      <c r="F77" s="415">
        <f t="shared" si="4"/>
        <v>-35306.182000000008</v>
      </c>
      <c r="G77" s="411"/>
      <c r="H77" s="411"/>
      <c r="I77" s="411"/>
      <c r="J77" s="411"/>
      <c r="K77" s="411"/>
      <c r="L77" s="411"/>
      <c r="M77" s="411"/>
      <c r="N77" s="411"/>
      <c r="O77" s="411"/>
      <c r="P77" s="411"/>
      <c r="Q77" s="411"/>
      <c r="R77" s="411"/>
      <c r="S77" s="411"/>
      <c r="T77" s="411"/>
    </row>
    <row r="78" spans="1:20" ht="15" thickBot="1" x14ac:dyDescent="0.4">
      <c r="A78" s="412">
        <v>-2749.58</v>
      </c>
      <c r="B78" s="413">
        <v>1E-3</v>
      </c>
      <c r="C78" s="413">
        <v>0.92400000000000004</v>
      </c>
      <c r="D78" s="414">
        <f t="shared" si="3"/>
        <v>-274.95799999999997</v>
      </c>
      <c r="E78" s="414"/>
      <c r="F78" s="415">
        <f t="shared" si="4"/>
        <v>-35581.140000000007</v>
      </c>
      <c r="G78" s="411"/>
      <c r="H78" s="411"/>
      <c r="I78" s="411"/>
      <c r="J78" s="411"/>
      <c r="K78" s="411"/>
      <c r="L78" s="411"/>
      <c r="M78" s="411"/>
      <c r="N78" s="411"/>
      <c r="O78" s="411"/>
      <c r="P78" s="411"/>
      <c r="Q78" s="411"/>
      <c r="R78" s="411"/>
      <c r="S78" s="411"/>
      <c r="T78" s="411"/>
    </row>
    <row r="79" spans="1:20" ht="15" thickBot="1" x14ac:dyDescent="0.4">
      <c r="A79" s="412">
        <v>-2722.65</v>
      </c>
      <c r="B79" s="413">
        <v>1E-3</v>
      </c>
      <c r="C79" s="413">
        <v>0.92300000000000004</v>
      </c>
      <c r="D79" s="414">
        <f t="shared" si="3"/>
        <v>-272.26500000000004</v>
      </c>
      <c r="E79" s="414"/>
      <c r="F79" s="415">
        <f t="shared" si="4"/>
        <v>-35853.405000000006</v>
      </c>
      <c r="G79" s="411"/>
      <c r="H79" s="411"/>
      <c r="I79" s="411"/>
      <c r="J79" s="411"/>
      <c r="K79" s="411"/>
      <c r="L79" s="411"/>
      <c r="M79" s="411"/>
      <c r="N79" s="411"/>
      <c r="O79" s="411"/>
      <c r="P79" s="411"/>
      <c r="Q79" s="411"/>
      <c r="R79" s="411"/>
      <c r="S79" s="411"/>
      <c r="T79" s="411"/>
    </row>
    <row r="80" spans="1:20" ht="15" thickBot="1" x14ac:dyDescent="0.4">
      <c r="A80" s="412">
        <v>-2700.45</v>
      </c>
      <c r="B80" s="413">
        <v>1E-3</v>
      </c>
      <c r="C80" s="413">
        <v>0.92200000000000004</v>
      </c>
      <c r="D80" s="414">
        <f t="shared" si="3"/>
        <v>-270.04500000000002</v>
      </c>
      <c r="E80" s="414"/>
      <c r="F80" s="415">
        <f t="shared" si="4"/>
        <v>-36123.450000000004</v>
      </c>
      <c r="G80" s="411"/>
      <c r="H80" s="411"/>
      <c r="I80" s="411"/>
      <c r="J80" s="411"/>
      <c r="K80" s="411"/>
      <c r="L80" s="411"/>
      <c r="M80" s="411"/>
      <c r="N80" s="411"/>
      <c r="O80" s="411"/>
      <c r="P80" s="411"/>
      <c r="Q80" s="411"/>
      <c r="R80" s="411"/>
      <c r="S80" s="411"/>
      <c r="T80" s="411"/>
    </row>
    <row r="81" spans="1:20" ht="15" thickBot="1" x14ac:dyDescent="0.4">
      <c r="A81" s="412">
        <v>-2695.99</v>
      </c>
      <c r="B81" s="413">
        <v>1E-3</v>
      </c>
      <c r="C81" s="413">
        <v>0.92100000000000004</v>
      </c>
      <c r="D81" s="414">
        <f t="shared" si="3"/>
        <v>-269.59899999999993</v>
      </c>
      <c r="E81" s="414"/>
      <c r="F81" s="415">
        <f t="shared" si="4"/>
        <v>-36393.049000000006</v>
      </c>
      <c r="G81" s="411"/>
      <c r="H81" s="411"/>
      <c r="I81" s="411"/>
      <c r="J81" s="411"/>
      <c r="K81" s="411"/>
      <c r="L81" s="411"/>
      <c r="M81" s="411"/>
      <c r="N81" s="411"/>
      <c r="O81" s="411"/>
      <c r="P81" s="411"/>
      <c r="Q81" s="411"/>
      <c r="R81" s="411"/>
      <c r="S81" s="411"/>
      <c r="T81" s="411"/>
    </row>
    <row r="82" spans="1:20" ht="15" thickBot="1" x14ac:dyDescent="0.4">
      <c r="A82" s="412">
        <v>-2675.41</v>
      </c>
      <c r="B82" s="413">
        <v>1E-3</v>
      </c>
      <c r="C82" s="413">
        <v>0.92</v>
      </c>
      <c r="D82" s="414">
        <f t="shared" si="3"/>
        <v>-267.541</v>
      </c>
      <c r="E82" s="414"/>
      <c r="F82" s="415">
        <f t="shared" si="4"/>
        <v>-36660.590000000004</v>
      </c>
      <c r="G82" s="411"/>
      <c r="H82" s="411"/>
      <c r="I82" s="411"/>
      <c r="J82" s="411"/>
      <c r="K82" s="411"/>
      <c r="L82" s="411"/>
      <c r="M82" s="411"/>
      <c r="N82" s="411"/>
      <c r="O82" s="411"/>
      <c r="P82" s="411"/>
      <c r="Q82" s="411"/>
      <c r="R82" s="411"/>
      <c r="S82" s="411"/>
      <c r="T82" s="411"/>
    </row>
    <row r="83" spans="1:20" ht="15" thickBot="1" x14ac:dyDescent="0.4">
      <c r="A83" s="412">
        <v>-2669.82</v>
      </c>
      <c r="B83" s="413">
        <v>1E-3</v>
      </c>
      <c r="C83" s="413">
        <v>0.91900000000000004</v>
      </c>
      <c r="D83" s="414">
        <f t="shared" si="3"/>
        <v>-266.98200000000003</v>
      </c>
      <c r="E83" s="414"/>
      <c r="F83" s="415">
        <f t="shared" si="4"/>
        <v>-36927.572000000007</v>
      </c>
      <c r="G83" s="411"/>
      <c r="H83" s="411"/>
      <c r="I83" s="411"/>
      <c r="J83" s="411"/>
      <c r="K83" s="411"/>
      <c r="L83" s="411"/>
      <c r="M83" s="411"/>
      <c r="N83" s="411"/>
      <c r="O83" s="411"/>
      <c r="P83" s="411"/>
      <c r="Q83" s="411"/>
      <c r="R83" s="411"/>
      <c r="S83" s="411"/>
      <c r="T83" s="411"/>
    </row>
    <row r="84" spans="1:20" ht="15" thickBot="1" x14ac:dyDescent="0.4">
      <c r="A84" s="412">
        <v>-2668.08</v>
      </c>
      <c r="B84" s="413">
        <v>1E-3</v>
      </c>
      <c r="C84" s="413">
        <v>0.91800000000000004</v>
      </c>
      <c r="D84" s="414">
        <f t="shared" si="3"/>
        <v>-266.80799999999999</v>
      </c>
      <c r="E84" s="414"/>
      <c r="F84" s="415">
        <f t="shared" si="4"/>
        <v>-37194.380000000005</v>
      </c>
      <c r="G84" s="411"/>
      <c r="H84" s="411"/>
      <c r="I84" s="411"/>
      <c r="J84" s="411"/>
      <c r="K84" s="411"/>
      <c r="L84" s="411"/>
      <c r="M84" s="411"/>
      <c r="N84" s="411"/>
      <c r="O84" s="411"/>
      <c r="P84" s="411"/>
      <c r="Q84" s="411"/>
      <c r="R84" s="411"/>
      <c r="S84" s="411"/>
      <c r="T84" s="411"/>
    </row>
    <row r="85" spans="1:20" ht="15" thickBot="1" x14ac:dyDescent="0.4">
      <c r="A85" s="412">
        <v>-2658.74</v>
      </c>
      <c r="B85" s="413">
        <v>1E-3</v>
      </c>
      <c r="C85" s="413">
        <v>0.91700000000000004</v>
      </c>
      <c r="D85" s="414">
        <f t="shared" si="3"/>
        <v>-265.87399999999997</v>
      </c>
      <c r="E85" s="414"/>
      <c r="F85" s="415">
        <f t="shared" si="4"/>
        <v>-37460.254000000008</v>
      </c>
      <c r="G85" s="411"/>
      <c r="H85" s="411"/>
      <c r="I85" s="411"/>
      <c r="J85" s="411"/>
      <c r="K85" s="411"/>
      <c r="L85" s="411"/>
      <c r="M85" s="411"/>
      <c r="N85" s="411"/>
      <c r="O85" s="411"/>
      <c r="P85" s="411"/>
      <c r="Q85" s="411"/>
      <c r="R85" s="411"/>
      <c r="S85" s="411"/>
      <c r="T85" s="411"/>
    </row>
    <row r="86" spans="1:20" ht="15" thickBot="1" x14ac:dyDescent="0.4">
      <c r="A86" s="412">
        <v>-2651.83</v>
      </c>
      <c r="B86" s="413">
        <v>1E-3</v>
      </c>
      <c r="C86" s="413">
        <v>0.91600000000000004</v>
      </c>
      <c r="D86" s="414">
        <f t="shared" si="3"/>
        <v>-265.18299999999999</v>
      </c>
      <c r="E86" s="414"/>
      <c r="F86" s="415">
        <f t="shared" si="4"/>
        <v>-37725.437000000005</v>
      </c>
      <c r="G86" s="411"/>
      <c r="H86" s="411"/>
      <c r="I86" s="411"/>
      <c r="J86" s="411"/>
      <c r="K86" s="411"/>
      <c r="L86" s="411"/>
      <c r="M86" s="411"/>
      <c r="N86" s="411"/>
      <c r="O86" s="411"/>
      <c r="P86" s="411"/>
      <c r="Q86" s="411"/>
      <c r="R86" s="411"/>
      <c r="S86" s="411"/>
      <c r="T86" s="411"/>
    </row>
    <row r="87" spans="1:20" ht="15" thickBot="1" x14ac:dyDescent="0.4">
      <c r="A87" s="412">
        <v>-2628.94</v>
      </c>
      <c r="B87" s="413">
        <v>1E-3</v>
      </c>
      <c r="C87" s="413">
        <v>0.91500000000000004</v>
      </c>
      <c r="D87" s="414">
        <f t="shared" si="3"/>
        <v>-262.89400000000001</v>
      </c>
      <c r="E87" s="414"/>
      <c r="F87" s="415">
        <f t="shared" si="4"/>
        <v>-37988.331000000006</v>
      </c>
      <c r="G87" s="411"/>
      <c r="H87" s="411"/>
      <c r="I87" s="411"/>
      <c r="J87" s="411"/>
      <c r="K87" s="411"/>
      <c r="L87" s="411"/>
      <c r="M87" s="411"/>
      <c r="N87" s="411"/>
      <c r="O87" s="411"/>
      <c r="P87" s="411"/>
      <c r="Q87" s="411"/>
      <c r="R87" s="411"/>
      <c r="S87" s="411"/>
      <c r="T87" s="411"/>
    </row>
    <row r="88" spans="1:20" ht="15" thickBot="1" x14ac:dyDescent="0.4">
      <c r="A88" s="412">
        <v>-2586.19</v>
      </c>
      <c r="B88" s="413">
        <v>1E-3</v>
      </c>
      <c r="C88" s="413">
        <v>0.91400000000000003</v>
      </c>
      <c r="D88" s="414">
        <f t="shared" si="3"/>
        <v>-258.61900000000003</v>
      </c>
      <c r="E88" s="414"/>
      <c r="F88" s="415">
        <f t="shared" si="4"/>
        <v>-38246.950000000004</v>
      </c>
      <c r="G88" s="411"/>
      <c r="H88" s="411"/>
      <c r="I88" s="411"/>
      <c r="J88" s="411"/>
      <c r="K88" s="411"/>
      <c r="L88" s="411"/>
      <c r="M88" s="411"/>
      <c r="N88" s="411"/>
      <c r="O88" s="411"/>
      <c r="P88" s="411"/>
      <c r="Q88" s="411"/>
      <c r="R88" s="411"/>
      <c r="S88" s="411"/>
      <c r="T88" s="411"/>
    </row>
    <row r="89" spans="1:20" ht="15" thickBot="1" x14ac:dyDescent="0.4">
      <c r="A89" s="412">
        <v>-2567.23</v>
      </c>
      <c r="B89" s="413">
        <v>1E-3</v>
      </c>
      <c r="C89" s="413">
        <v>0.91300000000000003</v>
      </c>
      <c r="D89" s="414">
        <f t="shared" si="3"/>
        <v>-256.72299999999996</v>
      </c>
      <c r="E89" s="414"/>
      <c r="F89" s="415">
        <f t="shared" si="4"/>
        <v>-38503.673000000003</v>
      </c>
      <c r="G89" s="411"/>
      <c r="H89" s="411"/>
      <c r="I89" s="411"/>
      <c r="J89" s="411"/>
      <c r="K89" s="411"/>
      <c r="L89" s="411"/>
      <c r="M89" s="411"/>
      <c r="N89" s="411"/>
      <c r="O89" s="411"/>
      <c r="P89" s="411"/>
      <c r="Q89" s="411"/>
      <c r="R89" s="411"/>
      <c r="S89" s="411"/>
      <c r="T89" s="411"/>
    </row>
    <row r="90" spans="1:20" ht="15" thickBot="1" x14ac:dyDescent="0.4">
      <c r="A90" s="412">
        <v>-2533.04</v>
      </c>
      <c r="B90" s="413">
        <v>1E-3</v>
      </c>
      <c r="C90" s="413">
        <v>0.91200000000000003</v>
      </c>
      <c r="D90" s="414">
        <f t="shared" si="3"/>
        <v>-253.304</v>
      </c>
      <c r="E90" s="414"/>
      <c r="F90" s="415">
        <f t="shared" si="4"/>
        <v>-38756.976999999999</v>
      </c>
      <c r="G90" s="411"/>
      <c r="H90" s="411"/>
      <c r="I90" s="411"/>
      <c r="J90" s="411"/>
      <c r="K90" s="411"/>
      <c r="L90" s="411"/>
      <c r="M90" s="411"/>
      <c r="N90" s="411"/>
      <c r="O90" s="411"/>
      <c r="P90" s="411"/>
      <c r="Q90" s="411"/>
      <c r="R90" s="411"/>
      <c r="S90" s="411"/>
      <c r="T90" s="411"/>
    </row>
    <row r="91" spans="1:20" ht="15" thickBot="1" x14ac:dyDescent="0.4">
      <c r="A91" s="412">
        <v>-2527.3200000000002</v>
      </c>
      <c r="B91" s="413">
        <v>1E-3</v>
      </c>
      <c r="C91" s="413">
        <v>0.91100000000000003</v>
      </c>
      <c r="D91" s="414">
        <f t="shared" si="3"/>
        <v>-252.732</v>
      </c>
      <c r="E91" s="414"/>
      <c r="F91" s="415">
        <f t="shared" si="4"/>
        <v>-39009.709000000003</v>
      </c>
      <c r="G91" s="411"/>
      <c r="H91" s="411"/>
      <c r="I91" s="411"/>
      <c r="J91" s="411"/>
      <c r="K91" s="411"/>
      <c r="L91" s="411"/>
      <c r="M91" s="411"/>
      <c r="N91" s="411"/>
      <c r="O91" s="411"/>
      <c r="P91" s="411"/>
      <c r="Q91" s="411"/>
      <c r="R91" s="411"/>
      <c r="S91" s="411"/>
      <c r="T91" s="411"/>
    </row>
    <row r="92" spans="1:20" ht="15" thickBot="1" x14ac:dyDescent="0.4">
      <c r="A92" s="412">
        <v>-2520.89</v>
      </c>
      <c r="B92" s="413">
        <v>1E-3</v>
      </c>
      <c r="C92" s="413">
        <v>0.91</v>
      </c>
      <c r="D92" s="414">
        <f t="shared" si="3"/>
        <v>-252.089</v>
      </c>
      <c r="E92" s="414"/>
      <c r="F92" s="415">
        <f t="shared" si="4"/>
        <v>-39261.798000000003</v>
      </c>
      <c r="G92" s="411"/>
      <c r="H92" s="411"/>
      <c r="I92" s="411"/>
      <c r="J92" s="411"/>
      <c r="K92" s="411"/>
      <c r="L92" s="411"/>
      <c r="M92" s="411"/>
      <c r="N92" s="411"/>
      <c r="O92" s="411"/>
      <c r="P92" s="411"/>
      <c r="Q92" s="411"/>
      <c r="R92" s="411"/>
      <c r="S92" s="411"/>
      <c r="T92" s="411"/>
    </row>
    <row r="93" spans="1:20" ht="15" thickBot="1" x14ac:dyDescent="0.4">
      <c r="A93" s="412">
        <v>-2515.65</v>
      </c>
      <c r="B93" s="413">
        <v>1E-3</v>
      </c>
      <c r="C93" s="413">
        <v>0.90900000000000003</v>
      </c>
      <c r="D93" s="414">
        <f t="shared" si="3"/>
        <v>-251.565</v>
      </c>
      <c r="E93" s="414"/>
      <c r="F93" s="415">
        <f t="shared" si="4"/>
        <v>-39513.363000000005</v>
      </c>
      <c r="G93" s="411"/>
      <c r="H93" s="411"/>
      <c r="I93" s="411"/>
      <c r="J93" s="411"/>
      <c r="K93" s="411"/>
      <c r="L93" s="411"/>
      <c r="M93" s="411"/>
      <c r="N93" s="411"/>
      <c r="O93" s="411"/>
      <c r="P93" s="411"/>
      <c r="Q93" s="411"/>
      <c r="R93" s="411"/>
      <c r="S93" s="411"/>
      <c r="T93" s="411"/>
    </row>
    <row r="94" spans="1:20" ht="15" thickBot="1" x14ac:dyDescent="0.4">
      <c r="A94" s="412">
        <v>-2490.75</v>
      </c>
      <c r="B94" s="413">
        <v>1E-3</v>
      </c>
      <c r="C94" s="413">
        <v>0.90800000000000003</v>
      </c>
      <c r="D94" s="414">
        <f t="shared" si="3"/>
        <v>-249.07500000000002</v>
      </c>
      <c r="E94" s="414"/>
      <c r="F94" s="415">
        <f t="shared" si="4"/>
        <v>-39762.438000000002</v>
      </c>
      <c r="G94" s="411"/>
      <c r="H94" s="411"/>
      <c r="I94" s="411"/>
      <c r="J94" s="411"/>
      <c r="K94" s="411"/>
      <c r="L94" s="411"/>
      <c r="M94" s="411"/>
      <c r="N94" s="411"/>
      <c r="O94" s="411"/>
      <c r="P94" s="411"/>
      <c r="Q94" s="411"/>
      <c r="R94" s="411"/>
      <c r="S94" s="411"/>
      <c r="T94" s="411"/>
    </row>
    <row r="95" spans="1:20" ht="15" thickBot="1" x14ac:dyDescent="0.4">
      <c r="A95" s="412">
        <v>-2482.81</v>
      </c>
      <c r="B95" s="413">
        <v>1E-3</v>
      </c>
      <c r="C95" s="413">
        <v>0.90700000000000003</v>
      </c>
      <c r="D95" s="414">
        <f t="shared" si="3"/>
        <v>-248.28100000000001</v>
      </c>
      <c r="E95" s="414"/>
      <c r="F95" s="415">
        <f t="shared" si="4"/>
        <v>-40010.719000000005</v>
      </c>
      <c r="G95" s="411"/>
      <c r="H95" s="411"/>
      <c r="I95" s="411"/>
      <c r="J95" s="411"/>
      <c r="K95" s="411"/>
      <c r="L95" s="411"/>
      <c r="M95" s="411"/>
      <c r="N95" s="411"/>
      <c r="O95" s="411"/>
      <c r="P95" s="411"/>
      <c r="Q95" s="411"/>
      <c r="R95" s="411"/>
      <c r="S95" s="411"/>
      <c r="T95" s="411"/>
    </row>
    <row r="96" spans="1:20" ht="15" thickBot="1" x14ac:dyDescent="0.4">
      <c r="A96" s="412">
        <v>-2472.7600000000002</v>
      </c>
      <c r="B96" s="413">
        <v>1E-3</v>
      </c>
      <c r="C96" s="413">
        <v>0.90600000000000003</v>
      </c>
      <c r="D96" s="414">
        <f t="shared" si="3"/>
        <v>-247.27600000000001</v>
      </c>
      <c r="E96" s="414"/>
      <c r="F96" s="415">
        <f t="shared" si="4"/>
        <v>-40257.995000000003</v>
      </c>
      <c r="G96" s="411"/>
      <c r="H96" s="411"/>
      <c r="I96" s="411"/>
      <c r="J96" s="411"/>
      <c r="K96" s="411"/>
      <c r="L96" s="411"/>
      <c r="M96" s="411"/>
      <c r="N96" s="411"/>
      <c r="O96" s="411"/>
      <c r="P96" s="411"/>
      <c r="Q96" s="411"/>
      <c r="R96" s="411"/>
      <c r="S96" s="411"/>
      <c r="T96" s="411"/>
    </row>
    <row r="97" spans="1:20" ht="15" thickBot="1" x14ac:dyDescent="0.4">
      <c r="A97" s="412">
        <v>-2449.21</v>
      </c>
      <c r="B97" s="413">
        <v>1E-3</v>
      </c>
      <c r="C97" s="413">
        <v>0.90500000000000003</v>
      </c>
      <c r="D97" s="414">
        <f t="shared" si="3"/>
        <v>-244.92099999999999</v>
      </c>
      <c r="E97" s="414"/>
      <c r="F97" s="415">
        <f t="shared" si="4"/>
        <v>-40502.916000000005</v>
      </c>
      <c r="G97" s="411"/>
      <c r="H97" s="411"/>
      <c r="I97" s="411"/>
      <c r="J97" s="411"/>
      <c r="K97" s="411"/>
      <c r="L97" s="411"/>
      <c r="M97" s="411"/>
      <c r="N97" s="411"/>
      <c r="O97" s="411"/>
      <c r="P97" s="411"/>
      <c r="Q97" s="411"/>
      <c r="R97" s="411"/>
      <c r="S97" s="411"/>
      <c r="T97" s="411"/>
    </row>
    <row r="98" spans="1:20" ht="15" thickBot="1" x14ac:dyDescent="0.4">
      <c r="A98" s="412">
        <v>-2437.0700000000002</v>
      </c>
      <c r="B98" s="413">
        <v>1E-3</v>
      </c>
      <c r="C98" s="413">
        <v>0.90400000000000003</v>
      </c>
      <c r="D98" s="414">
        <f t="shared" si="3"/>
        <v>-243.70700000000002</v>
      </c>
      <c r="E98" s="414"/>
      <c r="F98" s="415">
        <f t="shared" si="4"/>
        <v>-40746.623000000007</v>
      </c>
      <c r="G98" s="411"/>
      <c r="H98" s="411"/>
      <c r="I98" s="411"/>
      <c r="J98" s="411"/>
      <c r="K98" s="411"/>
      <c r="L98" s="411"/>
      <c r="M98" s="411"/>
      <c r="N98" s="411"/>
      <c r="O98" s="411"/>
      <c r="P98" s="411"/>
      <c r="Q98" s="411"/>
      <c r="R98" s="411"/>
      <c r="S98" s="411"/>
      <c r="T98" s="411"/>
    </row>
    <row r="99" spans="1:20" ht="15" thickBot="1" x14ac:dyDescent="0.4">
      <c r="A99" s="412">
        <v>-2436.09</v>
      </c>
      <c r="B99" s="413">
        <v>1E-3</v>
      </c>
      <c r="C99" s="413">
        <v>0.90300000000000002</v>
      </c>
      <c r="D99" s="414">
        <f t="shared" si="3"/>
        <v>-243.60900000000001</v>
      </c>
      <c r="E99" s="414"/>
      <c r="F99" s="415">
        <f t="shared" si="4"/>
        <v>-40990.232000000004</v>
      </c>
      <c r="G99" s="411"/>
      <c r="H99" s="411"/>
      <c r="I99" s="411"/>
      <c r="J99" s="411"/>
      <c r="K99" s="411"/>
      <c r="L99" s="411"/>
      <c r="M99" s="411"/>
      <c r="N99" s="411"/>
      <c r="O99" s="411"/>
      <c r="P99" s="411"/>
      <c r="Q99" s="411"/>
      <c r="R99" s="411"/>
      <c r="S99" s="411"/>
      <c r="T99" s="411"/>
    </row>
    <row r="100" spans="1:20" ht="15" thickBot="1" x14ac:dyDescent="0.4">
      <c r="A100" s="412">
        <v>-2431.83</v>
      </c>
      <c r="B100" s="413">
        <v>1E-3</v>
      </c>
      <c r="C100" s="413">
        <v>0.90200000000000002</v>
      </c>
      <c r="D100" s="414">
        <f t="shared" si="3"/>
        <v>-243.18300000000002</v>
      </c>
      <c r="E100" s="414"/>
      <c r="F100" s="415">
        <f t="shared" si="4"/>
        <v>-41233.415000000001</v>
      </c>
      <c r="G100" s="411"/>
      <c r="H100" s="411"/>
      <c r="I100" s="411"/>
      <c r="J100" s="411"/>
      <c r="K100" s="411"/>
      <c r="L100" s="411"/>
      <c r="M100" s="411"/>
      <c r="N100" s="411"/>
      <c r="O100" s="411"/>
      <c r="P100" s="411"/>
      <c r="Q100" s="411"/>
      <c r="R100" s="411"/>
      <c r="S100" s="411"/>
      <c r="T100" s="411"/>
    </row>
    <row r="101" spans="1:20" ht="15" thickBot="1" x14ac:dyDescent="0.4">
      <c r="A101" s="412">
        <v>-2402.1799999999998</v>
      </c>
      <c r="B101" s="413">
        <v>1E-3</v>
      </c>
      <c r="C101" s="413">
        <v>0.90100000000000002</v>
      </c>
      <c r="D101" s="414">
        <f t="shared" si="3"/>
        <v>-240.21799999999999</v>
      </c>
      <c r="E101" s="414"/>
      <c r="F101" s="415">
        <f t="shared" si="4"/>
        <v>-41473.633000000002</v>
      </c>
      <c r="G101" s="411"/>
      <c r="H101" s="411"/>
      <c r="I101" s="411"/>
      <c r="J101" s="411"/>
      <c r="K101" s="411"/>
      <c r="L101" s="411"/>
      <c r="M101" s="411"/>
      <c r="N101" s="411"/>
      <c r="O101" s="411"/>
      <c r="P101" s="411"/>
      <c r="Q101" s="411"/>
      <c r="R101" s="411"/>
      <c r="S101" s="411"/>
      <c r="T101" s="411"/>
    </row>
    <row r="102" spans="1:20" ht="15" thickBot="1" x14ac:dyDescent="0.4">
      <c r="A102" s="412">
        <v>-2400.1999999999998</v>
      </c>
      <c r="B102" s="413">
        <v>1E-3</v>
      </c>
      <c r="C102" s="413">
        <v>0.9</v>
      </c>
      <c r="D102" s="414">
        <f t="shared" si="3"/>
        <v>-240.01999999999998</v>
      </c>
      <c r="E102" s="414"/>
      <c r="F102" s="415">
        <f t="shared" si="4"/>
        <v>-41713.652999999998</v>
      </c>
      <c r="G102" s="411"/>
      <c r="H102" s="411"/>
      <c r="I102" s="411"/>
      <c r="J102" s="411"/>
      <c r="K102" s="411"/>
      <c r="L102" s="411"/>
      <c r="M102" s="411"/>
      <c r="N102" s="411"/>
      <c r="O102" s="411"/>
      <c r="P102" s="411"/>
      <c r="Q102" s="411"/>
      <c r="R102" s="411"/>
      <c r="S102" s="411"/>
      <c r="T102" s="411"/>
    </row>
    <row r="103" spans="1:20" ht="15" thickBot="1" x14ac:dyDescent="0.4">
      <c r="A103" s="412">
        <v>-2400.19</v>
      </c>
      <c r="B103" s="413">
        <v>1E-3</v>
      </c>
      <c r="C103" s="413">
        <v>0.89900000000000002</v>
      </c>
      <c r="D103" s="414">
        <f t="shared" si="3"/>
        <v>-240.01900000000003</v>
      </c>
      <c r="E103" s="414"/>
      <c r="F103" s="415">
        <f t="shared" si="4"/>
        <v>-41953.671999999999</v>
      </c>
      <c r="G103" s="411"/>
      <c r="H103" s="411"/>
      <c r="I103" s="411"/>
      <c r="J103" s="411"/>
      <c r="K103" s="411"/>
      <c r="L103" s="411"/>
      <c r="M103" s="411"/>
      <c r="N103" s="411"/>
      <c r="O103" s="411"/>
      <c r="P103" s="411"/>
      <c r="Q103" s="411"/>
      <c r="R103" s="411"/>
      <c r="S103" s="411"/>
      <c r="T103" s="411"/>
    </row>
    <row r="104" spans="1:20" ht="15" thickBot="1" x14ac:dyDescent="0.4">
      <c r="A104" s="412">
        <v>-2387.0300000000002</v>
      </c>
      <c r="B104" s="413">
        <v>1E-3</v>
      </c>
      <c r="C104" s="413">
        <v>0.89800000000000002</v>
      </c>
      <c r="D104" s="414">
        <f t="shared" si="3"/>
        <v>-238.703</v>
      </c>
      <c r="E104" s="414"/>
      <c r="F104" s="415">
        <f t="shared" si="4"/>
        <v>-42192.375</v>
      </c>
      <c r="G104" s="411"/>
      <c r="H104" s="411"/>
      <c r="I104" s="411"/>
      <c r="J104" s="411"/>
      <c r="K104" s="411"/>
      <c r="L104" s="411"/>
      <c r="M104" s="411"/>
      <c r="N104" s="411"/>
      <c r="O104" s="411"/>
      <c r="P104" s="411"/>
      <c r="Q104" s="411"/>
      <c r="R104" s="411"/>
      <c r="S104" s="411"/>
      <c r="T104" s="411"/>
    </row>
    <row r="105" spans="1:20" ht="15" thickBot="1" x14ac:dyDescent="0.4">
      <c r="A105" s="412">
        <v>-2377.59</v>
      </c>
      <c r="B105" s="413">
        <v>1E-3</v>
      </c>
      <c r="C105" s="413">
        <v>0.89700000000000002</v>
      </c>
      <c r="D105" s="414">
        <f t="shared" si="3"/>
        <v>-237.75900000000001</v>
      </c>
      <c r="E105" s="414"/>
      <c r="F105" s="415">
        <f t="shared" si="4"/>
        <v>-42430.133999999998</v>
      </c>
      <c r="G105" s="411"/>
      <c r="H105" s="411"/>
      <c r="I105" s="411"/>
      <c r="J105" s="411"/>
      <c r="K105" s="411"/>
      <c r="L105" s="411"/>
      <c r="M105" s="411"/>
      <c r="N105" s="411"/>
      <c r="O105" s="411"/>
      <c r="P105" s="411"/>
      <c r="Q105" s="411"/>
      <c r="R105" s="411"/>
      <c r="S105" s="411"/>
      <c r="T105" s="411"/>
    </row>
    <row r="106" spans="1:20" ht="15" thickBot="1" x14ac:dyDescent="0.4">
      <c r="A106" s="412">
        <v>-2322.2199999999998</v>
      </c>
      <c r="B106" s="413">
        <v>1E-3</v>
      </c>
      <c r="C106" s="413">
        <v>0.89600000000000002</v>
      </c>
      <c r="D106" s="414">
        <f t="shared" si="3"/>
        <v>-232.22199999999998</v>
      </c>
      <c r="E106" s="414"/>
      <c r="F106" s="415">
        <f t="shared" si="4"/>
        <v>-42662.356</v>
      </c>
      <c r="G106" s="411"/>
      <c r="H106" s="411"/>
      <c r="I106" s="411"/>
      <c r="J106" s="411"/>
      <c r="K106" s="411"/>
      <c r="L106" s="411"/>
      <c r="M106" s="411"/>
      <c r="N106" s="411"/>
      <c r="O106" s="411"/>
      <c r="P106" s="411"/>
      <c r="Q106" s="411"/>
      <c r="R106" s="411"/>
      <c r="S106" s="411"/>
      <c r="T106" s="411"/>
    </row>
    <row r="107" spans="1:20" ht="15" thickBot="1" x14ac:dyDescent="0.4">
      <c r="A107" s="412">
        <v>-2300.0300000000002</v>
      </c>
      <c r="B107" s="413">
        <v>1E-3</v>
      </c>
      <c r="C107" s="413">
        <v>0.89500000000000002</v>
      </c>
      <c r="D107" s="414">
        <f t="shared" si="3"/>
        <v>-230.00300000000004</v>
      </c>
      <c r="E107" s="414"/>
      <c r="F107" s="415">
        <f t="shared" si="4"/>
        <v>-42892.358999999997</v>
      </c>
      <c r="G107" s="411"/>
      <c r="H107" s="411"/>
      <c r="I107" s="411"/>
      <c r="J107" s="411"/>
      <c r="K107" s="411"/>
      <c r="L107" s="411"/>
      <c r="M107" s="411"/>
      <c r="N107" s="411"/>
      <c r="O107" s="411"/>
      <c r="P107" s="411"/>
      <c r="Q107" s="411"/>
      <c r="R107" s="411"/>
      <c r="S107" s="411"/>
      <c r="T107" s="411"/>
    </row>
    <row r="108" spans="1:20" ht="15" thickBot="1" x14ac:dyDescent="0.4">
      <c r="A108" s="412">
        <v>-2297.19</v>
      </c>
      <c r="B108" s="413">
        <v>1E-3</v>
      </c>
      <c r="C108" s="413">
        <v>0.89400000000000002</v>
      </c>
      <c r="D108" s="414">
        <f t="shared" si="3"/>
        <v>-229.71899999999999</v>
      </c>
      <c r="E108" s="414"/>
      <c r="F108" s="415">
        <f t="shared" si="4"/>
        <v>-43122.077999999994</v>
      </c>
      <c r="G108" s="411"/>
      <c r="H108" s="411"/>
      <c r="I108" s="411"/>
      <c r="J108" s="411"/>
      <c r="K108" s="411"/>
      <c r="L108" s="411"/>
      <c r="M108" s="411"/>
      <c r="N108" s="411"/>
      <c r="O108" s="411"/>
      <c r="P108" s="411"/>
      <c r="Q108" s="411"/>
      <c r="R108" s="411"/>
      <c r="S108" s="411"/>
      <c r="T108" s="411"/>
    </row>
    <row r="109" spans="1:20" ht="15" thickBot="1" x14ac:dyDescent="0.4">
      <c r="A109" s="412">
        <v>-2285.9</v>
      </c>
      <c r="B109" s="413">
        <v>1E-3</v>
      </c>
      <c r="C109" s="413">
        <v>0.89300000000000002</v>
      </c>
      <c r="D109" s="414">
        <f t="shared" si="3"/>
        <v>-228.59000000000003</v>
      </c>
      <c r="E109" s="414"/>
      <c r="F109" s="415">
        <f t="shared" si="4"/>
        <v>-43350.667999999991</v>
      </c>
      <c r="G109" s="411"/>
      <c r="H109" s="411"/>
      <c r="I109" s="411"/>
      <c r="J109" s="411"/>
      <c r="K109" s="411"/>
      <c r="L109" s="411"/>
      <c r="M109" s="411"/>
      <c r="N109" s="411"/>
      <c r="O109" s="411"/>
      <c r="P109" s="411"/>
      <c r="Q109" s="411"/>
      <c r="R109" s="411"/>
      <c r="S109" s="411"/>
      <c r="T109" s="411"/>
    </row>
    <row r="110" spans="1:20" ht="15" thickBot="1" x14ac:dyDescent="0.4">
      <c r="A110" s="412">
        <v>-2282.86</v>
      </c>
      <c r="B110" s="413">
        <v>1E-3</v>
      </c>
      <c r="C110" s="413">
        <v>0.89200000000000002</v>
      </c>
      <c r="D110" s="414">
        <f t="shared" si="3"/>
        <v>-228.28600000000003</v>
      </c>
      <c r="E110" s="414"/>
      <c r="F110" s="415">
        <f t="shared" si="4"/>
        <v>-43578.953999999991</v>
      </c>
      <c r="G110" s="411"/>
      <c r="H110" s="411"/>
      <c r="I110" s="411"/>
      <c r="J110" s="411"/>
      <c r="K110" s="411"/>
      <c r="L110" s="411"/>
      <c r="M110" s="411"/>
      <c r="N110" s="411"/>
      <c r="O110" s="411"/>
      <c r="P110" s="411"/>
      <c r="Q110" s="411"/>
      <c r="R110" s="411"/>
      <c r="S110" s="411"/>
      <c r="T110" s="411"/>
    </row>
    <row r="111" spans="1:20" ht="15" thickBot="1" x14ac:dyDescent="0.4">
      <c r="A111" s="412">
        <v>-2264.59</v>
      </c>
      <c r="B111" s="413">
        <v>1E-3</v>
      </c>
      <c r="C111" s="413">
        <v>0.89100000000000001</v>
      </c>
      <c r="D111" s="414">
        <f t="shared" si="3"/>
        <v>-226.459</v>
      </c>
      <c r="E111" s="414"/>
      <c r="F111" s="415">
        <f t="shared" si="4"/>
        <v>-43805.412999999993</v>
      </c>
      <c r="G111" s="411"/>
      <c r="H111" s="411"/>
      <c r="I111" s="411"/>
      <c r="J111" s="411"/>
      <c r="K111" s="411"/>
      <c r="L111" s="411"/>
      <c r="M111" s="411"/>
      <c r="N111" s="411"/>
      <c r="O111" s="411"/>
      <c r="P111" s="411"/>
      <c r="Q111" s="411"/>
      <c r="R111" s="411"/>
      <c r="S111" s="411"/>
      <c r="T111" s="411"/>
    </row>
    <row r="112" spans="1:20" ht="15" thickBot="1" x14ac:dyDescent="0.4">
      <c r="A112" s="412">
        <v>-2230.98</v>
      </c>
      <c r="B112" s="413">
        <v>1E-3</v>
      </c>
      <c r="C112" s="413">
        <v>0.89</v>
      </c>
      <c r="D112" s="414">
        <f t="shared" si="3"/>
        <v>-223.09800000000001</v>
      </c>
      <c r="E112" s="414"/>
      <c r="F112" s="415">
        <f t="shared" si="4"/>
        <v>-44028.510999999991</v>
      </c>
      <c r="G112" s="411"/>
      <c r="H112" s="411"/>
      <c r="I112" s="411"/>
      <c r="J112" s="411"/>
      <c r="K112" s="411"/>
      <c r="L112" s="411"/>
      <c r="M112" s="411"/>
      <c r="N112" s="411"/>
      <c r="O112" s="411"/>
      <c r="P112" s="411"/>
      <c r="Q112" s="411"/>
      <c r="R112" s="411"/>
      <c r="S112" s="411"/>
      <c r="T112" s="411"/>
    </row>
    <row r="113" spans="1:20" ht="15" thickBot="1" x14ac:dyDescent="0.4">
      <c r="A113" s="412">
        <v>-2223.59</v>
      </c>
      <c r="B113" s="413">
        <v>1E-3</v>
      </c>
      <c r="C113" s="413">
        <v>0.88900000000000001</v>
      </c>
      <c r="D113" s="414">
        <f t="shared" si="3"/>
        <v>-222.35900000000001</v>
      </c>
      <c r="E113" s="414"/>
      <c r="F113" s="415">
        <f t="shared" si="4"/>
        <v>-44250.869999999988</v>
      </c>
      <c r="G113" s="411"/>
      <c r="H113" s="411"/>
      <c r="I113" s="411"/>
      <c r="J113" s="411"/>
      <c r="K113" s="411"/>
      <c r="L113" s="411"/>
      <c r="M113" s="411"/>
      <c r="N113" s="411"/>
      <c r="O113" s="411"/>
      <c r="P113" s="411"/>
      <c r="Q113" s="411"/>
      <c r="R113" s="411"/>
      <c r="S113" s="411"/>
      <c r="T113" s="411"/>
    </row>
    <row r="114" spans="1:20" ht="15" thickBot="1" x14ac:dyDescent="0.4">
      <c r="A114" s="412">
        <v>-2213</v>
      </c>
      <c r="B114" s="413">
        <v>1E-3</v>
      </c>
      <c r="C114" s="413">
        <v>0.88800000000000001</v>
      </c>
      <c r="D114" s="414">
        <f t="shared" si="3"/>
        <v>-221.3</v>
      </c>
      <c r="E114" s="414"/>
      <c r="F114" s="415">
        <f t="shared" si="4"/>
        <v>-44472.169999999991</v>
      </c>
      <c r="G114" s="411"/>
      <c r="H114" s="411"/>
      <c r="I114" s="411"/>
      <c r="J114" s="411"/>
      <c r="K114" s="411"/>
      <c r="L114" s="411"/>
      <c r="M114" s="411"/>
      <c r="N114" s="411"/>
      <c r="O114" s="411"/>
      <c r="P114" s="411"/>
      <c r="Q114" s="411"/>
      <c r="R114" s="411"/>
      <c r="S114" s="411"/>
      <c r="T114" s="411"/>
    </row>
    <row r="115" spans="1:20" ht="15" thickBot="1" x14ac:dyDescent="0.4">
      <c r="A115" s="412">
        <v>-2203.17</v>
      </c>
      <c r="B115" s="413">
        <v>1E-3</v>
      </c>
      <c r="C115" s="413">
        <v>0.88700000000000001</v>
      </c>
      <c r="D115" s="414">
        <f t="shared" si="3"/>
        <v>-220.31700000000001</v>
      </c>
      <c r="E115" s="414"/>
      <c r="F115" s="415">
        <f t="shared" si="4"/>
        <v>-44692.486999999994</v>
      </c>
      <c r="G115" s="411"/>
      <c r="H115" s="411"/>
      <c r="I115" s="411"/>
      <c r="J115" s="411"/>
      <c r="K115" s="411"/>
      <c r="L115" s="411"/>
      <c r="M115" s="411"/>
      <c r="N115" s="411"/>
      <c r="O115" s="411"/>
      <c r="P115" s="411"/>
      <c r="Q115" s="411"/>
      <c r="R115" s="411"/>
      <c r="S115" s="411"/>
      <c r="T115" s="411"/>
    </row>
    <row r="116" spans="1:20" ht="15" thickBot="1" x14ac:dyDescent="0.4">
      <c r="A116" s="412">
        <v>-2202.9699999999998</v>
      </c>
      <c r="B116" s="413">
        <v>1E-3</v>
      </c>
      <c r="C116" s="413">
        <v>0.88600000000000001</v>
      </c>
      <c r="D116" s="414">
        <f t="shared" si="3"/>
        <v>-220.29699999999997</v>
      </c>
      <c r="E116" s="414"/>
      <c r="F116" s="415">
        <f t="shared" si="4"/>
        <v>-44912.783999999992</v>
      </c>
      <c r="G116" s="411"/>
      <c r="H116" s="411"/>
      <c r="I116" s="411"/>
      <c r="J116" s="411"/>
      <c r="K116" s="411"/>
      <c r="L116" s="411"/>
      <c r="M116" s="411"/>
      <c r="N116" s="411"/>
      <c r="O116" s="411"/>
      <c r="P116" s="411"/>
      <c r="Q116" s="411"/>
      <c r="R116" s="411"/>
      <c r="S116" s="411"/>
      <c r="T116" s="411"/>
    </row>
    <row r="117" spans="1:20" ht="15" thickBot="1" x14ac:dyDescent="0.4">
      <c r="A117" s="412">
        <v>-2202.5700000000002</v>
      </c>
      <c r="B117" s="413">
        <v>1E-3</v>
      </c>
      <c r="C117" s="413">
        <v>0.88500000000000001</v>
      </c>
      <c r="D117" s="414">
        <f t="shared" si="3"/>
        <v>-220.25700000000001</v>
      </c>
      <c r="E117" s="414"/>
      <c r="F117" s="415">
        <f t="shared" si="4"/>
        <v>-45133.04099999999</v>
      </c>
      <c r="G117" s="411"/>
      <c r="H117" s="411"/>
      <c r="I117" s="411"/>
      <c r="J117" s="411"/>
      <c r="K117" s="411"/>
      <c r="L117" s="411"/>
      <c r="M117" s="411"/>
      <c r="N117" s="411"/>
      <c r="O117" s="411"/>
      <c r="P117" s="411"/>
      <c r="Q117" s="411"/>
      <c r="R117" s="411"/>
      <c r="S117" s="411"/>
      <c r="T117" s="411"/>
    </row>
    <row r="118" spans="1:20" ht="15" thickBot="1" x14ac:dyDescent="0.4">
      <c r="A118" s="412">
        <v>-2191.5700000000002</v>
      </c>
      <c r="B118" s="413">
        <v>1E-3</v>
      </c>
      <c r="C118" s="413">
        <v>0.88400000000000001</v>
      </c>
      <c r="D118" s="414">
        <f t="shared" si="3"/>
        <v>-219.15700000000001</v>
      </c>
      <c r="E118" s="414"/>
      <c r="F118" s="415">
        <f t="shared" si="4"/>
        <v>-45352.197999999989</v>
      </c>
      <c r="G118" s="411"/>
      <c r="H118" s="411"/>
      <c r="I118" s="411"/>
      <c r="J118" s="411"/>
      <c r="K118" s="411"/>
      <c r="L118" s="411"/>
      <c r="M118" s="411"/>
      <c r="N118" s="411"/>
      <c r="O118" s="411"/>
      <c r="P118" s="411"/>
      <c r="Q118" s="411"/>
      <c r="R118" s="411"/>
      <c r="S118" s="411"/>
      <c r="T118" s="411"/>
    </row>
    <row r="119" spans="1:20" ht="15" thickBot="1" x14ac:dyDescent="0.4">
      <c r="A119" s="412">
        <v>-2177.38</v>
      </c>
      <c r="B119" s="413">
        <v>1E-3</v>
      </c>
      <c r="C119" s="413">
        <v>0.88300000000000001</v>
      </c>
      <c r="D119" s="414">
        <f t="shared" si="3"/>
        <v>-217.73800000000003</v>
      </c>
      <c r="E119" s="414"/>
      <c r="F119" s="415">
        <f t="shared" si="4"/>
        <v>-45569.935999999987</v>
      </c>
      <c r="G119" s="411"/>
      <c r="H119" s="411"/>
      <c r="I119" s="411"/>
      <c r="J119" s="411"/>
      <c r="K119" s="411"/>
      <c r="L119" s="411"/>
      <c r="M119" s="411"/>
      <c r="N119" s="411"/>
      <c r="O119" s="411"/>
      <c r="P119" s="411"/>
      <c r="Q119" s="411"/>
      <c r="R119" s="411"/>
      <c r="S119" s="411"/>
      <c r="T119" s="411"/>
    </row>
    <row r="120" spans="1:20" ht="15" thickBot="1" x14ac:dyDescent="0.4">
      <c r="A120" s="412">
        <v>-2175.85</v>
      </c>
      <c r="B120" s="413">
        <v>1E-3</v>
      </c>
      <c r="C120" s="413">
        <v>0.88200000000000001</v>
      </c>
      <c r="D120" s="414">
        <f t="shared" si="3"/>
        <v>-217.58500000000001</v>
      </c>
      <c r="E120" s="414"/>
      <c r="F120" s="415">
        <f t="shared" si="4"/>
        <v>-45787.520999999986</v>
      </c>
      <c r="G120" s="411"/>
      <c r="H120" s="411"/>
      <c r="I120" s="411"/>
      <c r="J120" s="411"/>
      <c r="K120" s="411"/>
      <c r="L120" s="411"/>
      <c r="M120" s="411"/>
      <c r="N120" s="411"/>
      <c r="O120" s="411"/>
      <c r="P120" s="411"/>
      <c r="Q120" s="411"/>
      <c r="R120" s="411"/>
      <c r="S120" s="411"/>
      <c r="T120" s="411"/>
    </row>
    <row r="121" spans="1:20" ht="15" thickBot="1" x14ac:dyDescent="0.4">
      <c r="A121" s="412">
        <v>-2161.04</v>
      </c>
      <c r="B121" s="413">
        <v>1E-3</v>
      </c>
      <c r="C121" s="413">
        <v>0.88100000000000001</v>
      </c>
      <c r="D121" s="414">
        <f t="shared" si="3"/>
        <v>-216.10399999999998</v>
      </c>
      <c r="E121" s="414"/>
      <c r="F121" s="415">
        <f t="shared" si="4"/>
        <v>-46003.624999999985</v>
      </c>
      <c r="G121" s="411"/>
      <c r="H121" s="411"/>
      <c r="I121" s="411"/>
      <c r="J121" s="411"/>
      <c r="K121" s="411"/>
      <c r="L121" s="411"/>
      <c r="M121" s="411"/>
      <c r="N121" s="411"/>
      <c r="O121" s="411"/>
      <c r="P121" s="411"/>
      <c r="Q121" s="411"/>
      <c r="R121" s="411"/>
      <c r="S121" s="411"/>
      <c r="T121" s="411"/>
    </row>
    <row r="122" spans="1:20" ht="15" thickBot="1" x14ac:dyDescent="0.4">
      <c r="A122" s="412">
        <v>-2134.21</v>
      </c>
      <c r="B122" s="413">
        <v>1E-3</v>
      </c>
      <c r="C122" s="413">
        <v>0.88</v>
      </c>
      <c r="D122" s="414">
        <f t="shared" si="3"/>
        <v>-213.42099999999999</v>
      </c>
      <c r="E122" s="414"/>
      <c r="F122" s="415">
        <f t="shared" si="4"/>
        <v>-46217.045999999988</v>
      </c>
      <c r="G122" s="411"/>
      <c r="H122" s="411"/>
      <c r="I122" s="411"/>
      <c r="J122" s="411"/>
      <c r="K122" s="411"/>
      <c r="L122" s="411"/>
      <c r="M122" s="411"/>
      <c r="N122" s="411"/>
      <c r="O122" s="411"/>
      <c r="P122" s="411"/>
      <c r="Q122" s="411"/>
      <c r="R122" s="411"/>
      <c r="S122" s="411"/>
      <c r="T122" s="411"/>
    </row>
    <row r="123" spans="1:20" ht="15" thickBot="1" x14ac:dyDescent="0.4">
      <c r="A123" s="412">
        <v>-2100.13</v>
      </c>
      <c r="B123" s="413">
        <v>1E-3</v>
      </c>
      <c r="C123" s="413">
        <v>0.879</v>
      </c>
      <c r="D123" s="414">
        <f t="shared" si="3"/>
        <v>-210.01300000000001</v>
      </c>
      <c r="E123" s="414"/>
      <c r="F123" s="415">
        <f t="shared" si="4"/>
        <v>-46427.058999999987</v>
      </c>
      <c r="G123" s="411"/>
      <c r="H123" s="411"/>
      <c r="I123" s="411"/>
      <c r="J123" s="411"/>
      <c r="K123" s="411"/>
      <c r="L123" s="411"/>
      <c r="M123" s="411"/>
      <c r="N123" s="411"/>
      <c r="O123" s="411"/>
      <c r="P123" s="411"/>
      <c r="Q123" s="411"/>
      <c r="R123" s="411"/>
      <c r="S123" s="411"/>
      <c r="T123" s="411"/>
    </row>
    <row r="124" spans="1:20" ht="15" thickBot="1" x14ac:dyDescent="0.4">
      <c r="A124" s="412">
        <v>-2082.7199999999998</v>
      </c>
      <c r="B124" s="413">
        <v>1E-3</v>
      </c>
      <c r="C124" s="413">
        <v>0.878</v>
      </c>
      <c r="D124" s="414">
        <f t="shared" si="3"/>
        <v>-208.27199999999996</v>
      </c>
      <c r="E124" s="414"/>
      <c r="F124" s="415">
        <f t="shared" si="4"/>
        <v>-46635.330999999984</v>
      </c>
      <c r="G124" s="411"/>
      <c r="H124" s="411"/>
      <c r="I124" s="411"/>
      <c r="J124" s="411"/>
      <c r="K124" s="411"/>
      <c r="L124" s="411"/>
      <c r="M124" s="411"/>
      <c r="N124" s="411"/>
      <c r="O124" s="411"/>
      <c r="P124" s="411"/>
      <c r="Q124" s="411"/>
      <c r="R124" s="411"/>
      <c r="S124" s="411"/>
      <c r="T124" s="411"/>
    </row>
    <row r="125" spans="1:20" ht="15" thickBot="1" x14ac:dyDescent="0.4">
      <c r="A125" s="412">
        <v>-2078.38</v>
      </c>
      <c r="B125" s="413">
        <v>1E-3</v>
      </c>
      <c r="C125" s="413">
        <v>0.877</v>
      </c>
      <c r="D125" s="414">
        <f t="shared" si="3"/>
        <v>-207.83799999999999</v>
      </c>
      <c r="E125" s="414"/>
      <c r="F125" s="415">
        <f t="shared" si="4"/>
        <v>-46843.168999999987</v>
      </c>
      <c r="G125" s="411"/>
      <c r="H125" s="411"/>
      <c r="I125" s="411"/>
      <c r="J125" s="411"/>
      <c r="K125" s="411"/>
      <c r="L125" s="411"/>
      <c r="M125" s="411"/>
      <c r="N125" s="411"/>
      <c r="O125" s="411"/>
      <c r="P125" s="411"/>
      <c r="Q125" s="411"/>
      <c r="R125" s="411"/>
      <c r="S125" s="411"/>
      <c r="T125" s="411"/>
    </row>
    <row r="126" spans="1:20" ht="15" thickBot="1" x14ac:dyDescent="0.4">
      <c r="A126" s="412">
        <v>-2077.59</v>
      </c>
      <c r="B126" s="413">
        <v>1E-3</v>
      </c>
      <c r="C126" s="413">
        <v>0.876</v>
      </c>
      <c r="D126" s="414">
        <f t="shared" si="3"/>
        <v>-207.75900000000001</v>
      </c>
      <c r="E126" s="414"/>
      <c r="F126" s="415">
        <f t="shared" si="4"/>
        <v>-47050.927999999985</v>
      </c>
      <c r="G126" s="411"/>
      <c r="H126" s="411"/>
      <c r="I126" s="411"/>
      <c r="J126" s="411"/>
      <c r="K126" s="411"/>
      <c r="L126" s="411"/>
      <c r="M126" s="411"/>
      <c r="N126" s="411"/>
      <c r="O126" s="411"/>
      <c r="P126" s="411"/>
      <c r="Q126" s="411"/>
      <c r="R126" s="411"/>
      <c r="S126" s="411"/>
      <c r="T126" s="411"/>
    </row>
    <row r="127" spans="1:20" ht="15" thickBot="1" x14ac:dyDescent="0.4">
      <c r="A127" s="412">
        <v>-2076.42</v>
      </c>
      <c r="B127" s="413">
        <v>1E-3</v>
      </c>
      <c r="C127" s="413">
        <v>0.875</v>
      </c>
      <c r="D127" s="414">
        <f t="shared" si="3"/>
        <v>-207.64200000000002</v>
      </c>
      <c r="E127" s="414"/>
      <c r="F127" s="415">
        <f t="shared" si="4"/>
        <v>-47258.569999999985</v>
      </c>
      <c r="G127" s="411"/>
      <c r="H127" s="411"/>
      <c r="I127" s="411"/>
      <c r="J127" s="411"/>
      <c r="K127" s="411"/>
      <c r="L127" s="411"/>
      <c r="M127" s="411"/>
      <c r="N127" s="411"/>
      <c r="O127" s="411"/>
      <c r="P127" s="411"/>
      <c r="Q127" s="411"/>
      <c r="R127" s="411"/>
      <c r="S127" s="411"/>
      <c r="T127" s="411"/>
    </row>
    <row r="128" spans="1:20" ht="15" thickBot="1" x14ac:dyDescent="0.4">
      <c r="A128" s="412">
        <v>-2072.5700000000002</v>
      </c>
      <c r="B128" s="413">
        <v>1E-3</v>
      </c>
      <c r="C128" s="413">
        <v>0.874</v>
      </c>
      <c r="D128" s="414">
        <f t="shared" si="3"/>
        <v>-207.25700000000003</v>
      </c>
      <c r="E128" s="414"/>
      <c r="F128" s="415">
        <f t="shared" si="4"/>
        <v>-47465.826999999983</v>
      </c>
      <c r="G128" s="411"/>
      <c r="H128" s="411"/>
      <c r="I128" s="411"/>
      <c r="J128" s="411"/>
      <c r="K128" s="411"/>
      <c r="L128" s="411"/>
      <c r="M128" s="411"/>
      <c r="N128" s="411"/>
      <c r="O128" s="411"/>
      <c r="P128" s="411"/>
      <c r="Q128" s="411"/>
      <c r="R128" s="411"/>
      <c r="S128" s="411"/>
      <c r="T128" s="411"/>
    </row>
    <row r="129" spans="1:20" ht="15" thickBot="1" x14ac:dyDescent="0.4">
      <c r="A129" s="412">
        <v>-2068.86</v>
      </c>
      <c r="B129" s="413">
        <v>1E-3</v>
      </c>
      <c r="C129" s="413">
        <v>0.873</v>
      </c>
      <c r="D129" s="414">
        <f t="shared" si="3"/>
        <v>-206.88600000000002</v>
      </c>
      <c r="E129" s="414"/>
      <c r="F129" s="415">
        <f t="shared" si="4"/>
        <v>-47672.712999999982</v>
      </c>
      <c r="G129" s="411"/>
      <c r="H129" s="411"/>
      <c r="I129" s="411"/>
      <c r="J129" s="411"/>
      <c r="K129" s="411"/>
      <c r="L129" s="411"/>
      <c r="M129" s="411"/>
      <c r="N129" s="411"/>
      <c r="O129" s="411"/>
      <c r="P129" s="411"/>
      <c r="Q129" s="411"/>
      <c r="R129" s="411"/>
      <c r="S129" s="411"/>
      <c r="T129" s="411"/>
    </row>
    <row r="130" spans="1:20" ht="15" thickBot="1" x14ac:dyDescent="0.4">
      <c r="A130" s="412">
        <v>-2022.15</v>
      </c>
      <c r="B130" s="413">
        <v>1E-3</v>
      </c>
      <c r="C130" s="413">
        <v>0.872</v>
      </c>
      <c r="D130" s="414">
        <f t="shared" ref="D130:D193" si="5">A130*B130/1%</f>
        <v>-202.21500000000003</v>
      </c>
      <c r="E130" s="414"/>
      <c r="F130" s="415">
        <f t="shared" si="4"/>
        <v>-47874.927999999978</v>
      </c>
      <c r="G130" s="411"/>
      <c r="H130" s="411"/>
      <c r="I130" s="411"/>
      <c r="J130" s="411"/>
      <c r="K130" s="411"/>
      <c r="L130" s="411"/>
      <c r="M130" s="411"/>
      <c r="N130" s="411"/>
      <c r="O130" s="411"/>
      <c r="P130" s="411"/>
      <c r="Q130" s="411"/>
      <c r="R130" s="411"/>
      <c r="S130" s="411"/>
      <c r="T130" s="411"/>
    </row>
    <row r="131" spans="1:20" ht="15" thickBot="1" x14ac:dyDescent="0.4">
      <c r="A131" s="412">
        <v>-2018.63</v>
      </c>
      <c r="B131" s="413">
        <v>1E-3</v>
      </c>
      <c r="C131" s="413">
        <v>0.871</v>
      </c>
      <c r="D131" s="414">
        <f t="shared" si="5"/>
        <v>-201.86300000000003</v>
      </c>
      <c r="E131" s="414"/>
      <c r="F131" s="415">
        <f t="shared" ref="F131:F194" si="6">F130+D131</f>
        <v>-48076.790999999976</v>
      </c>
      <c r="G131" s="411"/>
      <c r="H131" s="411"/>
      <c r="I131" s="411"/>
      <c r="J131" s="411"/>
      <c r="K131" s="411"/>
      <c r="L131" s="411"/>
      <c r="M131" s="411"/>
      <c r="N131" s="411"/>
      <c r="O131" s="411"/>
      <c r="P131" s="411"/>
      <c r="Q131" s="411"/>
      <c r="R131" s="411"/>
      <c r="S131" s="411"/>
      <c r="T131" s="411"/>
    </row>
    <row r="132" spans="1:20" ht="15" thickBot="1" x14ac:dyDescent="0.4">
      <c r="A132" s="412">
        <v>-2014.52</v>
      </c>
      <c r="B132" s="413">
        <v>1E-3</v>
      </c>
      <c r="C132" s="413">
        <v>0.87</v>
      </c>
      <c r="D132" s="414">
        <f t="shared" si="5"/>
        <v>-201.452</v>
      </c>
      <c r="E132" s="414"/>
      <c r="F132" s="415">
        <f t="shared" si="6"/>
        <v>-48278.242999999973</v>
      </c>
      <c r="G132" s="411"/>
      <c r="H132" s="411"/>
      <c r="I132" s="411"/>
      <c r="J132" s="411"/>
      <c r="K132" s="411"/>
      <c r="L132" s="411"/>
      <c r="M132" s="411"/>
      <c r="N132" s="411"/>
      <c r="O132" s="411"/>
      <c r="P132" s="411"/>
      <c r="Q132" s="411"/>
      <c r="R132" s="411"/>
      <c r="S132" s="411"/>
      <c r="T132" s="411"/>
    </row>
    <row r="133" spans="1:20" ht="15" thickBot="1" x14ac:dyDescent="0.4">
      <c r="A133" s="412">
        <v>-2011.44</v>
      </c>
      <c r="B133" s="413">
        <v>1E-3</v>
      </c>
      <c r="C133" s="413">
        <v>0.86899999999999999</v>
      </c>
      <c r="D133" s="414">
        <f t="shared" si="5"/>
        <v>-201.14399999999998</v>
      </c>
      <c r="E133" s="414"/>
      <c r="F133" s="415">
        <f t="shared" si="6"/>
        <v>-48479.386999999973</v>
      </c>
      <c r="G133" s="411"/>
      <c r="H133" s="411"/>
      <c r="I133" s="411"/>
      <c r="J133" s="411"/>
      <c r="K133" s="411"/>
      <c r="L133" s="411"/>
      <c r="M133" s="411"/>
      <c r="N133" s="411"/>
      <c r="O133" s="411"/>
      <c r="P133" s="411"/>
      <c r="Q133" s="411"/>
      <c r="R133" s="411"/>
      <c r="S133" s="411"/>
      <c r="T133" s="411"/>
    </row>
    <row r="134" spans="1:20" ht="15" thickBot="1" x14ac:dyDescent="0.4">
      <c r="A134" s="412">
        <v>-2009.29</v>
      </c>
      <c r="B134" s="413">
        <v>1E-3</v>
      </c>
      <c r="C134" s="413">
        <v>0.86799999999999999</v>
      </c>
      <c r="D134" s="414">
        <f t="shared" si="5"/>
        <v>-200.929</v>
      </c>
      <c r="E134" s="414"/>
      <c r="F134" s="415">
        <f t="shared" si="6"/>
        <v>-48680.31599999997</v>
      </c>
      <c r="G134" s="411"/>
      <c r="H134" s="411"/>
      <c r="I134" s="411"/>
      <c r="J134" s="411"/>
      <c r="K134" s="411"/>
      <c r="L134" s="411"/>
      <c r="M134" s="411"/>
      <c r="N134" s="411"/>
      <c r="O134" s="411"/>
      <c r="P134" s="411"/>
      <c r="Q134" s="411"/>
      <c r="R134" s="411"/>
      <c r="S134" s="411"/>
      <c r="T134" s="411"/>
    </row>
    <row r="135" spans="1:20" ht="15" thickBot="1" x14ac:dyDescent="0.4">
      <c r="A135" s="412">
        <v>-1997.8</v>
      </c>
      <c r="B135" s="413">
        <v>1E-3</v>
      </c>
      <c r="C135" s="413">
        <v>0.86699999999999999</v>
      </c>
      <c r="D135" s="414">
        <f t="shared" si="5"/>
        <v>-199.78</v>
      </c>
      <c r="E135" s="414"/>
      <c r="F135" s="415">
        <f t="shared" si="6"/>
        <v>-48880.095999999969</v>
      </c>
      <c r="G135" s="411"/>
      <c r="H135" s="411"/>
      <c r="I135" s="411"/>
      <c r="J135" s="411"/>
      <c r="K135" s="411"/>
      <c r="L135" s="411"/>
      <c r="M135" s="411"/>
      <c r="N135" s="411"/>
      <c r="O135" s="411"/>
      <c r="P135" s="411"/>
      <c r="Q135" s="411"/>
      <c r="R135" s="411"/>
      <c r="S135" s="411"/>
      <c r="T135" s="411"/>
    </row>
    <row r="136" spans="1:20" ht="15" thickBot="1" x14ac:dyDescent="0.4">
      <c r="A136" s="412">
        <v>-1993.5</v>
      </c>
      <c r="B136" s="413">
        <v>1E-3</v>
      </c>
      <c r="C136" s="413">
        <v>0.86599999999999999</v>
      </c>
      <c r="D136" s="414">
        <f t="shared" si="5"/>
        <v>-199.35</v>
      </c>
      <c r="E136" s="414"/>
      <c r="F136" s="415">
        <f t="shared" si="6"/>
        <v>-49079.445999999967</v>
      </c>
      <c r="G136" s="411"/>
      <c r="H136" s="411"/>
      <c r="I136" s="411"/>
      <c r="J136" s="411"/>
      <c r="K136" s="411"/>
      <c r="L136" s="411"/>
      <c r="M136" s="411"/>
      <c r="N136" s="411"/>
      <c r="O136" s="411"/>
      <c r="P136" s="411"/>
      <c r="Q136" s="411"/>
      <c r="R136" s="411"/>
      <c r="S136" s="411"/>
      <c r="T136" s="411"/>
    </row>
    <row r="137" spans="1:20" ht="15" thickBot="1" x14ac:dyDescent="0.4">
      <c r="A137" s="412">
        <v>-1985.17</v>
      </c>
      <c r="B137" s="413">
        <v>1E-3</v>
      </c>
      <c r="C137" s="413">
        <v>0.86499999999999999</v>
      </c>
      <c r="D137" s="414">
        <f t="shared" si="5"/>
        <v>-198.517</v>
      </c>
      <c r="E137" s="414"/>
      <c r="F137" s="415">
        <f t="shared" si="6"/>
        <v>-49277.962999999967</v>
      </c>
      <c r="G137" s="411"/>
      <c r="H137" s="411"/>
      <c r="I137" s="411"/>
      <c r="J137" s="411"/>
      <c r="K137" s="411"/>
      <c r="L137" s="411"/>
      <c r="M137" s="411"/>
      <c r="N137" s="411"/>
      <c r="O137" s="411"/>
      <c r="P137" s="411"/>
      <c r="Q137" s="411"/>
      <c r="R137" s="411"/>
      <c r="S137" s="411"/>
      <c r="T137" s="411"/>
    </row>
    <row r="138" spans="1:20" ht="15" thickBot="1" x14ac:dyDescent="0.4">
      <c r="A138" s="412">
        <v>-1980.39</v>
      </c>
      <c r="B138" s="413">
        <v>1E-3</v>
      </c>
      <c r="C138" s="413">
        <v>0.86399999999999999</v>
      </c>
      <c r="D138" s="414">
        <f t="shared" si="5"/>
        <v>-198.03900000000002</v>
      </c>
      <c r="E138" s="414"/>
      <c r="F138" s="415">
        <f t="shared" si="6"/>
        <v>-49476.001999999964</v>
      </c>
      <c r="G138" s="411"/>
      <c r="H138" s="411"/>
      <c r="I138" s="411"/>
      <c r="J138" s="411"/>
      <c r="K138" s="411"/>
      <c r="L138" s="411"/>
      <c r="M138" s="411"/>
      <c r="N138" s="411"/>
      <c r="O138" s="411"/>
      <c r="P138" s="411"/>
      <c r="Q138" s="411"/>
      <c r="R138" s="411"/>
      <c r="S138" s="411"/>
      <c r="T138" s="411"/>
    </row>
    <row r="139" spans="1:20" ht="15" thickBot="1" x14ac:dyDescent="0.4">
      <c r="A139" s="412">
        <v>-1980.38</v>
      </c>
      <c r="B139" s="413">
        <v>1E-3</v>
      </c>
      <c r="C139" s="413">
        <v>0.86299999999999999</v>
      </c>
      <c r="D139" s="414">
        <f t="shared" si="5"/>
        <v>-198.03800000000001</v>
      </c>
      <c r="E139" s="414"/>
      <c r="F139" s="415">
        <f t="shared" si="6"/>
        <v>-49674.039999999964</v>
      </c>
      <c r="G139" s="411"/>
      <c r="H139" s="411"/>
      <c r="I139" s="411"/>
      <c r="J139" s="411"/>
      <c r="K139" s="411"/>
      <c r="L139" s="411"/>
      <c r="M139" s="411"/>
      <c r="N139" s="411"/>
      <c r="O139" s="411"/>
      <c r="P139" s="411"/>
      <c r="Q139" s="411"/>
      <c r="R139" s="411"/>
      <c r="S139" s="411"/>
      <c r="T139" s="411"/>
    </row>
    <row r="140" spans="1:20" ht="15" thickBot="1" x14ac:dyDescent="0.4">
      <c r="A140" s="412">
        <v>-1978.99</v>
      </c>
      <c r="B140" s="413">
        <v>1E-3</v>
      </c>
      <c r="C140" s="413">
        <v>0.86199999999999999</v>
      </c>
      <c r="D140" s="414">
        <f t="shared" si="5"/>
        <v>-197.899</v>
      </c>
      <c r="E140" s="414"/>
      <c r="F140" s="415">
        <f t="shared" si="6"/>
        <v>-49871.938999999962</v>
      </c>
      <c r="G140" s="411"/>
      <c r="H140" s="411"/>
      <c r="I140" s="411"/>
      <c r="J140" s="411"/>
      <c r="K140" s="411"/>
      <c r="L140" s="411"/>
      <c r="M140" s="411"/>
      <c r="N140" s="411"/>
      <c r="O140" s="411"/>
      <c r="P140" s="411"/>
      <c r="Q140" s="411"/>
      <c r="R140" s="411"/>
      <c r="S140" s="411"/>
      <c r="T140" s="411"/>
    </row>
    <row r="141" spans="1:20" ht="15" thickBot="1" x14ac:dyDescent="0.4">
      <c r="A141" s="412">
        <v>-1964.94</v>
      </c>
      <c r="B141" s="413">
        <v>1E-3</v>
      </c>
      <c r="C141" s="413">
        <v>0.86099999999999999</v>
      </c>
      <c r="D141" s="414">
        <f t="shared" si="5"/>
        <v>-196.494</v>
      </c>
      <c r="E141" s="414"/>
      <c r="F141" s="415">
        <f t="shared" si="6"/>
        <v>-50068.432999999961</v>
      </c>
      <c r="G141" s="411"/>
      <c r="H141" s="411"/>
      <c r="I141" s="411"/>
      <c r="J141" s="411"/>
      <c r="K141" s="411"/>
      <c r="L141" s="411"/>
      <c r="M141" s="411"/>
      <c r="N141" s="411"/>
      <c r="O141" s="411"/>
      <c r="P141" s="411"/>
      <c r="Q141" s="411"/>
      <c r="R141" s="411"/>
      <c r="S141" s="411"/>
      <c r="T141" s="411"/>
    </row>
    <row r="142" spans="1:20" ht="15" thickBot="1" x14ac:dyDescent="0.4">
      <c r="A142" s="412">
        <v>-1956.44</v>
      </c>
      <c r="B142" s="413">
        <v>1E-3</v>
      </c>
      <c r="C142" s="413">
        <v>0.86</v>
      </c>
      <c r="D142" s="414">
        <f t="shared" si="5"/>
        <v>-195.64400000000001</v>
      </c>
      <c r="E142" s="414"/>
      <c r="F142" s="415">
        <f t="shared" si="6"/>
        <v>-50264.076999999961</v>
      </c>
      <c r="G142" s="411"/>
      <c r="H142" s="411"/>
      <c r="I142" s="411"/>
      <c r="J142" s="411"/>
      <c r="K142" s="411"/>
      <c r="L142" s="411"/>
      <c r="M142" s="411"/>
      <c r="N142" s="411"/>
      <c r="O142" s="411"/>
      <c r="P142" s="411"/>
      <c r="Q142" s="411"/>
      <c r="R142" s="411"/>
      <c r="S142" s="411"/>
      <c r="T142" s="411"/>
    </row>
    <row r="143" spans="1:20" ht="15" thickBot="1" x14ac:dyDescent="0.4">
      <c r="A143" s="412">
        <v>-1952.66</v>
      </c>
      <c r="B143" s="413">
        <v>1E-3</v>
      </c>
      <c r="C143" s="413">
        <v>0.85899999999999999</v>
      </c>
      <c r="D143" s="414">
        <f t="shared" si="5"/>
        <v>-195.26599999999999</v>
      </c>
      <c r="E143" s="414"/>
      <c r="F143" s="415">
        <f t="shared" si="6"/>
        <v>-50459.342999999964</v>
      </c>
      <c r="G143" s="411"/>
      <c r="H143" s="411"/>
      <c r="I143" s="411"/>
      <c r="J143" s="411"/>
      <c r="K143" s="411"/>
      <c r="L143" s="411"/>
      <c r="M143" s="411"/>
      <c r="N143" s="411"/>
      <c r="O143" s="411"/>
      <c r="P143" s="411"/>
      <c r="Q143" s="411"/>
      <c r="R143" s="411"/>
      <c r="S143" s="411"/>
      <c r="T143" s="411"/>
    </row>
    <row r="144" spans="1:20" ht="15" thickBot="1" x14ac:dyDescent="0.4">
      <c r="A144" s="412">
        <v>-1945.88</v>
      </c>
      <c r="B144" s="413">
        <v>1E-3</v>
      </c>
      <c r="C144" s="413">
        <v>0.85799999999999998</v>
      </c>
      <c r="D144" s="414">
        <f t="shared" si="5"/>
        <v>-194.58799999999999</v>
      </c>
      <c r="E144" s="414"/>
      <c r="F144" s="415">
        <f t="shared" si="6"/>
        <v>-50653.930999999968</v>
      </c>
      <c r="G144" s="411"/>
      <c r="H144" s="411"/>
      <c r="I144" s="411"/>
      <c r="J144" s="411"/>
      <c r="K144" s="411"/>
      <c r="L144" s="411"/>
      <c r="M144" s="411"/>
      <c r="N144" s="411"/>
      <c r="O144" s="411"/>
      <c r="P144" s="411"/>
      <c r="Q144" s="411"/>
      <c r="R144" s="411"/>
      <c r="S144" s="411"/>
      <c r="T144" s="411"/>
    </row>
    <row r="145" spans="1:20" ht="15" thickBot="1" x14ac:dyDescent="0.4">
      <c r="A145" s="412">
        <v>-1932.05</v>
      </c>
      <c r="B145" s="413">
        <v>1E-3</v>
      </c>
      <c r="C145" s="413">
        <v>0.85699999999999998</v>
      </c>
      <c r="D145" s="414">
        <f t="shared" si="5"/>
        <v>-193.20500000000001</v>
      </c>
      <c r="E145" s="414"/>
      <c r="F145" s="415">
        <f t="shared" si="6"/>
        <v>-50847.135999999969</v>
      </c>
      <c r="G145" s="411"/>
      <c r="H145" s="411"/>
      <c r="I145" s="411"/>
      <c r="J145" s="411"/>
      <c r="K145" s="411"/>
      <c r="L145" s="411"/>
      <c r="M145" s="411"/>
      <c r="N145" s="411"/>
      <c r="O145" s="411"/>
      <c r="P145" s="411"/>
      <c r="Q145" s="411"/>
      <c r="R145" s="411"/>
      <c r="S145" s="411"/>
      <c r="T145" s="411"/>
    </row>
    <row r="146" spans="1:20" ht="15" thickBot="1" x14ac:dyDescent="0.4">
      <c r="A146" s="412">
        <v>-1930.09</v>
      </c>
      <c r="B146" s="413">
        <v>1E-3</v>
      </c>
      <c r="C146" s="413">
        <v>0.85599999999999998</v>
      </c>
      <c r="D146" s="414">
        <f t="shared" si="5"/>
        <v>-193.00899999999999</v>
      </c>
      <c r="E146" s="414"/>
      <c r="F146" s="415">
        <f t="shared" si="6"/>
        <v>-51040.144999999968</v>
      </c>
      <c r="G146" s="411"/>
      <c r="H146" s="411"/>
      <c r="I146" s="411"/>
      <c r="J146" s="411"/>
      <c r="K146" s="411"/>
      <c r="L146" s="411"/>
      <c r="M146" s="411"/>
      <c r="N146" s="411"/>
      <c r="O146" s="411"/>
      <c r="P146" s="411"/>
      <c r="Q146" s="411"/>
      <c r="R146" s="411"/>
      <c r="S146" s="411"/>
      <c r="T146" s="411"/>
    </row>
    <row r="147" spans="1:20" ht="15" thickBot="1" x14ac:dyDescent="0.4">
      <c r="A147" s="412">
        <v>-1913.75</v>
      </c>
      <c r="B147" s="413">
        <v>1E-3</v>
      </c>
      <c r="C147" s="413">
        <v>0.85499999999999998</v>
      </c>
      <c r="D147" s="414">
        <f t="shared" si="5"/>
        <v>-191.375</v>
      </c>
      <c r="E147" s="414"/>
      <c r="F147" s="415">
        <f t="shared" si="6"/>
        <v>-51231.519999999968</v>
      </c>
      <c r="G147" s="411"/>
      <c r="H147" s="411"/>
      <c r="I147" s="411"/>
      <c r="J147" s="411"/>
      <c r="K147" s="411"/>
      <c r="L147" s="411"/>
      <c r="M147" s="411"/>
      <c r="N147" s="411"/>
      <c r="O147" s="411"/>
      <c r="P147" s="411"/>
      <c r="Q147" s="411"/>
      <c r="R147" s="411"/>
      <c r="S147" s="411"/>
      <c r="T147" s="411"/>
    </row>
    <row r="148" spans="1:20" ht="15" thickBot="1" x14ac:dyDescent="0.4">
      <c r="A148" s="412">
        <v>-1907.72</v>
      </c>
      <c r="B148" s="413">
        <v>1E-3</v>
      </c>
      <c r="C148" s="413">
        <v>0.85399999999999998</v>
      </c>
      <c r="D148" s="414">
        <f t="shared" si="5"/>
        <v>-190.77199999999999</v>
      </c>
      <c r="E148" s="414"/>
      <c r="F148" s="415">
        <f t="shared" si="6"/>
        <v>-51422.291999999965</v>
      </c>
      <c r="G148" s="411"/>
      <c r="H148" s="411"/>
      <c r="I148" s="411"/>
      <c r="J148" s="411"/>
      <c r="K148" s="411"/>
      <c r="L148" s="411"/>
      <c r="M148" s="411"/>
      <c r="N148" s="411"/>
      <c r="O148" s="411"/>
      <c r="P148" s="411"/>
      <c r="Q148" s="411"/>
      <c r="R148" s="411"/>
      <c r="S148" s="411"/>
      <c r="T148" s="411"/>
    </row>
    <row r="149" spans="1:20" ht="15" thickBot="1" x14ac:dyDescent="0.4">
      <c r="A149" s="412">
        <v>-1902.87</v>
      </c>
      <c r="B149" s="413">
        <v>1E-3</v>
      </c>
      <c r="C149" s="413">
        <v>0.85299999999999998</v>
      </c>
      <c r="D149" s="414">
        <f t="shared" si="5"/>
        <v>-190.28699999999998</v>
      </c>
      <c r="E149" s="414"/>
      <c r="F149" s="415">
        <f t="shared" si="6"/>
        <v>-51612.578999999962</v>
      </c>
      <c r="G149" s="411"/>
      <c r="H149" s="411"/>
      <c r="I149" s="411"/>
      <c r="J149" s="411"/>
      <c r="K149" s="411"/>
      <c r="L149" s="411"/>
      <c r="M149" s="411"/>
      <c r="N149" s="411"/>
      <c r="O149" s="411"/>
      <c r="P149" s="411"/>
      <c r="Q149" s="411"/>
      <c r="R149" s="411"/>
      <c r="S149" s="411"/>
      <c r="T149" s="411"/>
    </row>
    <row r="150" spans="1:20" ht="15" thickBot="1" x14ac:dyDescent="0.4">
      <c r="A150" s="412">
        <v>-1896.99</v>
      </c>
      <c r="B150" s="413">
        <v>1E-3</v>
      </c>
      <c r="C150" s="413">
        <v>0.85199999999999998</v>
      </c>
      <c r="D150" s="414">
        <f t="shared" si="5"/>
        <v>-189.69899999999998</v>
      </c>
      <c r="E150" s="414"/>
      <c r="F150" s="415">
        <f t="shared" si="6"/>
        <v>-51802.277999999962</v>
      </c>
      <c r="G150" s="411"/>
      <c r="H150" s="411"/>
      <c r="I150" s="411"/>
      <c r="J150" s="411"/>
      <c r="K150" s="411"/>
      <c r="L150" s="411"/>
      <c r="M150" s="411"/>
      <c r="N150" s="411"/>
      <c r="O150" s="411"/>
      <c r="P150" s="411"/>
      <c r="Q150" s="411"/>
      <c r="R150" s="411"/>
      <c r="S150" s="411"/>
      <c r="T150" s="411"/>
    </row>
    <row r="151" spans="1:20" ht="15" thickBot="1" x14ac:dyDescent="0.4">
      <c r="A151" s="412">
        <v>-1879.25</v>
      </c>
      <c r="B151" s="413">
        <v>1E-3</v>
      </c>
      <c r="C151" s="413">
        <v>0.85099999999999998</v>
      </c>
      <c r="D151" s="414">
        <f t="shared" si="5"/>
        <v>-187.92500000000001</v>
      </c>
      <c r="E151" s="414"/>
      <c r="F151" s="415">
        <f t="shared" si="6"/>
        <v>-51990.202999999965</v>
      </c>
      <c r="G151" s="411"/>
      <c r="H151" s="411"/>
      <c r="I151" s="411"/>
      <c r="J151" s="411"/>
      <c r="K151" s="411"/>
      <c r="L151" s="411"/>
      <c r="M151" s="411"/>
      <c r="N151" s="411"/>
      <c r="O151" s="411"/>
      <c r="P151" s="411"/>
      <c r="Q151" s="411"/>
      <c r="R151" s="411"/>
      <c r="S151" s="411"/>
      <c r="T151" s="411"/>
    </row>
    <row r="152" spans="1:20" ht="15" thickBot="1" x14ac:dyDescent="0.4">
      <c r="A152" s="412">
        <v>-1877.31</v>
      </c>
      <c r="B152" s="413">
        <v>1E-3</v>
      </c>
      <c r="C152" s="413">
        <v>0.85</v>
      </c>
      <c r="D152" s="414">
        <f t="shared" si="5"/>
        <v>-187.73099999999999</v>
      </c>
      <c r="E152" s="414"/>
      <c r="F152" s="415">
        <f t="shared" si="6"/>
        <v>-52177.933999999965</v>
      </c>
      <c r="G152" s="411"/>
      <c r="H152" s="411"/>
      <c r="I152" s="411"/>
      <c r="J152" s="411"/>
      <c r="K152" s="411"/>
      <c r="L152" s="411"/>
      <c r="M152" s="411"/>
      <c r="N152" s="411"/>
      <c r="O152" s="411"/>
      <c r="P152" s="411"/>
      <c r="Q152" s="411"/>
      <c r="R152" s="411"/>
      <c r="S152" s="411"/>
      <c r="T152" s="411"/>
    </row>
    <row r="153" spans="1:20" ht="15" thickBot="1" x14ac:dyDescent="0.4">
      <c r="A153" s="412">
        <v>-1864.59</v>
      </c>
      <c r="B153" s="413">
        <v>1E-3</v>
      </c>
      <c r="C153" s="413">
        <v>0.84899999999999998</v>
      </c>
      <c r="D153" s="414">
        <f t="shared" si="5"/>
        <v>-186.459</v>
      </c>
      <c r="E153" s="414"/>
      <c r="F153" s="415">
        <f t="shared" si="6"/>
        <v>-52364.392999999967</v>
      </c>
      <c r="G153" s="411"/>
      <c r="H153" s="411"/>
      <c r="I153" s="411"/>
      <c r="J153" s="411"/>
      <c r="K153" s="411"/>
      <c r="L153" s="411"/>
      <c r="M153" s="411"/>
      <c r="N153" s="411"/>
      <c r="O153" s="411"/>
      <c r="P153" s="411"/>
      <c r="Q153" s="411"/>
      <c r="R153" s="411"/>
      <c r="S153" s="411"/>
      <c r="T153" s="411"/>
    </row>
    <row r="154" spans="1:20" ht="15" thickBot="1" x14ac:dyDescent="0.4">
      <c r="A154" s="412">
        <v>-1864.1</v>
      </c>
      <c r="B154" s="413">
        <v>1E-3</v>
      </c>
      <c r="C154" s="413">
        <v>0.84799999999999998</v>
      </c>
      <c r="D154" s="414">
        <f t="shared" si="5"/>
        <v>-186.41</v>
      </c>
      <c r="E154" s="414"/>
      <c r="F154" s="415">
        <f t="shared" si="6"/>
        <v>-52550.802999999971</v>
      </c>
      <c r="G154" s="411"/>
      <c r="H154" s="411"/>
      <c r="I154" s="411"/>
      <c r="J154" s="411"/>
      <c r="K154" s="411"/>
      <c r="L154" s="411"/>
      <c r="M154" s="411"/>
      <c r="N154" s="411"/>
      <c r="O154" s="411"/>
      <c r="P154" s="411"/>
      <c r="Q154" s="411"/>
      <c r="R154" s="411"/>
      <c r="S154" s="411"/>
      <c r="T154" s="411"/>
    </row>
    <row r="155" spans="1:20" ht="15" thickBot="1" x14ac:dyDescent="0.4">
      <c r="A155" s="412">
        <v>-1852.4</v>
      </c>
      <c r="B155" s="413">
        <v>1E-3</v>
      </c>
      <c r="C155" s="413">
        <v>0.84699999999999998</v>
      </c>
      <c r="D155" s="414">
        <f t="shared" si="5"/>
        <v>-185.24</v>
      </c>
      <c r="E155" s="414"/>
      <c r="F155" s="415">
        <f t="shared" si="6"/>
        <v>-52736.042999999969</v>
      </c>
      <c r="G155" s="411"/>
      <c r="H155" s="411"/>
      <c r="I155" s="411"/>
      <c r="J155" s="411"/>
      <c r="K155" s="411"/>
      <c r="L155" s="411"/>
      <c r="M155" s="411"/>
      <c r="N155" s="411"/>
      <c r="O155" s="411"/>
      <c r="P155" s="411"/>
      <c r="Q155" s="411"/>
      <c r="R155" s="411"/>
      <c r="S155" s="411"/>
      <c r="T155" s="411"/>
    </row>
    <row r="156" spans="1:20" ht="15" thickBot="1" x14ac:dyDescent="0.4">
      <c r="A156" s="412">
        <v>-1850.34</v>
      </c>
      <c r="B156" s="413">
        <v>1E-3</v>
      </c>
      <c r="C156" s="413">
        <v>0.84599999999999997</v>
      </c>
      <c r="D156" s="414">
        <f t="shared" si="5"/>
        <v>-185.03399999999999</v>
      </c>
      <c r="E156" s="414"/>
      <c r="F156" s="415">
        <f t="shared" si="6"/>
        <v>-52921.076999999968</v>
      </c>
      <c r="G156" s="411"/>
      <c r="H156" s="411"/>
      <c r="I156" s="411"/>
      <c r="J156" s="411"/>
      <c r="K156" s="411"/>
      <c r="L156" s="411"/>
      <c r="M156" s="411"/>
      <c r="N156" s="411"/>
      <c r="O156" s="411"/>
      <c r="P156" s="411"/>
      <c r="Q156" s="411"/>
      <c r="R156" s="411"/>
      <c r="S156" s="411"/>
      <c r="T156" s="411"/>
    </row>
    <row r="157" spans="1:20" ht="15" thickBot="1" x14ac:dyDescent="0.4">
      <c r="A157" s="412">
        <v>-1795.18</v>
      </c>
      <c r="B157" s="413">
        <v>1E-3</v>
      </c>
      <c r="C157" s="413">
        <v>0.84499999999999997</v>
      </c>
      <c r="D157" s="414">
        <f t="shared" si="5"/>
        <v>-179.518</v>
      </c>
      <c r="E157" s="414"/>
      <c r="F157" s="415">
        <f t="shared" si="6"/>
        <v>-53100.594999999965</v>
      </c>
      <c r="G157" s="411"/>
      <c r="H157" s="411"/>
      <c r="I157" s="411"/>
      <c r="J157" s="411"/>
      <c r="K157" s="411"/>
      <c r="L157" s="411"/>
      <c r="M157" s="411"/>
      <c r="N157" s="411"/>
      <c r="O157" s="411"/>
      <c r="P157" s="411"/>
      <c r="Q157" s="411"/>
      <c r="R157" s="411"/>
      <c r="S157" s="411"/>
      <c r="T157" s="411"/>
    </row>
    <row r="158" spans="1:20" ht="15" thickBot="1" x14ac:dyDescent="0.4">
      <c r="A158" s="412">
        <v>-1787.89</v>
      </c>
      <c r="B158" s="413">
        <v>1E-3</v>
      </c>
      <c r="C158" s="413">
        <v>0.84399999999999997</v>
      </c>
      <c r="D158" s="414">
        <f t="shared" si="5"/>
        <v>-178.78900000000002</v>
      </c>
      <c r="E158" s="414"/>
      <c r="F158" s="415">
        <f t="shared" si="6"/>
        <v>-53279.383999999962</v>
      </c>
      <c r="G158" s="411"/>
      <c r="H158" s="411"/>
      <c r="I158" s="411"/>
      <c r="J158" s="411"/>
      <c r="K158" s="411"/>
      <c r="L158" s="411"/>
      <c r="M158" s="411"/>
      <c r="N158" s="411"/>
      <c r="O158" s="411"/>
      <c r="P158" s="411"/>
      <c r="Q158" s="411"/>
      <c r="R158" s="411"/>
      <c r="S158" s="411"/>
      <c r="T158" s="411"/>
    </row>
    <row r="159" spans="1:20" ht="15" thickBot="1" x14ac:dyDescent="0.4">
      <c r="A159" s="412">
        <v>-1785</v>
      </c>
      <c r="B159" s="413">
        <v>1E-3</v>
      </c>
      <c r="C159" s="413">
        <v>0.84299999999999997</v>
      </c>
      <c r="D159" s="414">
        <f t="shared" si="5"/>
        <v>-178.5</v>
      </c>
      <c r="E159" s="414"/>
      <c r="F159" s="415">
        <f t="shared" si="6"/>
        <v>-53457.883999999962</v>
      </c>
      <c r="G159" s="411"/>
      <c r="H159" s="411"/>
      <c r="I159" s="411"/>
      <c r="J159" s="411"/>
      <c r="K159" s="411"/>
      <c r="L159" s="411"/>
      <c r="M159" s="411"/>
      <c r="N159" s="411"/>
      <c r="O159" s="411"/>
      <c r="P159" s="411"/>
      <c r="Q159" s="411"/>
      <c r="R159" s="411"/>
      <c r="S159" s="411"/>
      <c r="T159" s="411"/>
    </row>
    <row r="160" spans="1:20" ht="15" thickBot="1" x14ac:dyDescent="0.4">
      <c r="A160" s="412">
        <v>-1782</v>
      </c>
      <c r="B160" s="413">
        <v>1E-3</v>
      </c>
      <c r="C160" s="413">
        <v>0.84199999999999997</v>
      </c>
      <c r="D160" s="414">
        <f t="shared" si="5"/>
        <v>-178.2</v>
      </c>
      <c r="E160" s="414"/>
      <c r="F160" s="415">
        <f t="shared" si="6"/>
        <v>-53636.083999999959</v>
      </c>
      <c r="G160" s="411"/>
      <c r="H160" s="411"/>
      <c r="I160" s="411"/>
      <c r="J160" s="411"/>
      <c r="K160" s="411"/>
      <c r="L160" s="411"/>
      <c r="M160" s="411"/>
      <c r="N160" s="411"/>
      <c r="O160" s="411"/>
      <c r="P160" s="411"/>
      <c r="Q160" s="411"/>
      <c r="R160" s="411"/>
      <c r="S160" s="411"/>
      <c r="T160" s="411"/>
    </row>
    <row r="161" spans="1:20" ht="15" thickBot="1" x14ac:dyDescent="0.4">
      <c r="A161" s="412">
        <v>-1776.36</v>
      </c>
      <c r="B161" s="413">
        <v>1E-3</v>
      </c>
      <c r="C161" s="413">
        <v>0.84099999999999997</v>
      </c>
      <c r="D161" s="414">
        <f t="shared" si="5"/>
        <v>-177.636</v>
      </c>
      <c r="E161" s="414"/>
      <c r="F161" s="415">
        <f t="shared" si="6"/>
        <v>-53813.719999999958</v>
      </c>
      <c r="G161" s="411"/>
      <c r="H161" s="411"/>
      <c r="I161" s="411"/>
      <c r="J161" s="411"/>
      <c r="K161" s="411"/>
      <c r="L161" s="411"/>
      <c r="M161" s="411"/>
      <c r="N161" s="411"/>
      <c r="O161" s="411"/>
      <c r="P161" s="411"/>
      <c r="Q161" s="411"/>
      <c r="R161" s="411"/>
      <c r="S161" s="411"/>
      <c r="T161" s="411"/>
    </row>
    <row r="162" spans="1:20" ht="15" thickBot="1" x14ac:dyDescent="0.4">
      <c r="A162" s="412">
        <v>-1772.54</v>
      </c>
      <c r="B162" s="413">
        <v>1E-3</v>
      </c>
      <c r="C162" s="413">
        <v>0.84</v>
      </c>
      <c r="D162" s="414">
        <f t="shared" si="5"/>
        <v>-177.25399999999999</v>
      </c>
      <c r="E162" s="414"/>
      <c r="F162" s="415">
        <f t="shared" si="6"/>
        <v>-53990.973999999958</v>
      </c>
      <c r="G162" s="411"/>
      <c r="H162" s="411"/>
      <c r="I162" s="411"/>
      <c r="J162" s="411"/>
      <c r="K162" s="411"/>
      <c r="L162" s="411"/>
      <c r="M162" s="411"/>
      <c r="N162" s="411"/>
      <c r="O162" s="411"/>
      <c r="P162" s="411"/>
      <c r="Q162" s="411"/>
      <c r="R162" s="411"/>
      <c r="S162" s="411"/>
      <c r="T162" s="411"/>
    </row>
    <row r="163" spans="1:20" ht="15" thickBot="1" x14ac:dyDescent="0.4">
      <c r="A163" s="412">
        <v>-1766.06</v>
      </c>
      <c r="B163" s="413">
        <v>1E-3</v>
      </c>
      <c r="C163" s="413">
        <v>0.83899999999999997</v>
      </c>
      <c r="D163" s="414">
        <f t="shared" si="5"/>
        <v>-176.60599999999999</v>
      </c>
      <c r="E163" s="414"/>
      <c r="F163" s="415">
        <f t="shared" si="6"/>
        <v>-54167.579999999958</v>
      </c>
      <c r="G163" s="411"/>
      <c r="H163" s="411"/>
      <c r="I163" s="411"/>
      <c r="J163" s="411"/>
      <c r="K163" s="411"/>
      <c r="L163" s="411"/>
      <c r="M163" s="411"/>
      <c r="N163" s="411"/>
      <c r="O163" s="411"/>
      <c r="P163" s="411"/>
      <c r="Q163" s="411"/>
      <c r="R163" s="411"/>
      <c r="S163" s="411"/>
      <c r="T163" s="411"/>
    </row>
    <row r="164" spans="1:20" ht="15" thickBot="1" x14ac:dyDescent="0.4">
      <c r="A164" s="412">
        <v>-1757.91</v>
      </c>
      <c r="B164" s="413">
        <v>1E-3</v>
      </c>
      <c r="C164" s="413">
        <v>0.83799999999999997</v>
      </c>
      <c r="D164" s="414">
        <f t="shared" si="5"/>
        <v>-175.791</v>
      </c>
      <c r="E164" s="414"/>
      <c r="F164" s="415">
        <f t="shared" si="6"/>
        <v>-54343.370999999956</v>
      </c>
      <c r="G164" s="411"/>
      <c r="H164" s="411"/>
      <c r="I164" s="411"/>
      <c r="J164" s="411"/>
      <c r="K164" s="411"/>
      <c r="L164" s="411"/>
      <c r="M164" s="411"/>
      <c r="N164" s="411"/>
      <c r="O164" s="411"/>
      <c r="P164" s="411"/>
      <c r="Q164" s="411"/>
      <c r="R164" s="411"/>
      <c r="S164" s="411"/>
      <c r="T164" s="411"/>
    </row>
    <row r="165" spans="1:20" ht="15" thickBot="1" x14ac:dyDescent="0.4">
      <c r="A165" s="412">
        <v>-1737.61</v>
      </c>
      <c r="B165" s="413">
        <v>1E-3</v>
      </c>
      <c r="C165" s="413">
        <v>0.83699999999999997</v>
      </c>
      <c r="D165" s="414">
        <f t="shared" si="5"/>
        <v>-173.761</v>
      </c>
      <c r="E165" s="414"/>
      <c r="F165" s="415">
        <f t="shared" si="6"/>
        <v>-54517.131999999954</v>
      </c>
      <c r="G165" s="411"/>
      <c r="H165" s="411"/>
      <c r="I165" s="411"/>
      <c r="J165" s="411"/>
      <c r="K165" s="411"/>
      <c r="L165" s="411"/>
      <c r="M165" s="411"/>
      <c r="N165" s="411"/>
      <c r="O165" s="411"/>
      <c r="P165" s="411"/>
      <c r="Q165" s="411"/>
      <c r="R165" s="411"/>
      <c r="S165" s="411"/>
      <c r="T165" s="411"/>
    </row>
    <row r="166" spans="1:20" ht="15" thickBot="1" x14ac:dyDescent="0.4">
      <c r="A166" s="412">
        <v>-1733.38</v>
      </c>
      <c r="B166" s="413">
        <v>1E-3</v>
      </c>
      <c r="C166" s="413">
        <v>0.83599999999999997</v>
      </c>
      <c r="D166" s="414">
        <f t="shared" si="5"/>
        <v>-173.33800000000002</v>
      </c>
      <c r="E166" s="414"/>
      <c r="F166" s="415">
        <f t="shared" si="6"/>
        <v>-54690.469999999958</v>
      </c>
      <c r="G166" s="411"/>
      <c r="H166" s="411"/>
      <c r="I166" s="411"/>
      <c r="J166" s="411"/>
      <c r="K166" s="411"/>
      <c r="L166" s="411"/>
      <c r="M166" s="411"/>
      <c r="N166" s="411"/>
      <c r="O166" s="411"/>
      <c r="P166" s="411"/>
      <c r="Q166" s="411"/>
      <c r="R166" s="411"/>
      <c r="S166" s="411"/>
      <c r="T166" s="411"/>
    </row>
    <row r="167" spans="1:20" ht="15" thickBot="1" x14ac:dyDescent="0.4">
      <c r="A167" s="412">
        <v>-1732.8</v>
      </c>
      <c r="B167" s="413">
        <v>1E-3</v>
      </c>
      <c r="C167" s="413">
        <v>0.83499999999999996</v>
      </c>
      <c r="D167" s="414">
        <f t="shared" si="5"/>
        <v>-173.27999999999997</v>
      </c>
      <c r="E167" s="414"/>
      <c r="F167" s="415">
        <f t="shared" si="6"/>
        <v>-54863.749999999956</v>
      </c>
      <c r="G167" s="411"/>
      <c r="H167" s="411"/>
      <c r="I167" s="411"/>
      <c r="J167" s="411"/>
      <c r="K167" s="411"/>
      <c r="L167" s="411"/>
      <c r="M167" s="411"/>
      <c r="N167" s="411"/>
      <c r="O167" s="411"/>
      <c r="P167" s="411"/>
      <c r="Q167" s="411"/>
      <c r="R167" s="411"/>
      <c r="S167" s="411"/>
      <c r="T167" s="411"/>
    </row>
    <row r="168" spans="1:20" ht="15" thickBot="1" x14ac:dyDescent="0.4">
      <c r="A168" s="412">
        <v>-1722.69</v>
      </c>
      <c r="B168" s="413">
        <v>1E-3</v>
      </c>
      <c r="C168" s="413">
        <v>0.83399999999999996</v>
      </c>
      <c r="D168" s="414">
        <f t="shared" si="5"/>
        <v>-172.26900000000001</v>
      </c>
      <c r="E168" s="414"/>
      <c r="F168" s="415">
        <f t="shared" si="6"/>
        <v>-55036.018999999957</v>
      </c>
      <c r="G168" s="411"/>
      <c r="H168" s="411"/>
      <c r="I168" s="411"/>
      <c r="J168" s="411"/>
      <c r="K168" s="411"/>
      <c r="L168" s="411"/>
      <c r="M168" s="411"/>
      <c r="N168" s="411"/>
      <c r="O168" s="411"/>
      <c r="P168" s="411"/>
      <c r="Q168" s="411"/>
      <c r="R168" s="411"/>
      <c r="S168" s="411"/>
      <c r="T168" s="411"/>
    </row>
    <row r="169" spans="1:20" ht="15" thickBot="1" x14ac:dyDescent="0.4">
      <c r="A169" s="412">
        <v>-1720.89</v>
      </c>
      <c r="B169" s="413">
        <v>1E-3</v>
      </c>
      <c r="C169" s="413">
        <v>0.83299999999999996</v>
      </c>
      <c r="D169" s="414">
        <f t="shared" si="5"/>
        <v>-172.089</v>
      </c>
      <c r="E169" s="414"/>
      <c r="F169" s="415">
        <f t="shared" si="6"/>
        <v>-55208.107999999957</v>
      </c>
      <c r="G169" s="411"/>
      <c r="H169" s="411"/>
      <c r="I169" s="411"/>
      <c r="J169" s="411"/>
      <c r="K169" s="411"/>
      <c r="L169" s="411"/>
      <c r="M169" s="411"/>
      <c r="N169" s="411"/>
      <c r="O169" s="411"/>
      <c r="P169" s="411"/>
      <c r="Q169" s="411"/>
      <c r="R169" s="411"/>
      <c r="S169" s="411"/>
      <c r="T169" s="411"/>
    </row>
    <row r="170" spans="1:20" ht="15" thickBot="1" x14ac:dyDescent="0.4">
      <c r="A170" s="412">
        <v>-1706.48</v>
      </c>
      <c r="B170" s="413">
        <v>1E-3</v>
      </c>
      <c r="C170" s="413">
        <v>0.83199999999999996</v>
      </c>
      <c r="D170" s="414">
        <f t="shared" si="5"/>
        <v>-170.648</v>
      </c>
      <c r="E170" s="414"/>
      <c r="F170" s="415">
        <f t="shared" si="6"/>
        <v>-55378.755999999958</v>
      </c>
      <c r="G170" s="411"/>
      <c r="H170" s="411"/>
      <c r="I170" s="411"/>
      <c r="J170" s="411"/>
      <c r="K170" s="411"/>
      <c r="L170" s="411"/>
      <c r="M170" s="411"/>
      <c r="N170" s="411"/>
      <c r="O170" s="411"/>
      <c r="P170" s="411"/>
      <c r="Q170" s="411"/>
      <c r="R170" s="411"/>
      <c r="S170" s="411"/>
      <c r="T170" s="411"/>
    </row>
    <row r="171" spans="1:20" ht="15" thickBot="1" x14ac:dyDescent="0.4">
      <c r="A171" s="412">
        <v>-1696.48</v>
      </c>
      <c r="B171" s="413">
        <v>1E-3</v>
      </c>
      <c r="C171" s="413">
        <v>0.83099999999999996</v>
      </c>
      <c r="D171" s="414">
        <f t="shared" si="5"/>
        <v>-169.648</v>
      </c>
      <c r="E171" s="414"/>
      <c r="F171" s="415">
        <f t="shared" si="6"/>
        <v>-55548.403999999959</v>
      </c>
      <c r="G171" s="411"/>
      <c r="H171" s="411"/>
      <c r="I171" s="411"/>
      <c r="J171" s="411"/>
      <c r="K171" s="411"/>
      <c r="L171" s="411"/>
      <c r="M171" s="411"/>
      <c r="N171" s="411"/>
      <c r="O171" s="411"/>
      <c r="P171" s="411"/>
      <c r="Q171" s="411"/>
      <c r="R171" s="411"/>
      <c r="S171" s="411"/>
      <c r="T171" s="411"/>
    </row>
    <row r="172" spans="1:20" ht="15" thickBot="1" x14ac:dyDescent="0.4">
      <c r="A172" s="412">
        <v>-1692</v>
      </c>
      <c r="B172" s="413">
        <v>1E-3</v>
      </c>
      <c r="C172" s="413">
        <v>0.83</v>
      </c>
      <c r="D172" s="414">
        <f t="shared" si="5"/>
        <v>-169.2</v>
      </c>
      <c r="E172" s="414"/>
      <c r="F172" s="415">
        <f t="shared" si="6"/>
        <v>-55717.603999999956</v>
      </c>
      <c r="G172" s="411"/>
      <c r="H172" s="411"/>
      <c r="I172" s="411"/>
      <c r="J172" s="411"/>
      <c r="K172" s="411"/>
      <c r="L172" s="411"/>
      <c r="M172" s="411"/>
      <c r="N172" s="411"/>
      <c r="O172" s="411"/>
      <c r="P172" s="411"/>
      <c r="Q172" s="411"/>
      <c r="R172" s="411"/>
      <c r="S172" s="411"/>
      <c r="T172" s="411"/>
    </row>
    <row r="173" spans="1:20" ht="15" thickBot="1" x14ac:dyDescent="0.4">
      <c r="A173" s="412">
        <v>-1687.72</v>
      </c>
      <c r="B173" s="413">
        <v>1E-3</v>
      </c>
      <c r="C173" s="413">
        <v>0.82899999999999996</v>
      </c>
      <c r="D173" s="414">
        <f t="shared" si="5"/>
        <v>-168.77200000000002</v>
      </c>
      <c r="E173" s="414"/>
      <c r="F173" s="415">
        <f t="shared" si="6"/>
        <v>-55886.375999999953</v>
      </c>
      <c r="G173" s="411"/>
      <c r="H173" s="411"/>
      <c r="I173" s="411"/>
      <c r="J173" s="411"/>
      <c r="K173" s="411"/>
      <c r="L173" s="411"/>
      <c r="M173" s="411"/>
      <c r="N173" s="411"/>
      <c r="O173" s="411"/>
      <c r="P173" s="411"/>
      <c r="Q173" s="411"/>
      <c r="R173" s="411"/>
      <c r="S173" s="411"/>
      <c r="T173" s="411"/>
    </row>
    <row r="174" spans="1:20" ht="15" thickBot="1" x14ac:dyDescent="0.4">
      <c r="A174" s="412">
        <v>-1687.65</v>
      </c>
      <c r="B174" s="413">
        <v>1E-3</v>
      </c>
      <c r="C174" s="413">
        <v>0.82799999999999996</v>
      </c>
      <c r="D174" s="414">
        <f t="shared" si="5"/>
        <v>-168.76500000000001</v>
      </c>
      <c r="E174" s="414"/>
      <c r="F174" s="415">
        <f t="shared" si="6"/>
        <v>-56055.140999999952</v>
      </c>
      <c r="G174" s="411"/>
      <c r="H174" s="411"/>
      <c r="I174" s="411"/>
      <c r="J174" s="411"/>
      <c r="K174" s="411"/>
      <c r="L174" s="411"/>
      <c r="M174" s="411"/>
      <c r="N174" s="411"/>
      <c r="O174" s="411"/>
      <c r="P174" s="411"/>
      <c r="Q174" s="411"/>
      <c r="R174" s="411"/>
      <c r="S174" s="411"/>
      <c r="T174" s="411"/>
    </row>
    <row r="175" spans="1:20" ht="15" thickBot="1" x14ac:dyDescent="0.4">
      <c r="A175" s="412">
        <v>-1682.57</v>
      </c>
      <c r="B175" s="413">
        <v>1E-3</v>
      </c>
      <c r="C175" s="413">
        <v>0.82699999999999996</v>
      </c>
      <c r="D175" s="414">
        <f t="shared" si="5"/>
        <v>-168.25699999999998</v>
      </c>
      <c r="E175" s="414"/>
      <c r="F175" s="415">
        <f t="shared" si="6"/>
        <v>-56223.39799999995</v>
      </c>
      <c r="G175" s="411"/>
      <c r="H175" s="411"/>
      <c r="I175" s="411"/>
      <c r="J175" s="411"/>
      <c r="K175" s="411"/>
      <c r="L175" s="411"/>
      <c r="M175" s="411"/>
      <c r="N175" s="411"/>
      <c r="O175" s="411"/>
      <c r="P175" s="411"/>
      <c r="Q175" s="411"/>
      <c r="R175" s="411"/>
      <c r="S175" s="411"/>
      <c r="T175" s="411"/>
    </row>
    <row r="176" spans="1:20" ht="15" thickBot="1" x14ac:dyDescent="0.4">
      <c r="A176" s="412">
        <v>-1671.45</v>
      </c>
      <c r="B176" s="413">
        <v>1E-3</v>
      </c>
      <c r="C176" s="413">
        <v>0.82599999999999996</v>
      </c>
      <c r="D176" s="414">
        <f t="shared" si="5"/>
        <v>-167.14500000000001</v>
      </c>
      <c r="E176" s="414"/>
      <c r="F176" s="415">
        <f t="shared" si="6"/>
        <v>-56390.542999999947</v>
      </c>
      <c r="G176" s="411"/>
      <c r="H176" s="411"/>
      <c r="I176" s="411"/>
      <c r="J176" s="411"/>
      <c r="K176" s="411"/>
      <c r="L176" s="411"/>
      <c r="M176" s="411"/>
      <c r="N176" s="411"/>
      <c r="O176" s="411"/>
      <c r="P176" s="411"/>
      <c r="Q176" s="411"/>
      <c r="R176" s="411"/>
      <c r="S176" s="411"/>
      <c r="T176" s="411"/>
    </row>
    <row r="177" spans="1:20" ht="15" thickBot="1" x14ac:dyDescent="0.4">
      <c r="A177" s="412">
        <v>-1661.67</v>
      </c>
      <c r="B177" s="413">
        <v>1E-3</v>
      </c>
      <c r="C177" s="413">
        <v>0.82499999999999996</v>
      </c>
      <c r="D177" s="414">
        <f t="shared" si="5"/>
        <v>-166.16700000000003</v>
      </c>
      <c r="E177" s="414"/>
      <c r="F177" s="415">
        <f t="shared" si="6"/>
        <v>-56556.709999999948</v>
      </c>
      <c r="G177" s="411"/>
      <c r="H177" s="411"/>
      <c r="I177" s="411"/>
      <c r="J177" s="411"/>
      <c r="K177" s="411"/>
      <c r="L177" s="411"/>
      <c r="M177" s="411"/>
      <c r="N177" s="411"/>
      <c r="O177" s="411"/>
      <c r="P177" s="411"/>
      <c r="Q177" s="411"/>
      <c r="R177" s="411"/>
      <c r="S177" s="411"/>
      <c r="T177" s="411"/>
    </row>
    <row r="178" spans="1:20" ht="15" thickBot="1" x14ac:dyDescent="0.4">
      <c r="A178" s="412">
        <v>-1659.33</v>
      </c>
      <c r="B178" s="413">
        <v>1E-3</v>
      </c>
      <c r="C178" s="413">
        <v>0.82399999999999995</v>
      </c>
      <c r="D178" s="414">
        <f t="shared" si="5"/>
        <v>-165.93299999999999</v>
      </c>
      <c r="E178" s="414"/>
      <c r="F178" s="415">
        <f t="shared" si="6"/>
        <v>-56722.642999999945</v>
      </c>
      <c r="G178" s="411"/>
      <c r="H178" s="411"/>
      <c r="I178" s="411"/>
      <c r="J178" s="411"/>
      <c r="K178" s="411"/>
      <c r="L178" s="411"/>
      <c r="M178" s="411"/>
      <c r="N178" s="411"/>
      <c r="O178" s="411"/>
      <c r="P178" s="411"/>
      <c r="Q178" s="411"/>
      <c r="R178" s="411"/>
      <c r="S178" s="411"/>
      <c r="T178" s="411"/>
    </row>
    <row r="179" spans="1:20" ht="15" thickBot="1" x14ac:dyDescent="0.4">
      <c r="A179" s="412">
        <v>-1644.04</v>
      </c>
      <c r="B179" s="413">
        <v>1E-3</v>
      </c>
      <c r="C179" s="413">
        <v>0.82299999999999995</v>
      </c>
      <c r="D179" s="414">
        <f t="shared" si="5"/>
        <v>-164.404</v>
      </c>
      <c r="E179" s="414"/>
      <c r="F179" s="415">
        <f t="shared" si="6"/>
        <v>-56887.046999999948</v>
      </c>
      <c r="G179" s="411"/>
      <c r="H179" s="411"/>
      <c r="I179" s="411"/>
      <c r="J179" s="411"/>
      <c r="K179" s="411"/>
      <c r="L179" s="411"/>
      <c r="M179" s="411"/>
      <c r="N179" s="411"/>
      <c r="O179" s="411"/>
      <c r="P179" s="411"/>
      <c r="Q179" s="411"/>
      <c r="R179" s="411"/>
      <c r="S179" s="411"/>
      <c r="T179" s="411"/>
    </row>
    <row r="180" spans="1:20" ht="15" thickBot="1" x14ac:dyDescent="0.4">
      <c r="A180" s="412">
        <v>-1642.25</v>
      </c>
      <c r="B180" s="413">
        <v>1E-3</v>
      </c>
      <c r="C180" s="413">
        <v>0.82199999999999995</v>
      </c>
      <c r="D180" s="414">
        <f t="shared" si="5"/>
        <v>-164.22499999999999</v>
      </c>
      <c r="E180" s="414"/>
      <c r="F180" s="415">
        <f t="shared" si="6"/>
        <v>-57051.271999999946</v>
      </c>
      <c r="G180" s="411"/>
      <c r="H180" s="411"/>
      <c r="I180" s="411"/>
      <c r="J180" s="411"/>
      <c r="K180" s="411"/>
      <c r="L180" s="411"/>
      <c r="M180" s="411"/>
      <c r="N180" s="411"/>
      <c r="O180" s="411"/>
      <c r="P180" s="411"/>
      <c r="Q180" s="411"/>
      <c r="R180" s="411"/>
      <c r="S180" s="411"/>
      <c r="T180" s="411"/>
    </row>
    <row r="181" spans="1:20" ht="15" thickBot="1" x14ac:dyDescent="0.4">
      <c r="A181" s="412">
        <v>-1627.91</v>
      </c>
      <c r="B181" s="413">
        <v>1E-3</v>
      </c>
      <c r="C181" s="413">
        <v>0.82099999999999995</v>
      </c>
      <c r="D181" s="414">
        <f t="shared" si="5"/>
        <v>-162.79100000000003</v>
      </c>
      <c r="E181" s="414"/>
      <c r="F181" s="415">
        <f t="shared" si="6"/>
        <v>-57214.062999999944</v>
      </c>
      <c r="G181" s="411"/>
      <c r="H181" s="411"/>
      <c r="I181" s="411"/>
      <c r="J181" s="411"/>
      <c r="K181" s="411"/>
      <c r="L181" s="411"/>
      <c r="M181" s="411"/>
      <c r="N181" s="411"/>
      <c r="O181" s="411"/>
      <c r="P181" s="411"/>
      <c r="Q181" s="411"/>
      <c r="R181" s="411"/>
      <c r="S181" s="411"/>
      <c r="T181" s="411"/>
    </row>
    <row r="182" spans="1:20" ht="15" thickBot="1" x14ac:dyDescent="0.4">
      <c r="A182" s="412">
        <v>-1626.39</v>
      </c>
      <c r="B182" s="413">
        <v>1E-3</v>
      </c>
      <c r="C182" s="413">
        <v>0.82</v>
      </c>
      <c r="D182" s="414">
        <f t="shared" si="5"/>
        <v>-162.63900000000001</v>
      </c>
      <c r="E182" s="414"/>
      <c r="F182" s="415">
        <f t="shared" si="6"/>
        <v>-57376.701999999947</v>
      </c>
      <c r="G182" s="411"/>
      <c r="H182" s="411"/>
      <c r="I182" s="411"/>
      <c r="J182" s="411"/>
      <c r="K182" s="411"/>
      <c r="L182" s="411"/>
      <c r="M182" s="411"/>
      <c r="N182" s="411"/>
      <c r="O182" s="411"/>
      <c r="P182" s="411"/>
      <c r="Q182" s="411"/>
      <c r="R182" s="411"/>
      <c r="S182" s="411"/>
      <c r="T182" s="411"/>
    </row>
    <row r="183" spans="1:20" ht="15" thickBot="1" x14ac:dyDescent="0.4">
      <c r="A183" s="412">
        <v>-1608.69</v>
      </c>
      <c r="B183" s="413">
        <v>1E-3</v>
      </c>
      <c r="C183" s="413">
        <v>0.81899999999999995</v>
      </c>
      <c r="D183" s="414">
        <f t="shared" si="5"/>
        <v>-160.86900000000003</v>
      </c>
      <c r="E183" s="414"/>
      <c r="F183" s="415">
        <f t="shared" si="6"/>
        <v>-57537.570999999945</v>
      </c>
      <c r="G183" s="411"/>
      <c r="H183" s="411"/>
      <c r="I183" s="411"/>
      <c r="J183" s="411"/>
      <c r="K183" s="411"/>
      <c r="L183" s="411"/>
      <c r="M183" s="411"/>
      <c r="N183" s="411"/>
      <c r="O183" s="411"/>
      <c r="P183" s="411"/>
      <c r="Q183" s="411"/>
      <c r="R183" s="411"/>
      <c r="S183" s="411"/>
      <c r="T183" s="411"/>
    </row>
    <row r="184" spans="1:20" ht="15" thickBot="1" x14ac:dyDescent="0.4">
      <c r="A184" s="412">
        <v>-1603.72</v>
      </c>
      <c r="B184" s="413">
        <v>1E-3</v>
      </c>
      <c r="C184" s="413">
        <v>0.81799999999999995</v>
      </c>
      <c r="D184" s="414">
        <f t="shared" si="5"/>
        <v>-160.37200000000001</v>
      </c>
      <c r="E184" s="414"/>
      <c r="F184" s="415">
        <f t="shared" si="6"/>
        <v>-57697.942999999948</v>
      </c>
      <c r="G184" s="411"/>
      <c r="H184" s="411"/>
      <c r="I184" s="411"/>
      <c r="J184" s="411"/>
      <c r="K184" s="411"/>
      <c r="L184" s="411"/>
      <c r="M184" s="411"/>
      <c r="N184" s="411"/>
      <c r="O184" s="411"/>
      <c r="P184" s="411"/>
      <c r="Q184" s="411"/>
      <c r="R184" s="411"/>
      <c r="S184" s="411"/>
      <c r="T184" s="411"/>
    </row>
    <row r="185" spans="1:20" ht="15" thickBot="1" x14ac:dyDescent="0.4">
      <c r="A185" s="412">
        <v>-1599</v>
      </c>
      <c r="B185" s="413">
        <v>1E-3</v>
      </c>
      <c r="C185" s="413">
        <v>0.81699999999999995</v>
      </c>
      <c r="D185" s="414">
        <f t="shared" si="5"/>
        <v>-159.9</v>
      </c>
      <c r="E185" s="414"/>
      <c r="F185" s="415">
        <f t="shared" si="6"/>
        <v>-57857.84299999995</v>
      </c>
      <c r="G185" s="411"/>
      <c r="H185" s="411"/>
      <c r="I185" s="411"/>
      <c r="J185" s="411"/>
      <c r="K185" s="411"/>
      <c r="L185" s="411"/>
      <c r="M185" s="411"/>
      <c r="N185" s="411"/>
      <c r="O185" s="411"/>
      <c r="P185" s="411"/>
      <c r="Q185" s="411"/>
      <c r="R185" s="411"/>
      <c r="S185" s="411"/>
      <c r="T185" s="411"/>
    </row>
    <row r="186" spans="1:20" ht="15" thickBot="1" x14ac:dyDescent="0.4">
      <c r="A186" s="412">
        <v>-1591.04</v>
      </c>
      <c r="B186" s="413">
        <v>1E-3</v>
      </c>
      <c r="C186" s="413">
        <v>0.81599999999999995</v>
      </c>
      <c r="D186" s="414">
        <f t="shared" si="5"/>
        <v>-159.10399999999998</v>
      </c>
      <c r="E186" s="414"/>
      <c r="F186" s="415">
        <f t="shared" si="6"/>
        <v>-58016.946999999949</v>
      </c>
      <c r="G186" s="411"/>
      <c r="H186" s="411"/>
      <c r="I186" s="411"/>
      <c r="J186" s="411"/>
      <c r="K186" s="411"/>
      <c r="L186" s="411"/>
      <c r="M186" s="411"/>
      <c r="N186" s="411"/>
      <c r="O186" s="411"/>
      <c r="P186" s="411"/>
      <c r="Q186" s="411"/>
      <c r="R186" s="411"/>
      <c r="S186" s="411"/>
      <c r="T186" s="411"/>
    </row>
    <row r="187" spans="1:20" ht="15" thickBot="1" x14ac:dyDescent="0.4">
      <c r="A187" s="412">
        <v>-1575.67</v>
      </c>
      <c r="B187" s="413">
        <v>1E-3</v>
      </c>
      <c r="C187" s="413">
        <v>0.81499999999999995</v>
      </c>
      <c r="D187" s="414">
        <f t="shared" si="5"/>
        <v>-157.56700000000001</v>
      </c>
      <c r="E187" s="414"/>
      <c r="F187" s="415">
        <f t="shared" si="6"/>
        <v>-58174.513999999952</v>
      </c>
      <c r="G187" s="411"/>
      <c r="H187" s="411"/>
      <c r="I187" s="411"/>
      <c r="J187" s="411"/>
      <c r="K187" s="411"/>
      <c r="L187" s="411"/>
      <c r="M187" s="411"/>
      <c r="N187" s="411"/>
      <c r="O187" s="411"/>
      <c r="P187" s="411"/>
      <c r="Q187" s="411"/>
      <c r="R187" s="411"/>
      <c r="S187" s="411"/>
      <c r="T187" s="411"/>
    </row>
    <row r="188" spans="1:20" ht="15" thickBot="1" x14ac:dyDescent="0.4">
      <c r="A188" s="412">
        <v>-1564.04</v>
      </c>
      <c r="B188" s="413">
        <v>1E-3</v>
      </c>
      <c r="C188" s="413">
        <v>0.81399999999999995</v>
      </c>
      <c r="D188" s="414">
        <f t="shared" si="5"/>
        <v>-156.404</v>
      </c>
      <c r="E188" s="414"/>
      <c r="F188" s="415">
        <f t="shared" si="6"/>
        <v>-58330.917999999954</v>
      </c>
      <c r="G188" s="411"/>
      <c r="H188" s="411"/>
      <c r="I188" s="411"/>
      <c r="J188" s="411"/>
      <c r="K188" s="411"/>
      <c r="L188" s="411"/>
      <c r="M188" s="411"/>
      <c r="N188" s="411"/>
      <c r="O188" s="411"/>
      <c r="P188" s="411"/>
      <c r="Q188" s="411"/>
      <c r="R188" s="411"/>
      <c r="S188" s="411"/>
      <c r="T188" s="411"/>
    </row>
    <row r="189" spans="1:20" ht="15" thickBot="1" x14ac:dyDescent="0.4">
      <c r="A189" s="412">
        <v>-1551.68</v>
      </c>
      <c r="B189" s="413">
        <v>1E-3</v>
      </c>
      <c r="C189" s="413">
        <v>0.81299999999999994</v>
      </c>
      <c r="D189" s="414">
        <f t="shared" si="5"/>
        <v>-155.16800000000001</v>
      </c>
      <c r="E189" s="414"/>
      <c r="F189" s="415">
        <f t="shared" si="6"/>
        <v>-58486.085999999952</v>
      </c>
      <c r="G189" s="411"/>
      <c r="H189" s="411"/>
      <c r="I189" s="411"/>
      <c r="J189" s="411"/>
      <c r="K189" s="411"/>
      <c r="L189" s="411"/>
      <c r="M189" s="411"/>
      <c r="N189" s="411"/>
      <c r="O189" s="411"/>
      <c r="P189" s="411"/>
      <c r="Q189" s="411"/>
      <c r="R189" s="411"/>
      <c r="S189" s="411"/>
      <c r="T189" s="411"/>
    </row>
    <row r="190" spans="1:20" ht="15" thickBot="1" x14ac:dyDescent="0.4">
      <c r="A190" s="412">
        <v>-1534.81</v>
      </c>
      <c r="B190" s="413">
        <v>1E-3</v>
      </c>
      <c r="C190" s="413">
        <v>0.81200000000000006</v>
      </c>
      <c r="D190" s="414">
        <f t="shared" si="5"/>
        <v>-153.48099999999999</v>
      </c>
      <c r="E190" s="414"/>
      <c r="F190" s="415">
        <f t="shared" si="6"/>
        <v>-58639.566999999952</v>
      </c>
      <c r="G190" s="411"/>
      <c r="H190" s="411"/>
      <c r="I190" s="411"/>
      <c r="J190" s="411"/>
      <c r="K190" s="411"/>
      <c r="L190" s="411"/>
      <c r="M190" s="411"/>
      <c r="N190" s="411"/>
      <c r="O190" s="411"/>
      <c r="P190" s="411"/>
      <c r="Q190" s="411"/>
      <c r="R190" s="411"/>
      <c r="S190" s="411"/>
      <c r="T190" s="411"/>
    </row>
    <row r="191" spans="1:20" ht="15" thickBot="1" x14ac:dyDescent="0.4">
      <c r="A191" s="412">
        <v>-1530.59</v>
      </c>
      <c r="B191" s="413">
        <v>1E-3</v>
      </c>
      <c r="C191" s="413">
        <v>0.81100000000000005</v>
      </c>
      <c r="D191" s="414">
        <f t="shared" si="5"/>
        <v>-153.059</v>
      </c>
      <c r="E191" s="414"/>
      <c r="F191" s="415">
        <f t="shared" si="6"/>
        <v>-58792.625999999953</v>
      </c>
      <c r="G191" s="411"/>
      <c r="H191" s="411"/>
      <c r="I191" s="411"/>
      <c r="J191" s="411"/>
      <c r="K191" s="411"/>
      <c r="L191" s="411"/>
      <c r="M191" s="411"/>
      <c r="N191" s="411"/>
      <c r="O191" s="411"/>
      <c r="P191" s="411"/>
      <c r="Q191" s="411"/>
      <c r="R191" s="411"/>
      <c r="S191" s="411"/>
      <c r="T191" s="411"/>
    </row>
    <row r="192" spans="1:20" ht="15" thickBot="1" x14ac:dyDescent="0.4">
      <c r="A192" s="412">
        <v>-1510.54</v>
      </c>
      <c r="B192" s="413">
        <v>1E-3</v>
      </c>
      <c r="C192" s="413">
        <v>0.81</v>
      </c>
      <c r="D192" s="414">
        <f t="shared" si="5"/>
        <v>-151.054</v>
      </c>
      <c r="E192" s="414"/>
      <c r="F192" s="415">
        <f t="shared" si="6"/>
        <v>-58943.679999999949</v>
      </c>
      <c r="G192" s="411"/>
      <c r="H192" s="411"/>
      <c r="I192" s="411"/>
      <c r="J192" s="411"/>
      <c r="K192" s="411"/>
      <c r="L192" s="411"/>
      <c r="M192" s="411"/>
      <c r="N192" s="411"/>
      <c r="O192" s="411"/>
      <c r="P192" s="411"/>
      <c r="Q192" s="411"/>
      <c r="R192" s="411"/>
      <c r="S192" s="411"/>
      <c r="T192" s="411"/>
    </row>
    <row r="193" spans="1:20" ht="15" thickBot="1" x14ac:dyDescent="0.4">
      <c r="A193" s="412">
        <v>-1506.51</v>
      </c>
      <c r="B193" s="413">
        <v>1E-3</v>
      </c>
      <c r="C193" s="413">
        <v>0.80900000000000005</v>
      </c>
      <c r="D193" s="414">
        <f t="shared" si="5"/>
        <v>-150.65100000000001</v>
      </c>
      <c r="E193" s="414"/>
      <c r="F193" s="415">
        <f t="shared" si="6"/>
        <v>-59094.330999999947</v>
      </c>
      <c r="G193" s="411"/>
      <c r="H193" s="411"/>
      <c r="I193" s="411"/>
      <c r="J193" s="411"/>
      <c r="K193" s="411"/>
      <c r="L193" s="411"/>
      <c r="M193" s="411"/>
      <c r="N193" s="411"/>
      <c r="O193" s="411"/>
      <c r="P193" s="411"/>
      <c r="Q193" s="411"/>
      <c r="R193" s="411"/>
      <c r="S193" s="411"/>
      <c r="T193" s="411"/>
    </row>
    <row r="194" spans="1:20" ht="15" thickBot="1" x14ac:dyDescent="0.4">
      <c r="A194" s="412">
        <v>-1504.81</v>
      </c>
      <c r="B194" s="413">
        <v>1E-3</v>
      </c>
      <c r="C194" s="413">
        <v>0.80800000000000005</v>
      </c>
      <c r="D194" s="414">
        <f t="shared" ref="D194:D257" si="7">A194*B194/1%</f>
        <v>-150.48099999999999</v>
      </c>
      <c r="E194" s="414"/>
      <c r="F194" s="415">
        <f t="shared" si="6"/>
        <v>-59244.811999999947</v>
      </c>
      <c r="G194" s="411"/>
      <c r="H194" s="411"/>
      <c r="I194" s="411"/>
      <c r="J194" s="411"/>
      <c r="K194" s="411"/>
      <c r="L194" s="411"/>
      <c r="M194" s="411"/>
      <c r="N194" s="411"/>
      <c r="O194" s="411"/>
      <c r="P194" s="411"/>
      <c r="Q194" s="411"/>
      <c r="R194" s="411"/>
      <c r="S194" s="411"/>
      <c r="T194" s="411"/>
    </row>
    <row r="195" spans="1:20" ht="15" thickBot="1" x14ac:dyDescent="0.4">
      <c r="A195" s="412">
        <v>-1496.91</v>
      </c>
      <c r="B195" s="413">
        <v>1E-3</v>
      </c>
      <c r="C195" s="413">
        <v>0.80700000000000005</v>
      </c>
      <c r="D195" s="414">
        <f t="shared" si="7"/>
        <v>-149.691</v>
      </c>
      <c r="E195" s="414"/>
      <c r="F195" s="415">
        <f t="shared" ref="F195:F258" si="8">F194+D195</f>
        <v>-59394.502999999946</v>
      </c>
      <c r="G195" s="411"/>
      <c r="H195" s="411"/>
      <c r="I195" s="411"/>
      <c r="J195" s="411"/>
      <c r="K195" s="411"/>
      <c r="L195" s="411"/>
      <c r="M195" s="411"/>
      <c r="N195" s="411"/>
      <c r="O195" s="411"/>
      <c r="P195" s="411"/>
      <c r="Q195" s="411"/>
      <c r="R195" s="411"/>
      <c r="S195" s="411"/>
      <c r="T195" s="411"/>
    </row>
    <row r="196" spans="1:20" ht="15" thickBot="1" x14ac:dyDescent="0.4">
      <c r="A196" s="412">
        <v>-1491.44</v>
      </c>
      <c r="B196" s="413">
        <v>1E-3</v>
      </c>
      <c r="C196" s="413">
        <v>0.80600000000000005</v>
      </c>
      <c r="D196" s="414">
        <f t="shared" si="7"/>
        <v>-149.14400000000001</v>
      </c>
      <c r="E196" s="414"/>
      <c r="F196" s="415">
        <f t="shared" si="8"/>
        <v>-59543.646999999946</v>
      </c>
      <c r="G196" s="411"/>
      <c r="H196" s="411"/>
      <c r="I196" s="411"/>
      <c r="J196" s="411"/>
      <c r="K196" s="411"/>
      <c r="L196" s="411"/>
      <c r="M196" s="411"/>
      <c r="N196" s="411"/>
      <c r="O196" s="411"/>
      <c r="P196" s="411"/>
      <c r="Q196" s="411"/>
      <c r="R196" s="411"/>
      <c r="S196" s="411"/>
      <c r="T196" s="411"/>
    </row>
    <row r="197" spans="1:20" ht="15" thickBot="1" x14ac:dyDescent="0.4">
      <c r="A197" s="412">
        <v>-1485.41</v>
      </c>
      <c r="B197" s="413">
        <v>1E-3</v>
      </c>
      <c r="C197" s="413">
        <v>0.80500000000000005</v>
      </c>
      <c r="D197" s="414">
        <f t="shared" si="7"/>
        <v>-148.541</v>
      </c>
      <c r="E197" s="414"/>
      <c r="F197" s="415">
        <f t="shared" si="8"/>
        <v>-59692.187999999944</v>
      </c>
      <c r="G197" s="411"/>
      <c r="H197" s="411"/>
      <c r="I197" s="411"/>
      <c r="J197" s="411"/>
      <c r="K197" s="411"/>
      <c r="L197" s="411"/>
      <c r="M197" s="411"/>
      <c r="N197" s="411"/>
      <c r="O197" s="411"/>
      <c r="P197" s="411"/>
      <c r="Q197" s="411"/>
      <c r="R197" s="411"/>
      <c r="S197" s="411"/>
      <c r="T197" s="411"/>
    </row>
    <row r="198" spans="1:20" ht="15" thickBot="1" x14ac:dyDescent="0.4">
      <c r="A198" s="412">
        <v>-1473.61</v>
      </c>
      <c r="B198" s="413">
        <v>1E-3</v>
      </c>
      <c r="C198" s="413">
        <v>0.80400000000000005</v>
      </c>
      <c r="D198" s="414">
        <f t="shared" si="7"/>
        <v>-147.36099999999999</v>
      </c>
      <c r="E198" s="414"/>
      <c r="F198" s="415">
        <f t="shared" si="8"/>
        <v>-59839.548999999941</v>
      </c>
      <c r="G198" s="411"/>
      <c r="H198" s="411"/>
      <c r="I198" s="411"/>
      <c r="J198" s="411"/>
      <c r="K198" s="411"/>
      <c r="L198" s="411"/>
      <c r="M198" s="411"/>
      <c r="N198" s="411"/>
      <c r="O198" s="411"/>
      <c r="P198" s="411"/>
      <c r="Q198" s="411"/>
      <c r="R198" s="411"/>
      <c r="S198" s="411"/>
      <c r="T198" s="411"/>
    </row>
    <row r="199" spans="1:20" ht="15" thickBot="1" x14ac:dyDescent="0.4">
      <c r="A199" s="412">
        <v>-1467.17</v>
      </c>
      <c r="B199" s="413">
        <v>1E-3</v>
      </c>
      <c r="C199" s="413">
        <v>0.80300000000000005</v>
      </c>
      <c r="D199" s="414">
        <f t="shared" si="7"/>
        <v>-146.71700000000001</v>
      </c>
      <c r="E199" s="414"/>
      <c r="F199" s="415">
        <f t="shared" si="8"/>
        <v>-59986.265999999938</v>
      </c>
      <c r="G199" s="411"/>
      <c r="H199" s="411"/>
      <c r="I199" s="411"/>
      <c r="J199" s="411"/>
      <c r="K199" s="411"/>
      <c r="L199" s="411"/>
      <c r="M199" s="411"/>
      <c r="N199" s="411"/>
      <c r="O199" s="411"/>
      <c r="P199" s="411"/>
      <c r="Q199" s="411"/>
      <c r="R199" s="411"/>
      <c r="S199" s="411"/>
      <c r="T199" s="411"/>
    </row>
    <row r="200" spans="1:20" ht="15" thickBot="1" x14ac:dyDescent="0.4">
      <c r="A200" s="412">
        <v>-1464.27</v>
      </c>
      <c r="B200" s="413">
        <v>1E-3</v>
      </c>
      <c r="C200" s="413">
        <v>0.80200000000000005</v>
      </c>
      <c r="D200" s="414">
        <f t="shared" si="7"/>
        <v>-146.42699999999999</v>
      </c>
      <c r="E200" s="414"/>
      <c r="F200" s="415">
        <f t="shared" si="8"/>
        <v>-60132.692999999941</v>
      </c>
      <c r="G200" s="411"/>
      <c r="H200" s="411"/>
      <c r="I200" s="411"/>
      <c r="J200" s="411"/>
      <c r="K200" s="411"/>
      <c r="L200" s="411"/>
      <c r="M200" s="411"/>
      <c r="N200" s="411"/>
      <c r="O200" s="411"/>
      <c r="P200" s="411"/>
      <c r="Q200" s="411"/>
      <c r="R200" s="411"/>
      <c r="S200" s="411"/>
      <c r="T200" s="411"/>
    </row>
    <row r="201" spans="1:20" ht="15" thickBot="1" x14ac:dyDescent="0.4">
      <c r="A201" s="412">
        <v>-1456.16</v>
      </c>
      <c r="B201" s="413">
        <v>1E-3</v>
      </c>
      <c r="C201" s="413">
        <v>0.80100000000000005</v>
      </c>
      <c r="D201" s="414">
        <f t="shared" si="7"/>
        <v>-145.61600000000001</v>
      </c>
      <c r="E201" s="414"/>
      <c r="F201" s="415">
        <f t="shared" si="8"/>
        <v>-60278.308999999943</v>
      </c>
      <c r="G201" s="411"/>
      <c r="H201" s="411"/>
      <c r="I201" s="411"/>
      <c r="J201" s="411"/>
      <c r="K201" s="411"/>
      <c r="L201" s="411"/>
      <c r="M201" s="411"/>
      <c r="N201" s="411"/>
      <c r="O201" s="411"/>
      <c r="P201" s="411"/>
      <c r="Q201" s="411"/>
      <c r="R201" s="411"/>
      <c r="S201" s="411"/>
      <c r="T201" s="411"/>
    </row>
    <row r="202" spans="1:20" ht="15" thickBot="1" x14ac:dyDescent="0.4">
      <c r="A202" s="412">
        <v>-1453.49</v>
      </c>
      <c r="B202" s="413">
        <v>1E-3</v>
      </c>
      <c r="C202" s="413">
        <v>0.8</v>
      </c>
      <c r="D202" s="414">
        <f t="shared" si="7"/>
        <v>-145.34899999999999</v>
      </c>
      <c r="E202" s="414"/>
      <c r="F202" s="415">
        <f t="shared" si="8"/>
        <v>-60423.657999999945</v>
      </c>
      <c r="G202" s="411"/>
      <c r="H202" s="411"/>
      <c r="I202" s="411"/>
      <c r="J202" s="411"/>
      <c r="K202" s="411"/>
      <c r="L202" s="411"/>
      <c r="M202" s="411"/>
      <c r="N202" s="411"/>
      <c r="O202" s="411"/>
      <c r="P202" s="411"/>
      <c r="Q202" s="411"/>
      <c r="R202" s="411"/>
      <c r="S202" s="411"/>
      <c r="T202" s="411"/>
    </row>
    <row r="203" spans="1:20" ht="15" thickBot="1" x14ac:dyDescent="0.4">
      <c r="A203" s="412">
        <v>-1449.02</v>
      </c>
      <c r="B203" s="413">
        <v>1E-3</v>
      </c>
      <c r="C203" s="413">
        <v>0.79900000000000004</v>
      </c>
      <c r="D203" s="414">
        <f t="shared" si="7"/>
        <v>-144.90199999999999</v>
      </c>
      <c r="E203" s="414"/>
      <c r="F203" s="415">
        <f t="shared" si="8"/>
        <v>-60568.559999999947</v>
      </c>
      <c r="G203" s="411"/>
      <c r="H203" s="411"/>
      <c r="I203" s="411"/>
      <c r="J203" s="411"/>
      <c r="K203" s="411"/>
      <c r="L203" s="411"/>
      <c r="M203" s="411"/>
      <c r="N203" s="411"/>
      <c r="O203" s="411"/>
      <c r="P203" s="411"/>
      <c r="Q203" s="411"/>
      <c r="R203" s="411"/>
      <c r="S203" s="411"/>
      <c r="T203" s="411"/>
    </row>
    <row r="204" spans="1:20" ht="15" thickBot="1" x14ac:dyDescent="0.4">
      <c r="A204" s="412">
        <v>-1438.81</v>
      </c>
      <c r="B204" s="413">
        <v>1E-3</v>
      </c>
      <c r="C204" s="413">
        <v>0.79800000000000004</v>
      </c>
      <c r="D204" s="414">
        <f t="shared" si="7"/>
        <v>-143.881</v>
      </c>
      <c r="E204" s="414"/>
      <c r="F204" s="415">
        <f t="shared" si="8"/>
        <v>-60712.440999999948</v>
      </c>
      <c r="G204" s="411"/>
      <c r="H204" s="411"/>
      <c r="I204" s="411"/>
      <c r="J204" s="411"/>
      <c r="K204" s="411"/>
      <c r="L204" s="411"/>
      <c r="M204" s="411"/>
      <c r="N204" s="411"/>
      <c r="O204" s="411"/>
      <c r="P204" s="411"/>
      <c r="Q204" s="411"/>
      <c r="R204" s="411"/>
      <c r="S204" s="411"/>
      <c r="T204" s="411"/>
    </row>
    <row r="205" spans="1:20" ht="15" thickBot="1" x14ac:dyDescent="0.4">
      <c r="A205" s="412">
        <v>-1426.74</v>
      </c>
      <c r="B205" s="413">
        <v>1E-3</v>
      </c>
      <c r="C205" s="413">
        <v>0.79700000000000004</v>
      </c>
      <c r="D205" s="414">
        <f t="shared" si="7"/>
        <v>-142.67400000000001</v>
      </c>
      <c r="E205" s="414"/>
      <c r="F205" s="415">
        <f t="shared" si="8"/>
        <v>-60855.114999999947</v>
      </c>
      <c r="G205" s="411"/>
      <c r="H205" s="411"/>
      <c r="I205" s="411"/>
      <c r="J205" s="411"/>
      <c r="K205" s="411"/>
      <c r="L205" s="411"/>
      <c r="M205" s="411"/>
      <c r="N205" s="411"/>
      <c r="O205" s="411"/>
      <c r="P205" s="411"/>
      <c r="Q205" s="411"/>
      <c r="R205" s="411"/>
      <c r="S205" s="411"/>
      <c r="T205" s="411"/>
    </row>
    <row r="206" spans="1:20" ht="15" thickBot="1" x14ac:dyDescent="0.4">
      <c r="A206" s="412">
        <v>-1408.95</v>
      </c>
      <c r="B206" s="413">
        <v>1E-3</v>
      </c>
      <c r="C206" s="413">
        <v>0.79600000000000004</v>
      </c>
      <c r="D206" s="414">
        <f t="shared" si="7"/>
        <v>-140.89500000000001</v>
      </c>
      <c r="E206" s="414"/>
      <c r="F206" s="415">
        <f t="shared" si="8"/>
        <v>-60996.009999999944</v>
      </c>
      <c r="G206" s="411"/>
      <c r="H206" s="411"/>
      <c r="I206" s="411"/>
      <c r="J206" s="411"/>
      <c r="K206" s="411"/>
      <c r="L206" s="411"/>
      <c r="M206" s="411"/>
      <c r="N206" s="411"/>
      <c r="O206" s="411"/>
      <c r="P206" s="411"/>
      <c r="Q206" s="411"/>
      <c r="R206" s="411"/>
      <c r="S206" s="411"/>
      <c r="T206" s="411"/>
    </row>
    <row r="207" spans="1:20" ht="15" thickBot="1" x14ac:dyDescent="0.4">
      <c r="A207" s="412">
        <v>-1391.16</v>
      </c>
      <c r="B207" s="413">
        <v>1E-3</v>
      </c>
      <c r="C207" s="413">
        <v>0.79500000000000004</v>
      </c>
      <c r="D207" s="414">
        <f t="shared" si="7"/>
        <v>-139.11600000000001</v>
      </c>
      <c r="E207" s="414"/>
      <c r="F207" s="415">
        <f t="shared" si="8"/>
        <v>-61135.125999999946</v>
      </c>
      <c r="G207" s="411"/>
      <c r="H207" s="411"/>
      <c r="I207" s="411"/>
      <c r="J207" s="411"/>
      <c r="K207" s="411"/>
      <c r="L207" s="411"/>
      <c r="M207" s="411"/>
      <c r="N207" s="411"/>
      <c r="O207" s="411"/>
      <c r="P207" s="411"/>
      <c r="Q207" s="411"/>
      <c r="R207" s="411"/>
      <c r="S207" s="411"/>
      <c r="T207" s="411"/>
    </row>
    <row r="208" spans="1:20" ht="15" thickBot="1" x14ac:dyDescent="0.4">
      <c r="A208" s="412">
        <v>-1369.34</v>
      </c>
      <c r="B208" s="413">
        <v>1E-3</v>
      </c>
      <c r="C208" s="413">
        <v>0.79400000000000004</v>
      </c>
      <c r="D208" s="414">
        <f t="shared" si="7"/>
        <v>-136.934</v>
      </c>
      <c r="E208" s="414"/>
      <c r="F208" s="415">
        <f t="shared" si="8"/>
        <v>-61272.059999999947</v>
      </c>
      <c r="G208" s="411"/>
      <c r="H208" s="411"/>
      <c r="I208" s="411"/>
      <c r="J208" s="411"/>
      <c r="K208" s="411"/>
      <c r="L208" s="411"/>
      <c r="M208" s="411"/>
      <c r="N208" s="411"/>
      <c r="O208" s="411"/>
      <c r="P208" s="411"/>
      <c r="Q208" s="411"/>
      <c r="R208" s="411"/>
      <c r="S208" s="411"/>
      <c r="T208" s="411"/>
    </row>
    <row r="209" spans="1:20" ht="15" thickBot="1" x14ac:dyDescent="0.4">
      <c r="A209" s="412">
        <v>-1368.37</v>
      </c>
      <c r="B209" s="413">
        <v>1E-3</v>
      </c>
      <c r="C209" s="413">
        <v>0.79300000000000004</v>
      </c>
      <c r="D209" s="414">
        <f t="shared" si="7"/>
        <v>-136.83699999999999</v>
      </c>
      <c r="E209" s="414"/>
      <c r="F209" s="415">
        <f t="shared" si="8"/>
        <v>-61408.896999999946</v>
      </c>
      <c r="G209" s="411"/>
      <c r="H209" s="411"/>
      <c r="I209" s="411"/>
      <c r="J209" s="411"/>
      <c r="K209" s="411"/>
      <c r="L209" s="411"/>
      <c r="M209" s="411"/>
      <c r="N209" s="411"/>
      <c r="O209" s="411"/>
      <c r="P209" s="411"/>
      <c r="Q209" s="411"/>
      <c r="R209" s="411"/>
      <c r="S209" s="411"/>
      <c r="T209" s="411"/>
    </row>
    <row r="210" spans="1:20" ht="15" thickBot="1" x14ac:dyDescent="0.4">
      <c r="A210" s="412">
        <v>-1358.92</v>
      </c>
      <c r="B210" s="413">
        <v>1E-3</v>
      </c>
      <c r="C210" s="413">
        <v>0.79200000000000004</v>
      </c>
      <c r="D210" s="414">
        <f t="shared" si="7"/>
        <v>-135.892</v>
      </c>
      <c r="E210" s="414"/>
      <c r="F210" s="415">
        <f t="shared" si="8"/>
        <v>-61544.788999999946</v>
      </c>
      <c r="G210" s="411"/>
      <c r="H210" s="411"/>
      <c r="I210" s="411"/>
      <c r="J210" s="411"/>
      <c r="K210" s="411"/>
      <c r="L210" s="411"/>
      <c r="M210" s="411"/>
      <c r="N210" s="411"/>
      <c r="O210" s="411"/>
      <c r="P210" s="411"/>
      <c r="Q210" s="411"/>
      <c r="R210" s="411"/>
      <c r="S210" s="411"/>
      <c r="T210" s="411"/>
    </row>
    <row r="211" spans="1:20" ht="15" thickBot="1" x14ac:dyDescent="0.4">
      <c r="A211" s="412">
        <v>-1350.26</v>
      </c>
      <c r="B211" s="413">
        <v>1E-3</v>
      </c>
      <c r="C211" s="413">
        <v>0.79100000000000004</v>
      </c>
      <c r="D211" s="414">
        <f t="shared" si="7"/>
        <v>-135.02600000000001</v>
      </c>
      <c r="E211" s="414"/>
      <c r="F211" s="415">
        <f t="shared" si="8"/>
        <v>-61679.814999999944</v>
      </c>
      <c r="G211" s="411"/>
      <c r="H211" s="411"/>
      <c r="I211" s="411"/>
      <c r="J211" s="411"/>
      <c r="K211" s="411"/>
      <c r="L211" s="411"/>
      <c r="M211" s="411"/>
      <c r="N211" s="411"/>
      <c r="O211" s="411"/>
      <c r="P211" s="411"/>
      <c r="Q211" s="411"/>
      <c r="R211" s="411"/>
      <c r="S211" s="411"/>
      <c r="T211" s="411"/>
    </row>
    <row r="212" spans="1:20" ht="15" thickBot="1" x14ac:dyDescent="0.4">
      <c r="A212" s="412">
        <v>-1335.08</v>
      </c>
      <c r="B212" s="413">
        <v>1E-3</v>
      </c>
      <c r="C212" s="413">
        <v>0.79</v>
      </c>
      <c r="D212" s="414">
        <f t="shared" si="7"/>
        <v>-133.50800000000001</v>
      </c>
      <c r="E212" s="414"/>
      <c r="F212" s="415">
        <f t="shared" si="8"/>
        <v>-61813.322999999946</v>
      </c>
      <c r="G212" s="411"/>
      <c r="H212" s="411"/>
      <c r="I212" s="411"/>
      <c r="J212" s="411"/>
      <c r="K212" s="411"/>
      <c r="L212" s="411"/>
      <c r="M212" s="411"/>
      <c r="N212" s="411"/>
      <c r="O212" s="411"/>
      <c r="P212" s="411"/>
      <c r="Q212" s="411"/>
      <c r="R212" s="411"/>
      <c r="S212" s="411"/>
      <c r="T212" s="411"/>
    </row>
    <row r="213" spans="1:20" ht="15" thickBot="1" x14ac:dyDescent="0.4">
      <c r="A213" s="412">
        <v>-1328.49</v>
      </c>
      <c r="B213" s="413">
        <v>1E-3</v>
      </c>
      <c r="C213" s="413">
        <v>0.78900000000000003</v>
      </c>
      <c r="D213" s="414">
        <f t="shared" si="7"/>
        <v>-132.84899999999999</v>
      </c>
      <c r="E213" s="414"/>
      <c r="F213" s="415">
        <f t="shared" si="8"/>
        <v>-61946.171999999948</v>
      </c>
      <c r="G213" s="411"/>
      <c r="H213" s="411"/>
      <c r="I213" s="411"/>
      <c r="J213" s="411"/>
      <c r="K213" s="411"/>
      <c r="L213" s="411"/>
      <c r="M213" s="411"/>
      <c r="N213" s="411"/>
      <c r="O213" s="411"/>
      <c r="P213" s="411"/>
      <c r="Q213" s="411"/>
      <c r="R213" s="411"/>
      <c r="S213" s="411"/>
      <c r="T213" s="411"/>
    </row>
    <row r="214" spans="1:20" ht="15" thickBot="1" x14ac:dyDescent="0.4">
      <c r="A214" s="412">
        <v>-1322.24</v>
      </c>
      <c r="B214" s="413">
        <v>1E-3</v>
      </c>
      <c r="C214" s="413">
        <v>0.78800000000000003</v>
      </c>
      <c r="D214" s="414">
        <f t="shared" si="7"/>
        <v>-132.22400000000002</v>
      </c>
      <c r="E214" s="414"/>
      <c r="F214" s="415">
        <f t="shared" si="8"/>
        <v>-62078.39599999995</v>
      </c>
      <c r="G214" s="411"/>
      <c r="H214" s="411"/>
      <c r="I214" s="411"/>
      <c r="J214" s="411"/>
      <c r="K214" s="411"/>
      <c r="L214" s="411"/>
      <c r="M214" s="411"/>
      <c r="N214" s="411"/>
      <c r="O214" s="411"/>
      <c r="P214" s="411"/>
      <c r="Q214" s="411"/>
      <c r="R214" s="411"/>
      <c r="S214" s="411"/>
      <c r="T214" s="411"/>
    </row>
    <row r="215" spans="1:20" ht="15" thickBot="1" x14ac:dyDescent="0.4">
      <c r="A215" s="412">
        <v>-1306.18</v>
      </c>
      <c r="B215" s="413">
        <v>1E-3</v>
      </c>
      <c r="C215" s="413">
        <v>0.78700000000000003</v>
      </c>
      <c r="D215" s="414">
        <f t="shared" si="7"/>
        <v>-130.61799999999999</v>
      </c>
      <c r="E215" s="414"/>
      <c r="F215" s="415">
        <f t="shared" si="8"/>
        <v>-62209.013999999952</v>
      </c>
      <c r="G215" s="411"/>
      <c r="H215" s="411"/>
      <c r="I215" s="411"/>
      <c r="J215" s="411"/>
      <c r="K215" s="411"/>
      <c r="L215" s="411"/>
      <c r="M215" s="411"/>
      <c r="N215" s="411"/>
      <c r="O215" s="411"/>
      <c r="P215" s="411"/>
      <c r="Q215" s="411"/>
      <c r="R215" s="411"/>
      <c r="S215" s="411"/>
      <c r="T215" s="411"/>
    </row>
    <row r="216" spans="1:20" ht="15" thickBot="1" x14ac:dyDescent="0.4">
      <c r="A216" s="412">
        <v>-1299.1400000000001</v>
      </c>
      <c r="B216" s="413">
        <v>1E-3</v>
      </c>
      <c r="C216" s="413">
        <v>0.78600000000000003</v>
      </c>
      <c r="D216" s="414">
        <f t="shared" si="7"/>
        <v>-129.91400000000002</v>
      </c>
      <c r="E216" s="414"/>
      <c r="F216" s="415">
        <f t="shared" si="8"/>
        <v>-62338.927999999949</v>
      </c>
      <c r="G216" s="411"/>
      <c r="H216" s="411"/>
      <c r="I216" s="411"/>
      <c r="J216" s="411"/>
      <c r="K216" s="411"/>
      <c r="L216" s="411"/>
      <c r="M216" s="411"/>
      <c r="N216" s="411"/>
      <c r="O216" s="411"/>
      <c r="P216" s="411"/>
      <c r="Q216" s="411"/>
      <c r="R216" s="411"/>
      <c r="S216" s="411"/>
      <c r="T216" s="411"/>
    </row>
    <row r="217" spans="1:20" ht="15" thickBot="1" x14ac:dyDescent="0.4">
      <c r="A217" s="412">
        <v>-1296.9000000000001</v>
      </c>
      <c r="B217" s="413">
        <v>1E-3</v>
      </c>
      <c r="C217" s="413">
        <v>0.78500000000000003</v>
      </c>
      <c r="D217" s="414">
        <f t="shared" si="7"/>
        <v>-129.69000000000003</v>
      </c>
      <c r="E217" s="414"/>
      <c r="F217" s="415">
        <f t="shared" si="8"/>
        <v>-62468.617999999951</v>
      </c>
      <c r="G217" s="411"/>
      <c r="H217" s="411"/>
      <c r="I217" s="411"/>
      <c r="J217" s="411"/>
      <c r="K217" s="411"/>
      <c r="L217" s="411"/>
      <c r="M217" s="411"/>
      <c r="N217" s="411"/>
      <c r="O217" s="411"/>
      <c r="P217" s="411"/>
      <c r="Q217" s="411"/>
      <c r="R217" s="411"/>
      <c r="S217" s="411"/>
      <c r="T217" s="411"/>
    </row>
    <row r="218" spans="1:20" ht="15" thickBot="1" x14ac:dyDescent="0.4">
      <c r="A218" s="412">
        <v>-1296.7</v>
      </c>
      <c r="B218" s="413">
        <v>1E-3</v>
      </c>
      <c r="C218" s="413">
        <v>0.78400000000000003</v>
      </c>
      <c r="D218" s="414">
        <f t="shared" si="7"/>
        <v>-129.66999999999999</v>
      </c>
      <c r="E218" s="414"/>
      <c r="F218" s="415">
        <f t="shared" si="8"/>
        <v>-62598.28799999995</v>
      </c>
      <c r="G218" s="411"/>
      <c r="H218" s="411"/>
      <c r="I218" s="411"/>
      <c r="J218" s="411"/>
      <c r="K218" s="411"/>
      <c r="L218" s="411"/>
      <c r="M218" s="411"/>
      <c r="N218" s="411"/>
      <c r="O218" s="411"/>
      <c r="P218" s="411"/>
      <c r="Q218" s="411"/>
      <c r="R218" s="411"/>
      <c r="S218" s="411"/>
      <c r="T218" s="411"/>
    </row>
    <row r="219" spans="1:20" ht="15" thickBot="1" x14ac:dyDescent="0.4">
      <c r="A219" s="412">
        <v>-1285.79</v>
      </c>
      <c r="B219" s="413">
        <v>1E-3</v>
      </c>
      <c r="C219" s="413">
        <v>0.78300000000000003</v>
      </c>
      <c r="D219" s="414">
        <f t="shared" si="7"/>
        <v>-128.57900000000001</v>
      </c>
      <c r="E219" s="414"/>
      <c r="F219" s="415">
        <f t="shared" si="8"/>
        <v>-62726.866999999947</v>
      </c>
      <c r="G219" s="411"/>
      <c r="H219" s="411"/>
      <c r="I219" s="411"/>
      <c r="J219" s="411"/>
      <c r="K219" s="411"/>
      <c r="L219" s="411"/>
      <c r="M219" s="411"/>
      <c r="N219" s="411"/>
      <c r="O219" s="411"/>
      <c r="P219" s="411"/>
      <c r="Q219" s="411"/>
      <c r="R219" s="411"/>
      <c r="S219" s="411"/>
      <c r="T219" s="411"/>
    </row>
    <row r="220" spans="1:20" ht="15" thickBot="1" x14ac:dyDescent="0.4">
      <c r="A220" s="412">
        <v>-1278.94</v>
      </c>
      <c r="B220" s="413">
        <v>1E-3</v>
      </c>
      <c r="C220" s="413">
        <v>0.78200000000000003</v>
      </c>
      <c r="D220" s="414">
        <f t="shared" si="7"/>
        <v>-127.89400000000002</v>
      </c>
      <c r="E220" s="414"/>
      <c r="F220" s="415">
        <f t="shared" si="8"/>
        <v>-62854.760999999948</v>
      </c>
      <c r="G220" s="411"/>
      <c r="H220" s="411"/>
      <c r="I220" s="411"/>
      <c r="J220" s="411"/>
      <c r="K220" s="411"/>
      <c r="L220" s="411"/>
      <c r="M220" s="411"/>
      <c r="N220" s="411"/>
      <c r="O220" s="411"/>
      <c r="P220" s="411"/>
      <c r="Q220" s="411"/>
      <c r="R220" s="411"/>
      <c r="S220" s="411"/>
      <c r="T220" s="411"/>
    </row>
    <row r="221" spans="1:20" ht="15" thickBot="1" x14ac:dyDescent="0.4">
      <c r="A221" s="412">
        <v>-1263.0999999999999</v>
      </c>
      <c r="B221" s="413">
        <v>1E-3</v>
      </c>
      <c r="C221" s="413">
        <v>0.78100000000000003</v>
      </c>
      <c r="D221" s="414">
        <f t="shared" si="7"/>
        <v>-126.30999999999999</v>
      </c>
      <c r="E221" s="414"/>
      <c r="F221" s="415">
        <f t="shared" si="8"/>
        <v>-62981.070999999945</v>
      </c>
      <c r="G221" s="411"/>
      <c r="H221" s="411"/>
      <c r="I221" s="411"/>
      <c r="J221" s="411"/>
      <c r="K221" s="411"/>
      <c r="L221" s="411"/>
      <c r="M221" s="411"/>
      <c r="N221" s="411"/>
      <c r="O221" s="411"/>
      <c r="P221" s="411"/>
      <c r="Q221" s="411"/>
      <c r="R221" s="411"/>
      <c r="S221" s="411"/>
      <c r="T221" s="411"/>
    </row>
    <row r="222" spans="1:20" ht="15" thickBot="1" x14ac:dyDescent="0.4">
      <c r="A222" s="412">
        <v>-1254.82</v>
      </c>
      <c r="B222" s="413">
        <v>1E-3</v>
      </c>
      <c r="C222" s="413">
        <v>0.78</v>
      </c>
      <c r="D222" s="414">
        <f t="shared" si="7"/>
        <v>-125.482</v>
      </c>
      <c r="E222" s="414"/>
      <c r="F222" s="415">
        <f t="shared" si="8"/>
        <v>-63106.552999999949</v>
      </c>
      <c r="G222" s="411"/>
      <c r="H222" s="411"/>
      <c r="I222" s="411"/>
      <c r="J222" s="411"/>
      <c r="K222" s="411"/>
      <c r="L222" s="411"/>
      <c r="M222" s="411"/>
      <c r="N222" s="411"/>
      <c r="O222" s="411"/>
      <c r="P222" s="411"/>
      <c r="Q222" s="411"/>
      <c r="R222" s="411"/>
      <c r="S222" s="411"/>
      <c r="T222" s="411"/>
    </row>
    <row r="223" spans="1:20" ht="15" thickBot="1" x14ac:dyDescent="0.4">
      <c r="A223" s="412">
        <v>-1244.4000000000001</v>
      </c>
      <c r="B223" s="413">
        <v>1E-3</v>
      </c>
      <c r="C223" s="413">
        <v>0.77900000000000003</v>
      </c>
      <c r="D223" s="414">
        <f t="shared" si="7"/>
        <v>-124.44000000000001</v>
      </c>
      <c r="E223" s="414"/>
      <c r="F223" s="415">
        <f t="shared" si="8"/>
        <v>-63230.992999999951</v>
      </c>
      <c r="G223" s="411"/>
      <c r="H223" s="411"/>
      <c r="I223" s="411"/>
      <c r="J223" s="411"/>
      <c r="K223" s="411"/>
      <c r="L223" s="411"/>
      <c r="M223" s="411"/>
      <c r="N223" s="411"/>
      <c r="O223" s="411"/>
      <c r="P223" s="411"/>
      <c r="Q223" s="411"/>
      <c r="R223" s="411"/>
      <c r="S223" s="411"/>
      <c r="T223" s="411"/>
    </row>
    <row r="224" spans="1:20" ht="15" thickBot="1" x14ac:dyDescent="0.4">
      <c r="A224" s="412">
        <v>-1239.27</v>
      </c>
      <c r="B224" s="413">
        <v>1E-3</v>
      </c>
      <c r="C224" s="413">
        <v>0.77800000000000002</v>
      </c>
      <c r="D224" s="414">
        <f t="shared" si="7"/>
        <v>-123.92700000000001</v>
      </c>
      <c r="E224" s="414"/>
      <c r="F224" s="415">
        <f t="shared" si="8"/>
        <v>-63354.919999999955</v>
      </c>
      <c r="G224" s="411"/>
      <c r="H224" s="411"/>
      <c r="I224" s="411"/>
      <c r="J224" s="411"/>
      <c r="K224" s="411"/>
      <c r="L224" s="411"/>
      <c r="M224" s="411"/>
      <c r="N224" s="411"/>
      <c r="O224" s="411"/>
      <c r="P224" s="411"/>
      <c r="Q224" s="411"/>
      <c r="R224" s="411"/>
      <c r="S224" s="411"/>
      <c r="T224" s="411"/>
    </row>
    <row r="225" spans="1:20" ht="15" thickBot="1" x14ac:dyDescent="0.4">
      <c r="A225" s="412">
        <v>-1238.01</v>
      </c>
      <c r="B225" s="413">
        <v>1E-3</v>
      </c>
      <c r="C225" s="413">
        <v>0.77700000000000002</v>
      </c>
      <c r="D225" s="414">
        <f t="shared" si="7"/>
        <v>-123.801</v>
      </c>
      <c r="E225" s="414"/>
      <c r="F225" s="415">
        <f t="shared" si="8"/>
        <v>-63478.720999999954</v>
      </c>
      <c r="G225" s="411"/>
      <c r="H225" s="411"/>
      <c r="I225" s="411"/>
      <c r="J225" s="411"/>
      <c r="K225" s="411"/>
      <c r="L225" s="411"/>
      <c r="M225" s="411"/>
      <c r="N225" s="411"/>
      <c r="O225" s="411"/>
      <c r="P225" s="411"/>
      <c r="Q225" s="411"/>
      <c r="R225" s="411"/>
      <c r="S225" s="411"/>
      <c r="T225" s="411"/>
    </row>
    <row r="226" spans="1:20" ht="15" thickBot="1" x14ac:dyDescent="0.4">
      <c r="A226" s="412">
        <v>-1236.18</v>
      </c>
      <c r="B226" s="413">
        <v>1E-3</v>
      </c>
      <c r="C226" s="413">
        <v>0.77600000000000002</v>
      </c>
      <c r="D226" s="414">
        <f t="shared" si="7"/>
        <v>-123.61800000000001</v>
      </c>
      <c r="E226" s="414"/>
      <c r="F226" s="415">
        <f t="shared" si="8"/>
        <v>-63602.338999999956</v>
      </c>
      <c r="G226" s="411"/>
      <c r="H226" s="411"/>
      <c r="I226" s="411"/>
      <c r="J226" s="411"/>
      <c r="K226" s="411"/>
      <c r="L226" s="411"/>
      <c r="M226" s="411"/>
      <c r="N226" s="411"/>
      <c r="O226" s="411"/>
      <c r="P226" s="411"/>
      <c r="Q226" s="411"/>
      <c r="R226" s="411"/>
      <c r="S226" s="411"/>
      <c r="T226" s="411"/>
    </row>
    <row r="227" spans="1:20" ht="15" thickBot="1" x14ac:dyDescent="0.4">
      <c r="A227" s="412">
        <v>-1217.32</v>
      </c>
      <c r="B227" s="413">
        <v>1E-3</v>
      </c>
      <c r="C227" s="413">
        <v>0.77500000000000002</v>
      </c>
      <c r="D227" s="414">
        <f t="shared" si="7"/>
        <v>-121.732</v>
      </c>
      <c r="E227" s="414"/>
      <c r="F227" s="415">
        <f t="shared" si="8"/>
        <v>-63724.07099999996</v>
      </c>
      <c r="G227" s="411"/>
      <c r="H227" s="411"/>
      <c r="I227" s="411"/>
      <c r="J227" s="411"/>
      <c r="K227" s="411"/>
      <c r="L227" s="411"/>
      <c r="M227" s="411"/>
      <c r="N227" s="411"/>
      <c r="O227" s="411"/>
      <c r="P227" s="411"/>
      <c r="Q227" s="411"/>
      <c r="R227" s="411"/>
      <c r="S227" s="411"/>
      <c r="T227" s="411"/>
    </row>
    <row r="228" spans="1:20" ht="15" thickBot="1" x14ac:dyDescent="0.4">
      <c r="A228" s="412">
        <v>-1215.9000000000001</v>
      </c>
      <c r="B228" s="413">
        <v>1E-3</v>
      </c>
      <c r="C228" s="413">
        <v>0.77400000000000002</v>
      </c>
      <c r="D228" s="414">
        <f t="shared" si="7"/>
        <v>-121.59000000000002</v>
      </c>
      <c r="E228" s="414"/>
      <c r="F228" s="415">
        <f t="shared" si="8"/>
        <v>-63845.660999999956</v>
      </c>
      <c r="G228" s="411"/>
      <c r="H228" s="411"/>
      <c r="I228" s="411"/>
      <c r="J228" s="411"/>
      <c r="K228" s="411"/>
      <c r="L228" s="411"/>
      <c r="M228" s="411"/>
      <c r="N228" s="411"/>
      <c r="O228" s="411"/>
      <c r="P228" s="411"/>
      <c r="Q228" s="411"/>
      <c r="R228" s="411"/>
      <c r="S228" s="411"/>
      <c r="T228" s="411"/>
    </row>
    <row r="229" spans="1:20" ht="15" thickBot="1" x14ac:dyDescent="0.4">
      <c r="A229" s="412">
        <v>-1214.6600000000001</v>
      </c>
      <c r="B229" s="413">
        <v>1E-3</v>
      </c>
      <c r="C229" s="413">
        <v>0.77300000000000002</v>
      </c>
      <c r="D229" s="414">
        <f t="shared" si="7"/>
        <v>-121.46600000000001</v>
      </c>
      <c r="E229" s="414"/>
      <c r="F229" s="415">
        <f t="shared" si="8"/>
        <v>-63967.126999999957</v>
      </c>
      <c r="G229" s="411"/>
      <c r="H229" s="411"/>
      <c r="I229" s="411"/>
      <c r="J229" s="411"/>
      <c r="K229" s="411"/>
      <c r="L229" s="411"/>
      <c r="M229" s="411"/>
      <c r="N229" s="411"/>
      <c r="O229" s="411"/>
      <c r="P229" s="411"/>
      <c r="Q229" s="411"/>
      <c r="R229" s="411"/>
      <c r="S229" s="411"/>
      <c r="T229" s="411"/>
    </row>
    <row r="230" spans="1:20" ht="15" thickBot="1" x14ac:dyDescent="0.4">
      <c r="A230" s="412">
        <v>-1205.4100000000001</v>
      </c>
      <c r="B230" s="413">
        <v>1E-3</v>
      </c>
      <c r="C230" s="413">
        <v>0.77200000000000002</v>
      </c>
      <c r="D230" s="414">
        <f t="shared" si="7"/>
        <v>-120.54100000000001</v>
      </c>
      <c r="E230" s="414"/>
      <c r="F230" s="415">
        <f t="shared" si="8"/>
        <v>-64087.667999999954</v>
      </c>
      <c r="G230" s="411"/>
      <c r="H230" s="411"/>
      <c r="I230" s="411"/>
      <c r="J230" s="411"/>
      <c r="K230" s="411"/>
      <c r="L230" s="411"/>
      <c r="M230" s="411"/>
      <c r="N230" s="411"/>
      <c r="O230" s="411"/>
      <c r="P230" s="411"/>
      <c r="Q230" s="411"/>
      <c r="R230" s="411"/>
      <c r="S230" s="411"/>
      <c r="T230" s="411"/>
    </row>
    <row r="231" spans="1:20" ht="15" thickBot="1" x14ac:dyDescent="0.4">
      <c r="A231" s="412">
        <v>-1200.02</v>
      </c>
      <c r="B231" s="413">
        <v>1E-3</v>
      </c>
      <c r="C231" s="413">
        <v>0.77100000000000002</v>
      </c>
      <c r="D231" s="414">
        <f t="shared" si="7"/>
        <v>-120.00200000000001</v>
      </c>
      <c r="E231" s="414"/>
      <c r="F231" s="415">
        <f t="shared" si="8"/>
        <v>-64207.669999999955</v>
      </c>
      <c r="G231" s="411"/>
      <c r="H231" s="411"/>
      <c r="I231" s="411"/>
      <c r="J231" s="411"/>
      <c r="K231" s="411"/>
      <c r="L231" s="411"/>
      <c r="M231" s="411"/>
      <c r="N231" s="411"/>
      <c r="O231" s="411"/>
      <c r="P231" s="411"/>
      <c r="Q231" s="411"/>
      <c r="R231" s="411"/>
      <c r="S231" s="411"/>
      <c r="T231" s="411"/>
    </row>
    <row r="232" spans="1:20" ht="15" thickBot="1" x14ac:dyDescent="0.4">
      <c r="A232" s="412">
        <v>-1196.6500000000001</v>
      </c>
      <c r="B232" s="413">
        <v>1E-3</v>
      </c>
      <c r="C232" s="413">
        <v>0.77</v>
      </c>
      <c r="D232" s="414">
        <f t="shared" si="7"/>
        <v>-119.66500000000002</v>
      </c>
      <c r="E232" s="414"/>
      <c r="F232" s="415">
        <f t="shared" si="8"/>
        <v>-64327.334999999955</v>
      </c>
      <c r="G232" s="411"/>
      <c r="H232" s="411"/>
      <c r="I232" s="411"/>
      <c r="J232" s="411"/>
      <c r="K232" s="411"/>
      <c r="L232" s="411"/>
      <c r="M232" s="411"/>
      <c r="N232" s="411"/>
      <c r="O232" s="411"/>
      <c r="P232" s="411"/>
      <c r="Q232" s="411"/>
      <c r="R232" s="411"/>
      <c r="S232" s="411"/>
      <c r="T232" s="411"/>
    </row>
    <row r="233" spans="1:20" ht="15" thickBot="1" x14ac:dyDescent="0.4">
      <c r="A233" s="412">
        <v>-1193.06</v>
      </c>
      <c r="B233" s="413">
        <v>1E-3</v>
      </c>
      <c r="C233" s="413">
        <v>0.76900000000000002</v>
      </c>
      <c r="D233" s="414">
        <f t="shared" si="7"/>
        <v>-119.306</v>
      </c>
      <c r="E233" s="414"/>
      <c r="F233" s="415">
        <f t="shared" si="8"/>
        <v>-64446.640999999952</v>
      </c>
      <c r="G233" s="411"/>
      <c r="H233" s="411"/>
      <c r="I233" s="411"/>
      <c r="J233" s="411"/>
      <c r="K233" s="411"/>
      <c r="L233" s="411"/>
      <c r="M233" s="411"/>
      <c r="N233" s="411"/>
      <c r="O233" s="411"/>
      <c r="P233" s="411"/>
      <c r="Q233" s="411"/>
      <c r="R233" s="411"/>
      <c r="S233" s="411"/>
      <c r="T233" s="411"/>
    </row>
    <row r="234" spans="1:20" ht="15" thickBot="1" x14ac:dyDescent="0.4">
      <c r="A234" s="412">
        <v>-1191.22</v>
      </c>
      <c r="B234" s="413">
        <v>1E-3</v>
      </c>
      <c r="C234" s="413">
        <v>0.76800000000000002</v>
      </c>
      <c r="D234" s="414">
        <f t="shared" si="7"/>
        <v>-119.12199999999999</v>
      </c>
      <c r="E234" s="414"/>
      <c r="F234" s="415">
        <f t="shared" si="8"/>
        <v>-64565.762999999955</v>
      </c>
      <c r="G234" s="411"/>
      <c r="H234" s="411"/>
      <c r="I234" s="411"/>
      <c r="J234" s="411"/>
      <c r="K234" s="411"/>
      <c r="L234" s="411"/>
      <c r="M234" s="411"/>
      <c r="N234" s="411"/>
      <c r="O234" s="411"/>
      <c r="P234" s="411"/>
      <c r="Q234" s="411"/>
      <c r="R234" s="411"/>
      <c r="S234" s="411"/>
      <c r="T234" s="411"/>
    </row>
    <row r="235" spans="1:20" ht="15" thickBot="1" x14ac:dyDescent="0.4">
      <c r="A235" s="412">
        <v>-1189.3599999999999</v>
      </c>
      <c r="B235" s="413">
        <v>1E-3</v>
      </c>
      <c r="C235" s="413">
        <v>0.76700000000000002</v>
      </c>
      <c r="D235" s="414">
        <f t="shared" si="7"/>
        <v>-118.93599999999999</v>
      </c>
      <c r="E235" s="414"/>
      <c r="F235" s="415">
        <f t="shared" si="8"/>
        <v>-64684.698999999957</v>
      </c>
      <c r="G235" s="411"/>
      <c r="H235" s="411"/>
      <c r="I235" s="411"/>
      <c r="J235" s="411"/>
      <c r="K235" s="411"/>
      <c r="L235" s="411"/>
      <c r="M235" s="411"/>
      <c r="N235" s="411"/>
      <c r="O235" s="411"/>
      <c r="P235" s="411"/>
      <c r="Q235" s="411"/>
      <c r="R235" s="411"/>
      <c r="S235" s="411"/>
      <c r="T235" s="411"/>
    </row>
    <row r="236" spans="1:20" ht="15" thickBot="1" x14ac:dyDescent="0.4">
      <c r="A236" s="412">
        <v>-1186.5999999999999</v>
      </c>
      <c r="B236" s="413">
        <v>1E-3</v>
      </c>
      <c r="C236" s="413">
        <v>0.76600000000000001</v>
      </c>
      <c r="D236" s="414">
        <f t="shared" si="7"/>
        <v>-118.65999999999998</v>
      </c>
      <c r="E236" s="414"/>
      <c r="F236" s="415">
        <f t="shared" si="8"/>
        <v>-64803.35899999996</v>
      </c>
      <c r="G236" s="411"/>
      <c r="H236" s="411"/>
      <c r="I236" s="411"/>
      <c r="J236" s="411"/>
      <c r="K236" s="411"/>
      <c r="L236" s="411"/>
      <c r="M236" s="411"/>
      <c r="N236" s="411"/>
      <c r="O236" s="411"/>
      <c r="P236" s="411"/>
      <c r="Q236" s="411"/>
      <c r="R236" s="411"/>
      <c r="S236" s="411"/>
      <c r="T236" s="411"/>
    </row>
    <row r="237" spans="1:20" ht="15" thickBot="1" x14ac:dyDescent="0.4">
      <c r="A237" s="412">
        <v>-1160.45</v>
      </c>
      <c r="B237" s="413">
        <v>1E-3</v>
      </c>
      <c r="C237" s="413">
        <v>0.76500000000000001</v>
      </c>
      <c r="D237" s="414">
        <f t="shared" si="7"/>
        <v>-116.045</v>
      </c>
      <c r="E237" s="414"/>
      <c r="F237" s="415">
        <f t="shared" si="8"/>
        <v>-64919.403999999959</v>
      </c>
      <c r="G237" s="411"/>
      <c r="H237" s="411"/>
      <c r="I237" s="411"/>
      <c r="J237" s="411"/>
      <c r="K237" s="411"/>
      <c r="L237" s="411"/>
      <c r="M237" s="411"/>
      <c r="N237" s="411"/>
      <c r="O237" s="411"/>
      <c r="P237" s="411"/>
      <c r="Q237" s="411"/>
      <c r="R237" s="411"/>
      <c r="S237" s="411"/>
      <c r="T237" s="411"/>
    </row>
    <row r="238" spans="1:20" ht="15" thickBot="1" x14ac:dyDescent="0.4">
      <c r="A238" s="412">
        <v>-1137.8800000000001</v>
      </c>
      <c r="B238" s="413">
        <v>1E-3</v>
      </c>
      <c r="C238" s="413">
        <v>0.76400000000000001</v>
      </c>
      <c r="D238" s="414">
        <f t="shared" si="7"/>
        <v>-113.78800000000003</v>
      </c>
      <c r="E238" s="414"/>
      <c r="F238" s="415">
        <f t="shared" si="8"/>
        <v>-65033.191999999959</v>
      </c>
      <c r="G238" s="411"/>
      <c r="H238" s="411"/>
      <c r="I238" s="411"/>
      <c r="J238" s="411"/>
      <c r="K238" s="411"/>
      <c r="L238" s="411"/>
      <c r="M238" s="411"/>
      <c r="N238" s="411"/>
      <c r="O238" s="411"/>
      <c r="P238" s="411"/>
      <c r="Q238" s="411"/>
      <c r="R238" s="411"/>
      <c r="S238" s="411"/>
      <c r="T238" s="411"/>
    </row>
    <row r="239" spans="1:20" ht="15" thickBot="1" x14ac:dyDescent="0.4">
      <c r="A239" s="412">
        <v>-1123.0899999999999</v>
      </c>
      <c r="B239" s="413">
        <v>1E-3</v>
      </c>
      <c r="C239" s="413">
        <v>0.76300000000000001</v>
      </c>
      <c r="D239" s="414">
        <f t="shared" si="7"/>
        <v>-112.30899999999998</v>
      </c>
      <c r="E239" s="414"/>
      <c r="F239" s="415">
        <f t="shared" si="8"/>
        <v>-65145.50099999996</v>
      </c>
      <c r="G239" s="411"/>
      <c r="H239" s="411"/>
      <c r="I239" s="411"/>
      <c r="J239" s="411"/>
      <c r="K239" s="411"/>
      <c r="L239" s="411"/>
      <c r="M239" s="411"/>
      <c r="N239" s="411"/>
      <c r="O239" s="411"/>
      <c r="P239" s="411"/>
      <c r="Q239" s="411"/>
      <c r="R239" s="411"/>
      <c r="S239" s="411"/>
      <c r="T239" s="411"/>
    </row>
    <row r="240" spans="1:20" ht="15" thickBot="1" x14ac:dyDescent="0.4">
      <c r="A240" s="412">
        <v>-1110.03</v>
      </c>
      <c r="B240" s="413">
        <v>1E-3</v>
      </c>
      <c r="C240" s="413">
        <v>0.76200000000000001</v>
      </c>
      <c r="D240" s="414">
        <f t="shared" si="7"/>
        <v>-111.003</v>
      </c>
      <c r="E240" s="414"/>
      <c r="F240" s="415">
        <f t="shared" si="8"/>
        <v>-65256.503999999957</v>
      </c>
      <c r="G240" s="411"/>
      <c r="H240" s="411"/>
      <c r="I240" s="411"/>
      <c r="J240" s="411"/>
      <c r="K240" s="411"/>
      <c r="L240" s="411"/>
      <c r="M240" s="411"/>
      <c r="N240" s="411"/>
      <c r="O240" s="411"/>
      <c r="P240" s="411"/>
      <c r="Q240" s="411"/>
      <c r="R240" s="411"/>
      <c r="S240" s="411"/>
      <c r="T240" s="411"/>
    </row>
    <row r="241" spans="1:20" ht="15" thickBot="1" x14ac:dyDescent="0.4">
      <c r="A241" s="412">
        <v>-1109.3800000000001</v>
      </c>
      <c r="B241" s="413">
        <v>1E-3</v>
      </c>
      <c r="C241" s="413">
        <v>0.76100000000000001</v>
      </c>
      <c r="D241" s="414">
        <f t="shared" si="7"/>
        <v>-110.938</v>
      </c>
      <c r="E241" s="414"/>
      <c r="F241" s="415">
        <f t="shared" si="8"/>
        <v>-65367.441999999959</v>
      </c>
      <c r="G241" s="411"/>
      <c r="H241" s="411"/>
      <c r="I241" s="411"/>
      <c r="J241" s="411"/>
      <c r="K241" s="411"/>
      <c r="L241" s="411"/>
      <c r="M241" s="411"/>
      <c r="N241" s="411"/>
      <c r="O241" s="411"/>
      <c r="P241" s="411"/>
      <c r="Q241" s="411"/>
      <c r="R241" s="411"/>
      <c r="S241" s="411"/>
      <c r="T241" s="411"/>
    </row>
    <row r="242" spans="1:20" ht="15" thickBot="1" x14ac:dyDescent="0.4">
      <c r="A242" s="412">
        <v>-1108.45</v>
      </c>
      <c r="B242" s="413">
        <v>1E-3</v>
      </c>
      <c r="C242" s="413">
        <v>0.76</v>
      </c>
      <c r="D242" s="414">
        <f t="shared" si="7"/>
        <v>-110.84500000000001</v>
      </c>
      <c r="E242" s="414"/>
      <c r="F242" s="415">
        <f t="shared" si="8"/>
        <v>-65478.28699999996</v>
      </c>
      <c r="G242" s="411"/>
      <c r="H242" s="411"/>
      <c r="I242" s="411"/>
      <c r="J242" s="411"/>
      <c r="K242" s="411"/>
      <c r="L242" s="411"/>
      <c r="M242" s="411"/>
      <c r="N242" s="411"/>
      <c r="O242" s="411"/>
      <c r="P242" s="411"/>
      <c r="Q242" s="411"/>
      <c r="R242" s="411"/>
      <c r="S242" s="411"/>
      <c r="T242" s="411"/>
    </row>
    <row r="243" spans="1:20" ht="15" thickBot="1" x14ac:dyDescent="0.4">
      <c r="A243" s="412">
        <v>-1103.94</v>
      </c>
      <c r="B243" s="413">
        <v>1E-3</v>
      </c>
      <c r="C243" s="413">
        <v>0.75900000000000001</v>
      </c>
      <c r="D243" s="414">
        <f t="shared" si="7"/>
        <v>-110.39400000000001</v>
      </c>
      <c r="E243" s="414"/>
      <c r="F243" s="415">
        <f t="shared" si="8"/>
        <v>-65588.680999999953</v>
      </c>
      <c r="G243" s="411"/>
      <c r="H243" s="411"/>
      <c r="I243" s="411"/>
      <c r="J243" s="411"/>
      <c r="K243" s="411"/>
      <c r="L243" s="411"/>
      <c r="M243" s="411"/>
      <c r="N243" s="411"/>
      <c r="O243" s="411"/>
      <c r="P243" s="411"/>
      <c r="Q243" s="411"/>
      <c r="R243" s="411"/>
      <c r="S243" s="411"/>
      <c r="T243" s="411"/>
    </row>
    <row r="244" spans="1:20" ht="15" thickBot="1" x14ac:dyDescent="0.4">
      <c r="A244" s="412">
        <v>-1101.33</v>
      </c>
      <c r="B244" s="413">
        <v>1E-3</v>
      </c>
      <c r="C244" s="413">
        <v>0.75800000000000001</v>
      </c>
      <c r="D244" s="414">
        <f t="shared" si="7"/>
        <v>-110.133</v>
      </c>
      <c r="E244" s="414"/>
      <c r="F244" s="415">
        <f t="shared" si="8"/>
        <v>-65698.813999999955</v>
      </c>
      <c r="G244" s="411"/>
      <c r="H244" s="411"/>
      <c r="I244" s="411"/>
      <c r="J244" s="411"/>
      <c r="K244" s="411"/>
      <c r="L244" s="411"/>
      <c r="M244" s="411"/>
      <c r="N244" s="411"/>
      <c r="O244" s="411"/>
      <c r="P244" s="411"/>
      <c r="Q244" s="411"/>
      <c r="R244" s="411"/>
      <c r="S244" s="411"/>
      <c r="T244" s="411"/>
    </row>
    <row r="245" spans="1:20" ht="15" thickBot="1" x14ac:dyDescent="0.4">
      <c r="A245" s="412">
        <v>-1095.25</v>
      </c>
      <c r="B245" s="413">
        <v>1E-3</v>
      </c>
      <c r="C245" s="413">
        <v>0.75700000000000001</v>
      </c>
      <c r="D245" s="414">
        <f t="shared" si="7"/>
        <v>-109.52500000000001</v>
      </c>
      <c r="E245" s="414"/>
      <c r="F245" s="415">
        <f t="shared" si="8"/>
        <v>-65808.338999999949</v>
      </c>
      <c r="G245" s="411"/>
      <c r="H245" s="411"/>
      <c r="I245" s="411"/>
      <c r="J245" s="411"/>
      <c r="K245" s="411"/>
      <c r="L245" s="411"/>
      <c r="M245" s="411"/>
      <c r="N245" s="411"/>
      <c r="O245" s="411"/>
      <c r="P245" s="411"/>
      <c r="Q245" s="411"/>
      <c r="R245" s="411"/>
      <c r="S245" s="411"/>
      <c r="T245" s="411"/>
    </row>
    <row r="246" spans="1:20" ht="15" thickBot="1" x14ac:dyDescent="0.4">
      <c r="A246" s="412">
        <v>-1093.3800000000001</v>
      </c>
      <c r="B246" s="413">
        <v>1E-3</v>
      </c>
      <c r="C246" s="413">
        <v>0.75600000000000001</v>
      </c>
      <c r="D246" s="414">
        <f t="shared" si="7"/>
        <v>-109.33800000000002</v>
      </c>
      <c r="E246" s="414"/>
      <c r="F246" s="415">
        <f t="shared" si="8"/>
        <v>-65917.676999999952</v>
      </c>
      <c r="G246" s="411"/>
      <c r="H246" s="411"/>
      <c r="I246" s="411"/>
      <c r="J246" s="411"/>
      <c r="K246" s="411"/>
      <c r="L246" s="411"/>
      <c r="M246" s="411"/>
      <c r="N246" s="411"/>
      <c r="O246" s="411"/>
      <c r="P246" s="411"/>
      <c r="Q246" s="411"/>
      <c r="R246" s="411"/>
      <c r="S246" s="411"/>
      <c r="T246" s="411"/>
    </row>
    <row r="247" spans="1:20" ht="15" thickBot="1" x14ac:dyDescent="0.4">
      <c r="A247" s="412">
        <v>-1090.18</v>
      </c>
      <c r="B247" s="413">
        <v>1E-3</v>
      </c>
      <c r="C247" s="413">
        <v>0.755</v>
      </c>
      <c r="D247" s="414">
        <f t="shared" si="7"/>
        <v>-109.01800000000001</v>
      </c>
      <c r="E247" s="414"/>
      <c r="F247" s="415">
        <f t="shared" si="8"/>
        <v>-66026.694999999949</v>
      </c>
      <c r="G247" s="411"/>
      <c r="H247" s="411"/>
      <c r="I247" s="411"/>
      <c r="J247" s="411"/>
      <c r="K247" s="411"/>
      <c r="L247" s="411"/>
      <c r="M247" s="411"/>
      <c r="N247" s="411"/>
      <c r="O247" s="411"/>
      <c r="P247" s="411"/>
      <c r="Q247" s="411"/>
      <c r="R247" s="411"/>
      <c r="S247" s="411"/>
      <c r="T247" s="411"/>
    </row>
    <row r="248" spans="1:20" ht="15" thickBot="1" x14ac:dyDescent="0.4">
      <c r="A248" s="412">
        <v>-1089.96</v>
      </c>
      <c r="B248" s="413">
        <v>1E-3</v>
      </c>
      <c r="C248" s="413">
        <v>0.754</v>
      </c>
      <c r="D248" s="414">
        <f t="shared" si="7"/>
        <v>-108.996</v>
      </c>
      <c r="E248" s="414"/>
      <c r="F248" s="415">
        <f t="shared" si="8"/>
        <v>-66135.690999999948</v>
      </c>
      <c r="G248" s="411"/>
      <c r="H248" s="411"/>
      <c r="I248" s="411"/>
      <c r="J248" s="411"/>
      <c r="K248" s="411"/>
      <c r="L248" s="411"/>
      <c r="M248" s="411"/>
      <c r="N248" s="411"/>
      <c r="O248" s="411"/>
      <c r="P248" s="411"/>
      <c r="Q248" s="411"/>
      <c r="R248" s="411"/>
      <c r="S248" s="411"/>
      <c r="T248" s="411"/>
    </row>
    <row r="249" spans="1:20" ht="15" thickBot="1" x14ac:dyDescent="0.4">
      <c r="A249" s="412">
        <v>-1089.31</v>
      </c>
      <c r="B249" s="413">
        <v>1E-3</v>
      </c>
      <c r="C249" s="413">
        <v>0.753</v>
      </c>
      <c r="D249" s="414">
        <f t="shared" si="7"/>
        <v>-108.931</v>
      </c>
      <c r="E249" s="414"/>
      <c r="F249" s="415">
        <f t="shared" si="8"/>
        <v>-66244.621999999945</v>
      </c>
      <c r="G249" s="411"/>
      <c r="H249" s="411"/>
      <c r="I249" s="411"/>
      <c r="J249" s="411"/>
      <c r="K249" s="411"/>
      <c r="L249" s="411"/>
      <c r="M249" s="411"/>
      <c r="N249" s="411"/>
      <c r="O249" s="411"/>
      <c r="P249" s="411"/>
      <c r="Q249" s="411"/>
      <c r="R249" s="411"/>
      <c r="S249" s="411"/>
      <c r="T249" s="411"/>
    </row>
    <row r="250" spans="1:20" ht="15" thickBot="1" x14ac:dyDescent="0.4">
      <c r="A250" s="412">
        <v>-1083.32</v>
      </c>
      <c r="B250" s="413">
        <v>1E-3</v>
      </c>
      <c r="C250" s="413">
        <v>0.752</v>
      </c>
      <c r="D250" s="414">
        <f t="shared" si="7"/>
        <v>-108.33200000000001</v>
      </c>
      <c r="E250" s="414"/>
      <c r="F250" s="415">
        <f t="shared" si="8"/>
        <v>-66352.95399999994</v>
      </c>
      <c r="G250" s="411"/>
      <c r="H250" s="411"/>
      <c r="I250" s="411"/>
      <c r="J250" s="411"/>
      <c r="K250" s="411"/>
      <c r="L250" s="411"/>
      <c r="M250" s="411"/>
      <c r="N250" s="411"/>
      <c r="O250" s="411"/>
      <c r="P250" s="411"/>
      <c r="Q250" s="411"/>
      <c r="R250" s="411"/>
      <c r="S250" s="411"/>
      <c r="T250" s="411"/>
    </row>
    <row r="251" spans="1:20" ht="15" thickBot="1" x14ac:dyDescent="0.4">
      <c r="A251" s="412">
        <v>-1078.83</v>
      </c>
      <c r="B251" s="413">
        <v>1E-3</v>
      </c>
      <c r="C251" s="413">
        <v>0.751</v>
      </c>
      <c r="D251" s="414">
        <f t="shared" si="7"/>
        <v>-107.883</v>
      </c>
      <c r="E251" s="414"/>
      <c r="F251" s="415">
        <f t="shared" si="8"/>
        <v>-66460.836999999941</v>
      </c>
      <c r="G251" s="411"/>
      <c r="H251" s="411"/>
      <c r="I251" s="411"/>
      <c r="J251" s="411"/>
      <c r="K251" s="411"/>
      <c r="L251" s="411"/>
      <c r="M251" s="411"/>
      <c r="N251" s="411"/>
      <c r="O251" s="411"/>
      <c r="P251" s="411"/>
      <c r="Q251" s="411"/>
      <c r="R251" s="411"/>
      <c r="S251" s="411"/>
      <c r="T251" s="411"/>
    </row>
    <row r="252" spans="1:20" ht="15" thickBot="1" x14ac:dyDescent="0.4">
      <c r="A252" s="412">
        <v>-1077.32</v>
      </c>
      <c r="B252" s="413">
        <v>1E-3</v>
      </c>
      <c r="C252" s="413">
        <v>0.75</v>
      </c>
      <c r="D252" s="414">
        <f t="shared" si="7"/>
        <v>-107.732</v>
      </c>
      <c r="E252" s="414"/>
      <c r="F252" s="415">
        <f t="shared" si="8"/>
        <v>-66568.568999999945</v>
      </c>
      <c r="G252" s="411"/>
      <c r="H252" s="411"/>
      <c r="I252" s="411"/>
      <c r="J252" s="411"/>
      <c r="K252" s="411"/>
      <c r="L252" s="411"/>
      <c r="M252" s="411"/>
      <c r="N252" s="411"/>
      <c r="O252" s="411"/>
      <c r="P252" s="411"/>
      <c r="Q252" s="411"/>
      <c r="R252" s="411"/>
      <c r="S252" s="411"/>
      <c r="T252" s="411"/>
    </row>
    <row r="253" spans="1:20" ht="15" thickBot="1" x14ac:dyDescent="0.4">
      <c r="A253" s="412">
        <v>-1037.6300000000001</v>
      </c>
      <c r="B253" s="413">
        <v>1E-3</v>
      </c>
      <c r="C253" s="413">
        <v>0.749</v>
      </c>
      <c r="D253" s="414">
        <f t="shared" si="7"/>
        <v>-103.76300000000001</v>
      </c>
      <c r="E253" s="414"/>
      <c r="F253" s="415">
        <f t="shared" si="8"/>
        <v>-66672.331999999951</v>
      </c>
      <c r="G253" s="411"/>
      <c r="H253" s="411"/>
      <c r="I253" s="411"/>
      <c r="J253" s="411"/>
      <c r="K253" s="411"/>
      <c r="L253" s="411"/>
      <c r="M253" s="411"/>
      <c r="N253" s="411"/>
      <c r="O253" s="411"/>
      <c r="P253" s="411"/>
      <c r="Q253" s="411"/>
      <c r="R253" s="411"/>
      <c r="S253" s="411"/>
      <c r="T253" s="411"/>
    </row>
    <row r="254" spans="1:20" ht="15" thickBot="1" x14ac:dyDescent="0.4">
      <c r="A254" s="412">
        <v>-1024.83</v>
      </c>
      <c r="B254" s="413">
        <v>1E-3</v>
      </c>
      <c r="C254" s="413">
        <v>0.748</v>
      </c>
      <c r="D254" s="414">
        <f t="shared" si="7"/>
        <v>-102.48299999999999</v>
      </c>
      <c r="E254" s="414"/>
      <c r="F254" s="415">
        <f t="shared" si="8"/>
        <v>-66774.814999999944</v>
      </c>
      <c r="G254" s="411"/>
      <c r="H254" s="411"/>
      <c r="I254" s="411"/>
      <c r="J254" s="411"/>
      <c r="K254" s="411"/>
      <c r="L254" s="411"/>
      <c r="M254" s="411"/>
      <c r="N254" s="411"/>
      <c r="O254" s="411"/>
      <c r="P254" s="411"/>
      <c r="Q254" s="411"/>
      <c r="R254" s="411"/>
      <c r="S254" s="411"/>
      <c r="T254" s="411"/>
    </row>
    <row r="255" spans="1:20" ht="15" thickBot="1" x14ac:dyDescent="0.4">
      <c r="A255" s="412">
        <v>-1010.95</v>
      </c>
      <c r="B255" s="413">
        <v>1E-3</v>
      </c>
      <c r="C255" s="413">
        <v>0.747</v>
      </c>
      <c r="D255" s="414">
        <f t="shared" si="7"/>
        <v>-101.095</v>
      </c>
      <c r="E255" s="414"/>
      <c r="F255" s="415">
        <f t="shared" si="8"/>
        <v>-66875.909999999945</v>
      </c>
      <c r="G255" s="411"/>
      <c r="H255" s="411"/>
      <c r="I255" s="411"/>
      <c r="J255" s="411"/>
      <c r="K255" s="411"/>
      <c r="L255" s="411"/>
      <c r="M255" s="411"/>
      <c r="N255" s="411"/>
      <c r="O255" s="411"/>
      <c r="P255" s="411"/>
      <c r="Q255" s="411"/>
      <c r="R255" s="411"/>
      <c r="S255" s="411"/>
      <c r="T255" s="411"/>
    </row>
    <row r="256" spans="1:20" ht="15" thickBot="1" x14ac:dyDescent="0.4">
      <c r="A256" s="412">
        <v>-1002.9</v>
      </c>
      <c r="B256" s="413">
        <v>1E-3</v>
      </c>
      <c r="C256" s="413">
        <v>0.746</v>
      </c>
      <c r="D256" s="414">
        <f t="shared" si="7"/>
        <v>-100.28999999999999</v>
      </c>
      <c r="E256" s="414"/>
      <c r="F256" s="415">
        <f t="shared" si="8"/>
        <v>-66976.199999999939</v>
      </c>
      <c r="G256" s="411"/>
      <c r="H256" s="411"/>
      <c r="I256" s="411"/>
      <c r="J256" s="411"/>
      <c r="K256" s="411"/>
      <c r="L256" s="411"/>
      <c r="M256" s="411"/>
      <c r="N256" s="411"/>
      <c r="O256" s="411"/>
      <c r="P256" s="411"/>
      <c r="Q256" s="411"/>
      <c r="R256" s="411"/>
      <c r="S256" s="411"/>
      <c r="T256" s="411"/>
    </row>
    <row r="257" spans="1:20" ht="15" thickBot="1" x14ac:dyDescent="0.4">
      <c r="A257" s="447">
        <v>-993.28</v>
      </c>
      <c r="B257" s="413">
        <v>1E-3</v>
      </c>
      <c r="C257" s="413">
        <v>0.745</v>
      </c>
      <c r="D257" s="414">
        <f t="shared" si="7"/>
        <v>-99.327999999999989</v>
      </c>
      <c r="E257" s="414"/>
      <c r="F257" s="415">
        <f t="shared" si="8"/>
        <v>-67075.527999999933</v>
      </c>
      <c r="G257" s="411"/>
      <c r="H257" s="411"/>
      <c r="I257" s="411"/>
      <c r="J257" s="411"/>
      <c r="K257" s="411"/>
      <c r="L257" s="411"/>
      <c r="M257" s="411"/>
      <c r="N257" s="411"/>
      <c r="O257" s="411"/>
      <c r="P257" s="411"/>
      <c r="Q257" s="411"/>
      <c r="R257" s="411"/>
      <c r="S257" s="411"/>
      <c r="T257" s="411"/>
    </row>
    <row r="258" spans="1:20" ht="15" thickBot="1" x14ac:dyDescent="0.4">
      <c r="A258" s="447">
        <v>-984.14</v>
      </c>
      <c r="B258" s="413">
        <v>1E-3</v>
      </c>
      <c r="C258" s="413">
        <v>0.74399999999999999</v>
      </c>
      <c r="D258" s="414">
        <f t="shared" ref="D258:D321" si="9">A258*B258/1%</f>
        <v>-98.414000000000001</v>
      </c>
      <c r="E258" s="414"/>
      <c r="F258" s="415">
        <f t="shared" si="8"/>
        <v>-67173.941999999937</v>
      </c>
      <c r="G258" s="411"/>
      <c r="H258" s="411"/>
      <c r="I258" s="411"/>
      <c r="J258" s="411"/>
      <c r="K258" s="411"/>
      <c r="L258" s="411"/>
      <c r="M258" s="411"/>
      <c r="N258" s="411"/>
      <c r="O258" s="411"/>
      <c r="P258" s="411"/>
      <c r="Q258" s="411"/>
      <c r="R258" s="411"/>
      <c r="S258" s="411"/>
      <c r="T258" s="411"/>
    </row>
    <row r="259" spans="1:20" ht="15" thickBot="1" x14ac:dyDescent="0.4">
      <c r="A259" s="447">
        <v>-979.41</v>
      </c>
      <c r="B259" s="413">
        <v>1E-3</v>
      </c>
      <c r="C259" s="413">
        <v>0.74299999999999999</v>
      </c>
      <c r="D259" s="414">
        <f t="shared" si="9"/>
        <v>-97.941000000000003</v>
      </c>
      <c r="E259" s="414"/>
      <c r="F259" s="415">
        <f t="shared" ref="F259:F322" si="10">F258+D259</f>
        <v>-67271.882999999943</v>
      </c>
      <c r="G259" s="411"/>
      <c r="H259" s="411"/>
      <c r="I259" s="411"/>
      <c r="J259" s="411"/>
      <c r="K259" s="411"/>
      <c r="L259" s="411"/>
      <c r="M259" s="411"/>
      <c r="N259" s="411"/>
      <c r="O259" s="411"/>
      <c r="P259" s="411"/>
      <c r="Q259" s="411"/>
      <c r="R259" s="411"/>
      <c r="S259" s="411"/>
      <c r="T259" s="411"/>
    </row>
    <row r="260" spans="1:20" ht="15" thickBot="1" x14ac:dyDescent="0.4">
      <c r="A260" s="447">
        <v>-972.56</v>
      </c>
      <c r="B260" s="413">
        <v>1E-3</v>
      </c>
      <c r="C260" s="413">
        <v>0.74199999999999999</v>
      </c>
      <c r="D260" s="414">
        <f t="shared" si="9"/>
        <v>-97.256</v>
      </c>
      <c r="E260" s="414"/>
      <c r="F260" s="415">
        <f t="shared" si="10"/>
        <v>-67369.138999999937</v>
      </c>
      <c r="G260" s="411"/>
      <c r="H260" s="411"/>
      <c r="I260" s="411"/>
      <c r="J260" s="411"/>
      <c r="K260" s="411"/>
      <c r="L260" s="411"/>
      <c r="M260" s="411"/>
      <c r="N260" s="411"/>
      <c r="O260" s="411"/>
      <c r="P260" s="411"/>
      <c r="Q260" s="411"/>
      <c r="R260" s="411"/>
      <c r="S260" s="411"/>
      <c r="T260" s="411"/>
    </row>
    <row r="261" spans="1:20" ht="15" thickBot="1" x14ac:dyDescent="0.4">
      <c r="A261" s="447">
        <v>-965.24</v>
      </c>
      <c r="B261" s="413">
        <v>1E-3</v>
      </c>
      <c r="C261" s="413">
        <v>0.74099999999999999</v>
      </c>
      <c r="D261" s="414">
        <f t="shared" si="9"/>
        <v>-96.524000000000001</v>
      </c>
      <c r="E261" s="414"/>
      <c r="F261" s="415">
        <f t="shared" si="10"/>
        <v>-67465.662999999942</v>
      </c>
      <c r="G261" s="411"/>
      <c r="H261" s="411"/>
      <c r="I261" s="411"/>
      <c r="J261" s="411"/>
      <c r="K261" s="411"/>
      <c r="L261" s="411"/>
      <c r="M261" s="411"/>
      <c r="N261" s="411"/>
      <c r="O261" s="411"/>
      <c r="P261" s="411"/>
      <c r="Q261" s="411"/>
      <c r="R261" s="411"/>
      <c r="S261" s="411"/>
      <c r="T261" s="411"/>
    </row>
    <row r="262" spans="1:20" ht="15" thickBot="1" x14ac:dyDescent="0.4">
      <c r="A262" s="447">
        <v>-944.99</v>
      </c>
      <c r="B262" s="413">
        <v>1E-3</v>
      </c>
      <c r="C262" s="413">
        <v>0.74</v>
      </c>
      <c r="D262" s="414">
        <f t="shared" si="9"/>
        <v>-94.498999999999995</v>
      </c>
      <c r="E262" s="414"/>
      <c r="F262" s="415">
        <f t="shared" si="10"/>
        <v>-67560.161999999938</v>
      </c>
      <c r="G262" s="411"/>
      <c r="H262" s="411"/>
      <c r="I262" s="411"/>
      <c r="J262" s="411"/>
      <c r="K262" s="411"/>
      <c r="L262" s="411"/>
      <c r="M262" s="411"/>
      <c r="N262" s="411"/>
      <c r="O262" s="411"/>
      <c r="P262" s="411"/>
      <c r="Q262" s="411"/>
      <c r="R262" s="411"/>
      <c r="S262" s="411"/>
      <c r="T262" s="411"/>
    </row>
    <row r="263" spans="1:20" ht="15" thickBot="1" x14ac:dyDescent="0.4">
      <c r="A263" s="447">
        <v>-920.82</v>
      </c>
      <c r="B263" s="413">
        <v>1E-3</v>
      </c>
      <c r="C263" s="413">
        <v>0.73899999999999999</v>
      </c>
      <c r="D263" s="414">
        <f t="shared" si="9"/>
        <v>-92.082000000000008</v>
      </c>
      <c r="E263" s="414"/>
      <c r="F263" s="415">
        <f t="shared" si="10"/>
        <v>-67652.243999999933</v>
      </c>
      <c r="G263" s="411"/>
      <c r="H263" s="411"/>
      <c r="I263" s="411"/>
      <c r="J263" s="411"/>
      <c r="K263" s="411"/>
      <c r="L263" s="411"/>
      <c r="M263" s="411"/>
      <c r="N263" s="411"/>
      <c r="O263" s="411"/>
      <c r="P263" s="411"/>
      <c r="Q263" s="411"/>
      <c r="R263" s="411"/>
      <c r="S263" s="411"/>
      <c r="T263" s="411"/>
    </row>
    <row r="264" spans="1:20" ht="15" thickBot="1" x14ac:dyDescent="0.4">
      <c r="A264" s="447">
        <v>-914.72</v>
      </c>
      <c r="B264" s="413">
        <v>1E-3</v>
      </c>
      <c r="C264" s="413">
        <v>0.73799999999999999</v>
      </c>
      <c r="D264" s="414">
        <f t="shared" si="9"/>
        <v>-91.472000000000008</v>
      </c>
      <c r="E264" s="414"/>
      <c r="F264" s="415">
        <f t="shared" si="10"/>
        <v>-67743.715999999928</v>
      </c>
      <c r="G264" s="411"/>
      <c r="H264" s="411"/>
      <c r="I264" s="411"/>
      <c r="J264" s="411"/>
      <c r="K264" s="411"/>
      <c r="L264" s="411"/>
      <c r="M264" s="411"/>
      <c r="N264" s="411"/>
      <c r="O264" s="411"/>
      <c r="P264" s="411"/>
      <c r="Q264" s="411"/>
      <c r="R264" s="411"/>
      <c r="S264" s="411"/>
      <c r="T264" s="411"/>
    </row>
    <row r="265" spans="1:20" ht="15" thickBot="1" x14ac:dyDescent="0.4">
      <c r="A265" s="447">
        <v>-911.8</v>
      </c>
      <c r="B265" s="413">
        <v>1E-3</v>
      </c>
      <c r="C265" s="413">
        <v>0.73699999999999999</v>
      </c>
      <c r="D265" s="414">
        <f t="shared" si="9"/>
        <v>-91.179999999999993</v>
      </c>
      <c r="E265" s="414"/>
      <c r="F265" s="415">
        <f t="shared" si="10"/>
        <v>-67834.895999999921</v>
      </c>
      <c r="G265" s="411"/>
      <c r="H265" s="411"/>
      <c r="I265" s="411"/>
      <c r="J265" s="411"/>
      <c r="K265" s="411"/>
      <c r="L265" s="411"/>
      <c r="M265" s="411"/>
      <c r="N265" s="411"/>
      <c r="O265" s="411"/>
      <c r="P265" s="411"/>
      <c r="Q265" s="411"/>
      <c r="R265" s="411"/>
      <c r="S265" s="411"/>
      <c r="T265" s="411"/>
    </row>
    <row r="266" spans="1:20" ht="15" thickBot="1" x14ac:dyDescent="0.4">
      <c r="A266" s="447">
        <v>-910.31</v>
      </c>
      <c r="B266" s="413">
        <v>1E-3</v>
      </c>
      <c r="C266" s="413">
        <v>0.73599999999999999</v>
      </c>
      <c r="D266" s="414">
        <f t="shared" si="9"/>
        <v>-91.030999999999992</v>
      </c>
      <c r="E266" s="414"/>
      <c r="F266" s="415">
        <f t="shared" si="10"/>
        <v>-67925.926999999923</v>
      </c>
      <c r="G266" s="411"/>
      <c r="H266" s="411"/>
      <c r="I266" s="411"/>
      <c r="J266" s="411"/>
      <c r="K266" s="411"/>
      <c r="L266" s="411"/>
      <c r="M266" s="411"/>
      <c r="N266" s="411"/>
      <c r="O266" s="411"/>
      <c r="P266" s="411"/>
      <c r="Q266" s="411"/>
      <c r="R266" s="411"/>
      <c r="S266" s="411"/>
      <c r="T266" s="411"/>
    </row>
    <row r="267" spans="1:20" ht="15" thickBot="1" x14ac:dyDescent="0.4">
      <c r="A267" s="447">
        <v>-910.17</v>
      </c>
      <c r="B267" s="413">
        <v>1E-3</v>
      </c>
      <c r="C267" s="413">
        <v>0.73499999999999999</v>
      </c>
      <c r="D267" s="414">
        <f t="shared" si="9"/>
        <v>-91.016999999999996</v>
      </c>
      <c r="E267" s="414"/>
      <c r="F267" s="415">
        <f t="shared" si="10"/>
        <v>-68016.94399999993</v>
      </c>
      <c r="G267" s="411"/>
      <c r="H267" s="411"/>
      <c r="I267" s="411"/>
      <c r="J267" s="411"/>
      <c r="K267" s="411"/>
      <c r="L267" s="411"/>
      <c r="M267" s="411"/>
      <c r="N267" s="411"/>
      <c r="O267" s="411"/>
      <c r="P267" s="411"/>
      <c r="Q267" s="411"/>
      <c r="R267" s="411"/>
      <c r="S267" s="411"/>
      <c r="T267" s="411"/>
    </row>
    <row r="268" spans="1:20" ht="15" thickBot="1" x14ac:dyDescent="0.4">
      <c r="A268" s="447">
        <v>-909.43</v>
      </c>
      <c r="B268" s="413">
        <v>1E-3</v>
      </c>
      <c r="C268" s="413">
        <v>0.73399999999999999</v>
      </c>
      <c r="D268" s="414">
        <f t="shared" si="9"/>
        <v>-90.942999999999998</v>
      </c>
      <c r="E268" s="414"/>
      <c r="F268" s="415">
        <f t="shared" si="10"/>
        <v>-68107.88699999993</v>
      </c>
      <c r="G268" s="411"/>
      <c r="H268" s="411"/>
      <c r="I268" s="411"/>
      <c r="J268" s="411"/>
      <c r="K268" s="411"/>
      <c r="L268" s="411"/>
      <c r="M268" s="411"/>
      <c r="N268" s="411"/>
      <c r="O268" s="411"/>
      <c r="P268" s="411"/>
      <c r="Q268" s="411"/>
      <c r="R268" s="411"/>
      <c r="S268" s="411"/>
      <c r="T268" s="411"/>
    </row>
    <row r="269" spans="1:20" ht="15" thickBot="1" x14ac:dyDescent="0.4">
      <c r="A269" s="447">
        <v>-905.93</v>
      </c>
      <c r="B269" s="413">
        <v>1E-3</v>
      </c>
      <c r="C269" s="413">
        <v>0.73299999999999998</v>
      </c>
      <c r="D269" s="414">
        <f t="shared" si="9"/>
        <v>-90.593000000000004</v>
      </c>
      <c r="E269" s="414"/>
      <c r="F269" s="415">
        <f t="shared" si="10"/>
        <v>-68198.479999999923</v>
      </c>
      <c r="G269" s="411"/>
      <c r="H269" s="411"/>
      <c r="I269" s="411"/>
      <c r="J269" s="411"/>
      <c r="K269" s="411"/>
      <c r="L269" s="411"/>
      <c r="M269" s="411"/>
      <c r="N269" s="411"/>
      <c r="O269" s="411"/>
      <c r="P269" s="411"/>
      <c r="Q269" s="411"/>
      <c r="R269" s="411"/>
      <c r="S269" s="411"/>
      <c r="T269" s="411"/>
    </row>
    <row r="270" spans="1:20" ht="15" thickBot="1" x14ac:dyDescent="0.4">
      <c r="A270" s="447">
        <v>-905.39</v>
      </c>
      <c r="B270" s="413">
        <v>1E-3</v>
      </c>
      <c r="C270" s="413">
        <v>0.73199999999999998</v>
      </c>
      <c r="D270" s="414">
        <f t="shared" si="9"/>
        <v>-90.539000000000001</v>
      </c>
      <c r="E270" s="414"/>
      <c r="F270" s="415">
        <f t="shared" si="10"/>
        <v>-68289.018999999927</v>
      </c>
      <c r="G270" s="411"/>
      <c r="H270" s="411"/>
      <c r="I270" s="411"/>
      <c r="J270" s="411"/>
      <c r="K270" s="411"/>
      <c r="L270" s="411"/>
      <c r="M270" s="411"/>
      <c r="N270" s="411"/>
      <c r="O270" s="411"/>
      <c r="P270" s="411"/>
      <c r="Q270" s="411"/>
      <c r="R270" s="411"/>
      <c r="S270" s="411"/>
      <c r="T270" s="411"/>
    </row>
    <row r="271" spans="1:20" ht="15" thickBot="1" x14ac:dyDescent="0.4">
      <c r="A271" s="447">
        <v>-904.76</v>
      </c>
      <c r="B271" s="413">
        <v>1E-3</v>
      </c>
      <c r="C271" s="413">
        <v>0.73099999999999998</v>
      </c>
      <c r="D271" s="414">
        <f t="shared" si="9"/>
        <v>-90.475999999999999</v>
      </c>
      <c r="E271" s="414"/>
      <c r="F271" s="415">
        <f t="shared" si="10"/>
        <v>-68379.494999999923</v>
      </c>
      <c r="G271" s="411"/>
      <c r="H271" s="411"/>
      <c r="I271" s="411"/>
      <c r="J271" s="411"/>
      <c r="K271" s="411"/>
      <c r="L271" s="411"/>
      <c r="M271" s="411"/>
      <c r="N271" s="411"/>
      <c r="O271" s="411"/>
      <c r="P271" s="411"/>
      <c r="Q271" s="411"/>
      <c r="R271" s="411"/>
      <c r="S271" s="411"/>
      <c r="T271" s="411"/>
    </row>
    <row r="272" spans="1:20" ht="15" thickBot="1" x14ac:dyDescent="0.4">
      <c r="A272" s="447">
        <v>-899.96</v>
      </c>
      <c r="B272" s="413">
        <v>1E-3</v>
      </c>
      <c r="C272" s="413">
        <v>0.73</v>
      </c>
      <c r="D272" s="414">
        <f t="shared" si="9"/>
        <v>-89.996000000000009</v>
      </c>
      <c r="E272" s="414"/>
      <c r="F272" s="415">
        <f t="shared" si="10"/>
        <v>-68469.490999999922</v>
      </c>
      <c r="G272" s="411"/>
      <c r="H272" s="411"/>
      <c r="I272" s="411"/>
      <c r="J272" s="411"/>
      <c r="K272" s="411"/>
      <c r="L272" s="411"/>
      <c r="M272" s="411"/>
      <c r="N272" s="411"/>
      <c r="O272" s="411"/>
      <c r="P272" s="411"/>
      <c r="Q272" s="411"/>
      <c r="R272" s="411"/>
      <c r="S272" s="411"/>
      <c r="T272" s="411"/>
    </row>
    <row r="273" spans="1:20" ht="15" thickBot="1" x14ac:dyDescent="0.4">
      <c r="A273" s="447">
        <v>-899.45</v>
      </c>
      <c r="B273" s="413">
        <v>1E-3</v>
      </c>
      <c r="C273" s="413">
        <v>0.72899999999999998</v>
      </c>
      <c r="D273" s="414">
        <f t="shared" si="9"/>
        <v>-89.945000000000007</v>
      </c>
      <c r="E273" s="414"/>
      <c r="F273" s="415">
        <f t="shared" si="10"/>
        <v>-68559.435999999929</v>
      </c>
      <c r="G273" s="411"/>
      <c r="H273" s="411"/>
      <c r="I273" s="411"/>
      <c r="J273" s="411"/>
      <c r="K273" s="411"/>
      <c r="L273" s="411"/>
      <c r="M273" s="411"/>
      <c r="N273" s="411"/>
      <c r="O273" s="411"/>
      <c r="P273" s="411"/>
      <c r="Q273" s="411"/>
      <c r="R273" s="411"/>
      <c r="S273" s="411"/>
      <c r="T273" s="411"/>
    </row>
    <row r="274" spans="1:20" ht="15" thickBot="1" x14ac:dyDescent="0.4">
      <c r="A274" s="447">
        <v>-888.66</v>
      </c>
      <c r="B274" s="413">
        <v>1E-3</v>
      </c>
      <c r="C274" s="413">
        <v>0.72799999999999998</v>
      </c>
      <c r="D274" s="414">
        <f t="shared" si="9"/>
        <v>-88.866</v>
      </c>
      <c r="E274" s="414"/>
      <c r="F274" s="415">
        <f t="shared" si="10"/>
        <v>-68648.301999999923</v>
      </c>
      <c r="G274" s="411"/>
      <c r="H274" s="411"/>
      <c r="I274" s="411"/>
      <c r="J274" s="411"/>
      <c r="K274" s="411"/>
      <c r="L274" s="411"/>
      <c r="M274" s="411"/>
      <c r="N274" s="411"/>
      <c r="O274" s="411"/>
      <c r="P274" s="411"/>
      <c r="Q274" s="411"/>
      <c r="R274" s="411"/>
      <c r="S274" s="411"/>
      <c r="T274" s="411"/>
    </row>
    <row r="275" spans="1:20" ht="15" thickBot="1" x14ac:dyDescent="0.4">
      <c r="A275" s="447">
        <v>-869.62</v>
      </c>
      <c r="B275" s="413">
        <v>1E-3</v>
      </c>
      <c r="C275" s="413">
        <v>0.72699999999999998</v>
      </c>
      <c r="D275" s="414">
        <f t="shared" si="9"/>
        <v>-86.962000000000003</v>
      </c>
      <c r="E275" s="414"/>
      <c r="F275" s="415">
        <f t="shared" si="10"/>
        <v>-68735.263999999923</v>
      </c>
      <c r="G275" s="411"/>
      <c r="H275" s="411"/>
      <c r="I275" s="411"/>
      <c r="J275" s="411"/>
      <c r="K275" s="411"/>
      <c r="L275" s="411"/>
      <c r="M275" s="411"/>
      <c r="N275" s="411"/>
      <c r="O275" s="411"/>
      <c r="P275" s="411"/>
      <c r="Q275" s="411"/>
      <c r="R275" s="411"/>
      <c r="S275" s="411"/>
      <c r="T275" s="411"/>
    </row>
    <row r="276" spans="1:20" ht="15" thickBot="1" x14ac:dyDescent="0.4">
      <c r="A276" s="447">
        <v>-868.01</v>
      </c>
      <c r="B276" s="413">
        <v>1E-3</v>
      </c>
      <c r="C276" s="413">
        <v>0.72599999999999998</v>
      </c>
      <c r="D276" s="414">
        <f t="shared" si="9"/>
        <v>-86.801000000000002</v>
      </c>
      <c r="E276" s="414"/>
      <c r="F276" s="415">
        <f t="shared" si="10"/>
        <v>-68822.06499999993</v>
      </c>
      <c r="G276" s="411"/>
      <c r="H276" s="411"/>
      <c r="I276" s="411"/>
      <c r="J276" s="411"/>
      <c r="K276" s="411"/>
      <c r="L276" s="411"/>
      <c r="M276" s="411"/>
      <c r="N276" s="411"/>
      <c r="O276" s="411"/>
      <c r="P276" s="411"/>
      <c r="Q276" s="411"/>
      <c r="R276" s="411"/>
      <c r="S276" s="411"/>
      <c r="T276" s="411"/>
    </row>
    <row r="277" spans="1:20" ht="15" thickBot="1" x14ac:dyDescent="0.4">
      <c r="A277" s="447">
        <v>-866.54</v>
      </c>
      <c r="B277" s="413">
        <v>1E-3</v>
      </c>
      <c r="C277" s="413">
        <v>0.72499999999999998</v>
      </c>
      <c r="D277" s="414">
        <f t="shared" si="9"/>
        <v>-86.653999999999996</v>
      </c>
      <c r="E277" s="414"/>
      <c r="F277" s="415">
        <f t="shared" si="10"/>
        <v>-68908.718999999925</v>
      </c>
      <c r="G277" s="411"/>
      <c r="H277" s="411"/>
      <c r="I277" s="411"/>
      <c r="J277" s="411"/>
      <c r="K277" s="411"/>
      <c r="L277" s="411"/>
      <c r="M277" s="411"/>
      <c r="N277" s="411"/>
      <c r="O277" s="411"/>
      <c r="P277" s="411"/>
      <c r="Q277" s="411"/>
      <c r="R277" s="411"/>
      <c r="S277" s="411"/>
      <c r="T277" s="411"/>
    </row>
    <row r="278" spans="1:20" ht="15" thickBot="1" x14ac:dyDescent="0.4">
      <c r="A278" s="447">
        <v>-857.64</v>
      </c>
      <c r="B278" s="413">
        <v>1E-3</v>
      </c>
      <c r="C278" s="413">
        <v>0.72399999999999998</v>
      </c>
      <c r="D278" s="414">
        <f t="shared" si="9"/>
        <v>-85.763999999999996</v>
      </c>
      <c r="E278" s="414"/>
      <c r="F278" s="415">
        <f t="shared" si="10"/>
        <v>-68994.48299999992</v>
      </c>
      <c r="G278" s="411"/>
      <c r="H278" s="411"/>
      <c r="I278" s="411"/>
      <c r="J278" s="411"/>
      <c r="K278" s="411"/>
      <c r="L278" s="411"/>
      <c r="M278" s="411"/>
      <c r="N278" s="411"/>
      <c r="O278" s="411"/>
      <c r="P278" s="411"/>
      <c r="Q278" s="411"/>
      <c r="R278" s="411"/>
      <c r="S278" s="411"/>
      <c r="T278" s="411"/>
    </row>
    <row r="279" spans="1:20" ht="15" thickBot="1" x14ac:dyDescent="0.4">
      <c r="A279" s="447">
        <v>-850.23</v>
      </c>
      <c r="B279" s="413">
        <v>1E-3</v>
      </c>
      <c r="C279" s="413">
        <v>0.72299999999999998</v>
      </c>
      <c r="D279" s="414">
        <f t="shared" si="9"/>
        <v>-85.022999999999996</v>
      </c>
      <c r="E279" s="414"/>
      <c r="F279" s="415">
        <f t="shared" si="10"/>
        <v>-69079.505999999921</v>
      </c>
      <c r="G279" s="411"/>
      <c r="H279" s="411"/>
      <c r="I279" s="411"/>
      <c r="J279" s="411"/>
      <c r="K279" s="411"/>
      <c r="L279" s="411"/>
      <c r="M279" s="411"/>
      <c r="N279" s="411"/>
      <c r="O279" s="411"/>
      <c r="P279" s="411"/>
      <c r="Q279" s="411"/>
      <c r="R279" s="411"/>
      <c r="S279" s="411"/>
      <c r="T279" s="411"/>
    </row>
    <row r="280" spans="1:20" ht="15" thickBot="1" x14ac:dyDescent="0.4">
      <c r="A280" s="447">
        <v>-834.01</v>
      </c>
      <c r="B280" s="413">
        <v>1E-3</v>
      </c>
      <c r="C280" s="413">
        <v>0.72199999999999998</v>
      </c>
      <c r="D280" s="414">
        <f t="shared" si="9"/>
        <v>-83.400999999999996</v>
      </c>
      <c r="E280" s="414"/>
      <c r="F280" s="415">
        <f t="shared" si="10"/>
        <v>-69162.906999999919</v>
      </c>
      <c r="G280" s="411"/>
      <c r="H280" s="411"/>
      <c r="I280" s="411"/>
      <c r="J280" s="411"/>
      <c r="K280" s="411"/>
      <c r="L280" s="411"/>
      <c r="M280" s="411"/>
      <c r="N280" s="411"/>
      <c r="O280" s="411"/>
      <c r="P280" s="411"/>
      <c r="Q280" s="411"/>
      <c r="R280" s="411"/>
      <c r="S280" s="411"/>
      <c r="T280" s="411"/>
    </row>
    <row r="281" spans="1:20" ht="15" thickBot="1" x14ac:dyDescent="0.4">
      <c r="A281" s="447">
        <v>-834.01</v>
      </c>
      <c r="B281" s="413">
        <v>1E-3</v>
      </c>
      <c r="C281" s="413">
        <v>0.72099999999999997</v>
      </c>
      <c r="D281" s="414">
        <f t="shared" si="9"/>
        <v>-83.400999999999996</v>
      </c>
      <c r="E281" s="414"/>
      <c r="F281" s="415">
        <f t="shared" si="10"/>
        <v>-69246.307999999917</v>
      </c>
      <c r="G281" s="411"/>
      <c r="H281" s="411"/>
      <c r="I281" s="411"/>
      <c r="J281" s="411"/>
      <c r="K281" s="411"/>
      <c r="L281" s="411"/>
      <c r="M281" s="411"/>
      <c r="N281" s="411"/>
      <c r="O281" s="411"/>
      <c r="P281" s="411"/>
      <c r="Q281" s="411"/>
      <c r="R281" s="411"/>
      <c r="S281" s="411"/>
      <c r="T281" s="411"/>
    </row>
    <row r="282" spans="1:20" ht="15" thickBot="1" x14ac:dyDescent="0.4">
      <c r="A282" s="447">
        <v>-811.44</v>
      </c>
      <c r="B282" s="413">
        <v>1E-3</v>
      </c>
      <c r="C282" s="413">
        <v>0.72</v>
      </c>
      <c r="D282" s="414">
        <f t="shared" si="9"/>
        <v>-81.144000000000005</v>
      </c>
      <c r="E282" s="414"/>
      <c r="F282" s="415">
        <f t="shared" si="10"/>
        <v>-69327.451999999917</v>
      </c>
      <c r="G282" s="411"/>
      <c r="H282" s="411"/>
      <c r="I282" s="411"/>
      <c r="J282" s="411"/>
      <c r="K282" s="411"/>
      <c r="L282" s="411"/>
      <c r="M282" s="411"/>
      <c r="N282" s="411"/>
      <c r="O282" s="411"/>
      <c r="P282" s="411"/>
      <c r="Q282" s="411"/>
      <c r="R282" s="411"/>
      <c r="S282" s="411"/>
      <c r="T282" s="411"/>
    </row>
    <row r="283" spans="1:20" ht="15" thickBot="1" x14ac:dyDescent="0.4">
      <c r="A283" s="447">
        <v>-808.22</v>
      </c>
      <c r="B283" s="413">
        <v>1E-3</v>
      </c>
      <c r="C283" s="413">
        <v>0.71899999999999997</v>
      </c>
      <c r="D283" s="414">
        <f t="shared" si="9"/>
        <v>-80.822000000000003</v>
      </c>
      <c r="E283" s="414"/>
      <c r="F283" s="415">
        <f t="shared" si="10"/>
        <v>-69408.273999999918</v>
      </c>
      <c r="G283" s="411"/>
      <c r="H283" s="411"/>
      <c r="I283" s="411"/>
      <c r="J283" s="411"/>
      <c r="K283" s="411"/>
      <c r="L283" s="411"/>
      <c r="M283" s="411"/>
      <c r="N283" s="411"/>
      <c r="O283" s="411"/>
      <c r="P283" s="411"/>
      <c r="Q283" s="411"/>
      <c r="R283" s="411"/>
      <c r="S283" s="411"/>
      <c r="T283" s="411"/>
    </row>
    <row r="284" spans="1:20" ht="15" thickBot="1" x14ac:dyDescent="0.4">
      <c r="A284" s="447">
        <v>-807.16</v>
      </c>
      <c r="B284" s="413">
        <v>1E-3</v>
      </c>
      <c r="C284" s="413">
        <v>0.71799999999999997</v>
      </c>
      <c r="D284" s="414">
        <f t="shared" si="9"/>
        <v>-80.715999999999994</v>
      </c>
      <c r="E284" s="414"/>
      <c r="F284" s="415">
        <f t="shared" si="10"/>
        <v>-69488.989999999918</v>
      </c>
      <c r="G284" s="411"/>
      <c r="H284" s="411"/>
      <c r="I284" s="411"/>
      <c r="J284" s="411"/>
      <c r="K284" s="411"/>
      <c r="L284" s="411"/>
      <c r="M284" s="411"/>
      <c r="N284" s="411"/>
      <c r="O284" s="411"/>
      <c r="P284" s="411"/>
      <c r="Q284" s="411"/>
      <c r="R284" s="411"/>
      <c r="S284" s="411"/>
      <c r="T284" s="411"/>
    </row>
    <row r="285" spans="1:20" ht="15" thickBot="1" x14ac:dyDescent="0.4">
      <c r="A285" s="447">
        <v>-804.38</v>
      </c>
      <c r="B285" s="413">
        <v>1E-3</v>
      </c>
      <c r="C285" s="413">
        <v>0.71699999999999997</v>
      </c>
      <c r="D285" s="414">
        <f t="shared" si="9"/>
        <v>-80.438000000000002</v>
      </c>
      <c r="E285" s="414"/>
      <c r="F285" s="415">
        <f t="shared" si="10"/>
        <v>-69569.427999999913</v>
      </c>
      <c r="G285" s="411"/>
      <c r="H285" s="411"/>
      <c r="I285" s="411"/>
      <c r="J285" s="411"/>
      <c r="K285" s="411"/>
      <c r="L285" s="411"/>
      <c r="M285" s="411"/>
      <c r="N285" s="411"/>
      <c r="O285" s="411"/>
      <c r="P285" s="411"/>
      <c r="Q285" s="411"/>
      <c r="R285" s="411"/>
      <c r="S285" s="411"/>
      <c r="T285" s="411"/>
    </row>
    <row r="286" spans="1:20" ht="15" thickBot="1" x14ac:dyDescent="0.4">
      <c r="A286" s="447">
        <v>-803.36</v>
      </c>
      <c r="B286" s="413">
        <v>1E-3</v>
      </c>
      <c r="C286" s="413">
        <v>0.71599999999999997</v>
      </c>
      <c r="D286" s="414">
        <f t="shared" si="9"/>
        <v>-80.336000000000013</v>
      </c>
      <c r="E286" s="414"/>
      <c r="F286" s="415">
        <f t="shared" si="10"/>
        <v>-69649.763999999908</v>
      </c>
      <c r="G286" s="411"/>
      <c r="H286" s="411"/>
      <c r="I286" s="411"/>
      <c r="J286" s="411"/>
      <c r="K286" s="411"/>
      <c r="L286" s="411"/>
      <c r="M286" s="411"/>
      <c r="N286" s="411"/>
      <c r="O286" s="411"/>
      <c r="P286" s="411"/>
      <c r="Q286" s="411"/>
      <c r="R286" s="411"/>
      <c r="S286" s="411"/>
      <c r="T286" s="411"/>
    </row>
    <row r="287" spans="1:20" ht="15" thickBot="1" x14ac:dyDescent="0.4">
      <c r="A287" s="447">
        <v>-803.19</v>
      </c>
      <c r="B287" s="413">
        <v>1E-3</v>
      </c>
      <c r="C287" s="413">
        <v>0.71499999999999997</v>
      </c>
      <c r="D287" s="414">
        <f t="shared" si="9"/>
        <v>-80.319000000000003</v>
      </c>
      <c r="E287" s="414"/>
      <c r="F287" s="415">
        <f t="shared" si="10"/>
        <v>-69730.082999999911</v>
      </c>
      <c r="G287" s="411"/>
      <c r="H287" s="411"/>
      <c r="I287" s="411"/>
      <c r="J287" s="411"/>
      <c r="K287" s="411"/>
      <c r="L287" s="411"/>
      <c r="M287" s="411"/>
      <c r="N287" s="411"/>
      <c r="O287" s="411"/>
      <c r="P287" s="411"/>
      <c r="Q287" s="411"/>
      <c r="R287" s="411"/>
      <c r="S287" s="411"/>
      <c r="T287" s="411"/>
    </row>
    <row r="288" spans="1:20" ht="15" thickBot="1" x14ac:dyDescent="0.4">
      <c r="A288" s="447">
        <v>-799.03</v>
      </c>
      <c r="B288" s="413">
        <v>1E-3</v>
      </c>
      <c r="C288" s="413">
        <v>0.71399999999999997</v>
      </c>
      <c r="D288" s="414">
        <f t="shared" si="9"/>
        <v>-79.903000000000006</v>
      </c>
      <c r="E288" s="414"/>
      <c r="F288" s="415">
        <f t="shared" si="10"/>
        <v>-69809.985999999917</v>
      </c>
      <c r="G288" s="411"/>
      <c r="H288" s="411"/>
      <c r="I288" s="411"/>
      <c r="J288" s="411"/>
      <c r="K288" s="411"/>
      <c r="L288" s="411"/>
      <c r="M288" s="411"/>
      <c r="N288" s="411"/>
      <c r="O288" s="411"/>
      <c r="P288" s="411"/>
      <c r="Q288" s="411"/>
      <c r="R288" s="411"/>
      <c r="S288" s="411"/>
      <c r="T288" s="411"/>
    </row>
    <row r="289" spans="1:20" ht="15" thickBot="1" x14ac:dyDescent="0.4">
      <c r="A289" s="447">
        <v>-793.31</v>
      </c>
      <c r="B289" s="413">
        <v>1E-3</v>
      </c>
      <c r="C289" s="413">
        <v>0.71299999999999997</v>
      </c>
      <c r="D289" s="414">
        <f t="shared" si="9"/>
        <v>-79.330999999999989</v>
      </c>
      <c r="E289" s="414"/>
      <c r="F289" s="415">
        <f t="shared" si="10"/>
        <v>-69889.316999999923</v>
      </c>
      <c r="G289" s="411"/>
      <c r="H289" s="411"/>
      <c r="I289" s="411"/>
      <c r="J289" s="411"/>
      <c r="K289" s="411"/>
      <c r="L289" s="411"/>
      <c r="M289" s="411"/>
      <c r="N289" s="411"/>
      <c r="O289" s="411"/>
      <c r="P289" s="411"/>
      <c r="Q289" s="411"/>
      <c r="R289" s="411"/>
      <c r="S289" s="411"/>
      <c r="T289" s="411"/>
    </row>
    <row r="290" spans="1:20" ht="15" thickBot="1" x14ac:dyDescent="0.4">
      <c r="A290" s="447">
        <v>-783.32</v>
      </c>
      <c r="B290" s="413">
        <v>1E-3</v>
      </c>
      <c r="C290" s="413">
        <v>0.71199999999999997</v>
      </c>
      <c r="D290" s="414">
        <f t="shared" si="9"/>
        <v>-78.331999999999994</v>
      </c>
      <c r="E290" s="414"/>
      <c r="F290" s="415">
        <f t="shared" si="10"/>
        <v>-69967.648999999918</v>
      </c>
      <c r="G290" s="411"/>
      <c r="H290" s="411"/>
      <c r="I290" s="411"/>
      <c r="J290" s="411"/>
      <c r="K290" s="411"/>
      <c r="L290" s="411"/>
      <c r="M290" s="411"/>
      <c r="N290" s="411"/>
      <c r="O290" s="411"/>
      <c r="P290" s="411"/>
      <c r="Q290" s="411"/>
      <c r="R290" s="411"/>
      <c r="S290" s="411"/>
      <c r="T290" s="411"/>
    </row>
    <row r="291" spans="1:20" ht="15" thickBot="1" x14ac:dyDescent="0.4">
      <c r="A291" s="447">
        <v>-782.18</v>
      </c>
      <c r="B291" s="413">
        <v>1E-3</v>
      </c>
      <c r="C291" s="413">
        <v>0.71099999999999997</v>
      </c>
      <c r="D291" s="414">
        <f t="shared" si="9"/>
        <v>-78.218000000000004</v>
      </c>
      <c r="E291" s="414"/>
      <c r="F291" s="415">
        <f t="shared" si="10"/>
        <v>-70045.866999999911</v>
      </c>
      <c r="G291" s="411"/>
      <c r="H291" s="411"/>
      <c r="I291" s="411"/>
      <c r="J291" s="411"/>
      <c r="K291" s="411"/>
      <c r="L291" s="411"/>
      <c r="M291" s="411"/>
      <c r="N291" s="411"/>
      <c r="O291" s="411"/>
      <c r="P291" s="411"/>
      <c r="Q291" s="411"/>
      <c r="R291" s="411"/>
      <c r="S291" s="411"/>
      <c r="T291" s="411"/>
    </row>
    <row r="292" spans="1:20" ht="15" thickBot="1" x14ac:dyDescent="0.4">
      <c r="A292" s="447">
        <v>-773.39</v>
      </c>
      <c r="B292" s="413">
        <v>1E-3</v>
      </c>
      <c r="C292" s="413">
        <v>0.71</v>
      </c>
      <c r="D292" s="414">
        <f t="shared" si="9"/>
        <v>-77.338999999999999</v>
      </c>
      <c r="E292" s="414"/>
      <c r="F292" s="415">
        <f t="shared" si="10"/>
        <v>-70123.205999999918</v>
      </c>
      <c r="G292" s="411"/>
      <c r="H292" s="411"/>
      <c r="I292" s="411"/>
      <c r="J292" s="411"/>
      <c r="K292" s="411"/>
      <c r="L292" s="411"/>
      <c r="M292" s="411"/>
      <c r="N292" s="411"/>
      <c r="O292" s="411"/>
      <c r="P292" s="411"/>
      <c r="Q292" s="411"/>
      <c r="R292" s="411"/>
      <c r="S292" s="411"/>
      <c r="T292" s="411"/>
    </row>
    <row r="293" spans="1:20" ht="15" thickBot="1" x14ac:dyDescent="0.4">
      <c r="A293" s="447">
        <v>-766.79</v>
      </c>
      <c r="B293" s="413">
        <v>1E-3</v>
      </c>
      <c r="C293" s="413">
        <v>0.70899999999999996</v>
      </c>
      <c r="D293" s="414">
        <f t="shared" si="9"/>
        <v>-76.679000000000002</v>
      </c>
      <c r="E293" s="414"/>
      <c r="F293" s="415">
        <f t="shared" si="10"/>
        <v>-70199.884999999922</v>
      </c>
      <c r="G293" s="411"/>
      <c r="H293" s="411"/>
      <c r="I293" s="411"/>
      <c r="J293" s="411"/>
      <c r="K293" s="411"/>
      <c r="L293" s="411"/>
      <c r="M293" s="411"/>
      <c r="N293" s="411"/>
      <c r="O293" s="411"/>
      <c r="P293" s="411"/>
      <c r="Q293" s="411"/>
      <c r="R293" s="411"/>
      <c r="S293" s="411"/>
      <c r="T293" s="411"/>
    </row>
    <row r="294" spans="1:20" ht="15" thickBot="1" x14ac:dyDescent="0.4">
      <c r="A294" s="447">
        <v>-756.04</v>
      </c>
      <c r="B294" s="413">
        <v>1E-3</v>
      </c>
      <c r="C294" s="413">
        <v>0.70799999999999996</v>
      </c>
      <c r="D294" s="414">
        <f t="shared" si="9"/>
        <v>-75.603999999999985</v>
      </c>
      <c r="E294" s="414"/>
      <c r="F294" s="415">
        <f t="shared" si="10"/>
        <v>-70275.488999999929</v>
      </c>
      <c r="G294" s="411"/>
      <c r="H294" s="411"/>
      <c r="I294" s="411"/>
      <c r="J294" s="411"/>
      <c r="K294" s="411"/>
      <c r="L294" s="411"/>
      <c r="M294" s="411"/>
      <c r="N294" s="411"/>
      <c r="O294" s="411"/>
      <c r="P294" s="411"/>
      <c r="Q294" s="411"/>
      <c r="R294" s="411"/>
      <c r="S294" s="411"/>
      <c r="T294" s="411"/>
    </row>
    <row r="295" spans="1:20" ht="15" thickBot="1" x14ac:dyDescent="0.4">
      <c r="A295" s="447">
        <v>-755.85</v>
      </c>
      <c r="B295" s="413">
        <v>1E-3</v>
      </c>
      <c r="C295" s="413">
        <v>0.70699999999999996</v>
      </c>
      <c r="D295" s="414">
        <f t="shared" si="9"/>
        <v>-75.584999999999994</v>
      </c>
      <c r="E295" s="414"/>
      <c r="F295" s="415">
        <f t="shared" si="10"/>
        <v>-70351.073999999935</v>
      </c>
      <c r="G295" s="411"/>
      <c r="H295" s="411"/>
      <c r="I295" s="411"/>
      <c r="J295" s="411"/>
      <c r="K295" s="411"/>
      <c r="L295" s="411"/>
      <c r="M295" s="411"/>
      <c r="N295" s="411"/>
      <c r="O295" s="411"/>
      <c r="P295" s="411"/>
      <c r="Q295" s="411"/>
      <c r="R295" s="411"/>
      <c r="S295" s="411"/>
      <c r="T295" s="411"/>
    </row>
    <row r="296" spans="1:20" ht="15" thickBot="1" x14ac:dyDescent="0.4">
      <c r="A296" s="447">
        <v>-752.6</v>
      </c>
      <c r="B296" s="413">
        <v>1E-3</v>
      </c>
      <c r="C296" s="413">
        <v>0.70599999999999996</v>
      </c>
      <c r="D296" s="414">
        <f t="shared" si="9"/>
        <v>-75.260000000000005</v>
      </c>
      <c r="E296" s="414"/>
      <c r="F296" s="415">
        <f t="shared" si="10"/>
        <v>-70426.33399999993</v>
      </c>
      <c r="G296" s="411"/>
      <c r="H296" s="411"/>
      <c r="I296" s="411"/>
      <c r="J296" s="411"/>
      <c r="K296" s="411"/>
      <c r="L296" s="411"/>
      <c r="M296" s="411"/>
      <c r="N296" s="411"/>
      <c r="O296" s="411"/>
      <c r="P296" s="411"/>
      <c r="Q296" s="411"/>
      <c r="R296" s="411"/>
      <c r="S296" s="411"/>
      <c r="T296" s="411"/>
    </row>
    <row r="297" spans="1:20" ht="15" thickBot="1" x14ac:dyDescent="0.4">
      <c r="A297" s="447">
        <v>-726.56</v>
      </c>
      <c r="B297" s="413">
        <v>1E-3</v>
      </c>
      <c r="C297" s="413">
        <v>0.70499999999999996</v>
      </c>
      <c r="D297" s="414">
        <f t="shared" si="9"/>
        <v>-72.655999999999992</v>
      </c>
      <c r="E297" s="414"/>
      <c r="F297" s="415">
        <f t="shared" si="10"/>
        <v>-70498.989999999932</v>
      </c>
      <c r="G297" s="411"/>
      <c r="H297" s="411"/>
      <c r="I297" s="411"/>
      <c r="J297" s="411"/>
      <c r="K297" s="411"/>
      <c r="L297" s="411"/>
      <c r="M297" s="411"/>
      <c r="N297" s="411"/>
      <c r="O297" s="411"/>
      <c r="P297" s="411"/>
      <c r="Q297" s="411"/>
      <c r="R297" s="411"/>
      <c r="S297" s="411"/>
      <c r="T297" s="411"/>
    </row>
    <row r="298" spans="1:20" ht="15" thickBot="1" x14ac:dyDescent="0.4">
      <c r="A298" s="447">
        <v>-719.89</v>
      </c>
      <c r="B298" s="413">
        <v>1E-3</v>
      </c>
      <c r="C298" s="413">
        <v>0.70399999999999996</v>
      </c>
      <c r="D298" s="414">
        <f t="shared" si="9"/>
        <v>-71.989000000000004</v>
      </c>
      <c r="E298" s="414"/>
      <c r="F298" s="415">
        <f t="shared" si="10"/>
        <v>-70570.978999999934</v>
      </c>
      <c r="G298" s="411"/>
      <c r="H298" s="411"/>
      <c r="I298" s="411"/>
      <c r="J298" s="411"/>
      <c r="K298" s="411"/>
      <c r="L298" s="411"/>
      <c r="M298" s="411"/>
      <c r="N298" s="411"/>
      <c r="O298" s="411"/>
      <c r="P298" s="411"/>
      <c r="Q298" s="411"/>
      <c r="R298" s="411"/>
      <c r="S298" s="411"/>
      <c r="T298" s="411"/>
    </row>
    <row r="299" spans="1:20" ht="15" thickBot="1" x14ac:dyDescent="0.4">
      <c r="A299" s="447">
        <v>-715.13</v>
      </c>
      <c r="B299" s="413">
        <v>1E-3</v>
      </c>
      <c r="C299" s="413">
        <v>0.70299999999999996</v>
      </c>
      <c r="D299" s="414">
        <f t="shared" si="9"/>
        <v>-71.513000000000005</v>
      </c>
      <c r="E299" s="414"/>
      <c r="F299" s="415">
        <f t="shared" si="10"/>
        <v>-70642.49199999994</v>
      </c>
      <c r="G299" s="411"/>
      <c r="H299" s="411"/>
      <c r="I299" s="411"/>
      <c r="J299" s="411"/>
      <c r="K299" s="411"/>
      <c r="L299" s="411"/>
      <c r="M299" s="411"/>
      <c r="N299" s="411"/>
      <c r="O299" s="411"/>
      <c r="P299" s="411"/>
      <c r="Q299" s="411"/>
      <c r="R299" s="411"/>
      <c r="S299" s="411"/>
      <c r="T299" s="411"/>
    </row>
    <row r="300" spans="1:20" ht="15" thickBot="1" x14ac:dyDescent="0.4">
      <c r="A300" s="447">
        <v>-713.96</v>
      </c>
      <c r="B300" s="413">
        <v>1E-3</v>
      </c>
      <c r="C300" s="413">
        <v>0.70199999999999996</v>
      </c>
      <c r="D300" s="414">
        <f t="shared" si="9"/>
        <v>-71.396000000000001</v>
      </c>
      <c r="E300" s="414"/>
      <c r="F300" s="415">
        <f t="shared" si="10"/>
        <v>-70713.887999999934</v>
      </c>
      <c r="G300" s="411"/>
      <c r="H300" s="411"/>
      <c r="I300" s="411"/>
      <c r="J300" s="411"/>
      <c r="K300" s="411"/>
      <c r="L300" s="411"/>
      <c r="M300" s="411"/>
      <c r="N300" s="411"/>
      <c r="O300" s="411"/>
      <c r="P300" s="411"/>
      <c r="Q300" s="411"/>
      <c r="R300" s="411"/>
      <c r="S300" s="411"/>
      <c r="T300" s="411"/>
    </row>
    <row r="301" spans="1:20" ht="15" thickBot="1" x14ac:dyDescent="0.4">
      <c r="A301" s="447">
        <v>-711.65</v>
      </c>
      <c r="B301" s="413">
        <v>1E-3</v>
      </c>
      <c r="C301" s="413">
        <v>0.70099999999999996</v>
      </c>
      <c r="D301" s="414">
        <f t="shared" si="9"/>
        <v>-71.164999999999992</v>
      </c>
      <c r="E301" s="414"/>
      <c r="F301" s="415">
        <f t="shared" si="10"/>
        <v>-70785.052999999927</v>
      </c>
      <c r="G301" s="411"/>
      <c r="H301" s="411"/>
      <c r="I301" s="411"/>
      <c r="J301" s="411"/>
      <c r="K301" s="411"/>
      <c r="L301" s="411"/>
      <c r="M301" s="411"/>
      <c r="N301" s="411"/>
      <c r="O301" s="411"/>
      <c r="P301" s="411"/>
      <c r="Q301" s="411"/>
      <c r="R301" s="411"/>
      <c r="S301" s="411"/>
      <c r="T301" s="411"/>
    </row>
    <row r="302" spans="1:20" ht="15" thickBot="1" x14ac:dyDescent="0.4">
      <c r="A302" s="447">
        <v>-709.61</v>
      </c>
      <c r="B302" s="413">
        <v>1E-3</v>
      </c>
      <c r="C302" s="413">
        <v>0.7</v>
      </c>
      <c r="D302" s="414">
        <f t="shared" si="9"/>
        <v>-70.961000000000013</v>
      </c>
      <c r="E302" s="414"/>
      <c r="F302" s="415">
        <f t="shared" si="10"/>
        <v>-70856.013999999923</v>
      </c>
      <c r="G302" s="411"/>
      <c r="H302" s="411"/>
      <c r="I302" s="411"/>
      <c r="J302" s="411"/>
      <c r="K302" s="411"/>
      <c r="L302" s="411"/>
      <c r="M302" s="411"/>
      <c r="N302" s="411"/>
      <c r="O302" s="411"/>
      <c r="P302" s="411"/>
      <c r="Q302" s="411"/>
      <c r="R302" s="411"/>
      <c r="S302" s="411"/>
      <c r="T302" s="411"/>
    </row>
    <row r="303" spans="1:20" ht="15" thickBot="1" x14ac:dyDescent="0.4">
      <c r="A303" s="447">
        <v>-708.17</v>
      </c>
      <c r="B303" s="413">
        <v>1E-3</v>
      </c>
      <c r="C303" s="413">
        <v>0.69899999999999995</v>
      </c>
      <c r="D303" s="414">
        <f t="shared" si="9"/>
        <v>-70.816999999999993</v>
      </c>
      <c r="E303" s="414"/>
      <c r="F303" s="415">
        <f t="shared" si="10"/>
        <v>-70926.830999999918</v>
      </c>
      <c r="G303" s="411"/>
      <c r="H303" s="411"/>
      <c r="I303" s="411"/>
      <c r="J303" s="411"/>
      <c r="K303" s="411"/>
      <c r="L303" s="411"/>
      <c r="M303" s="411"/>
      <c r="N303" s="411"/>
      <c r="O303" s="411"/>
      <c r="P303" s="411"/>
      <c r="Q303" s="411"/>
      <c r="R303" s="411"/>
      <c r="S303" s="411"/>
      <c r="T303" s="411"/>
    </row>
    <row r="304" spans="1:20" ht="15" thickBot="1" x14ac:dyDescent="0.4">
      <c r="A304" s="447">
        <v>-703.93</v>
      </c>
      <c r="B304" s="413">
        <v>1E-3</v>
      </c>
      <c r="C304" s="413">
        <v>0.69799999999999995</v>
      </c>
      <c r="D304" s="414">
        <f t="shared" si="9"/>
        <v>-70.392999999999986</v>
      </c>
      <c r="E304" s="414"/>
      <c r="F304" s="415">
        <f t="shared" si="10"/>
        <v>-70997.223999999915</v>
      </c>
      <c r="G304" s="411"/>
      <c r="H304" s="411"/>
      <c r="I304" s="411"/>
      <c r="J304" s="411"/>
      <c r="K304" s="411"/>
      <c r="L304" s="411"/>
      <c r="M304" s="411"/>
      <c r="N304" s="411"/>
      <c r="O304" s="411"/>
      <c r="P304" s="411"/>
      <c r="Q304" s="411"/>
      <c r="R304" s="411"/>
      <c r="S304" s="411"/>
      <c r="T304" s="411"/>
    </row>
    <row r="305" spans="1:20" ht="15" thickBot="1" x14ac:dyDescent="0.4">
      <c r="A305" s="447">
        <v>-700.96</v>
      </c>
      <c r="B305" s="413">
        <v>1E-3</v>
      </c>
      <c r="C305" s="413">
        <v>0.69699999999999995</v>
      </c>
      <c r="D305" s="414">
        <f t="shared" si="9"/>
        <v>-70.096000000000004</v>
      </c>
      <c r="E305" s="414"/>
      <c r="F305" s="415">
        <f t="shared" si="10"/>
        <v>-71067.31999999992</v>
      </c>
      <c r="G305" s="411"/>
      <c r="H305" s="411"/>
      <c r="I305" s="411"/>
      <c r="J305" s="411"/>
      <c r="K305" s="411"/>
      <c r="L305" s="411"/>
      <c r="M305" s="411"/>
      <c r="N305" s="411"/>
      <c r="O305" s="411"/>
      <c r="P305" s="411"/>
      <c r="Q305" s="411"/>
      <c r="R305" s="411"/>
      <c r="S305" s="411"/>
      <c r="T305" s="411"/>
    </row>
    <row r="306" spans="1:20" ht="15" thickBot="1" x14ac:dyDescent="0.4">
      <c r="A306" s="447">
        <v>-696.94</v>
      </c>
      <c r="B306" s="413">
        <v>1E-3</v>
      </c>
      <c r="C306" s="413">
        <v>0.69599999999999995</v>
      </c>
      <c r="D306" s="414">
        <f t="shared" si="9"/>
        <v>-69.694000000000017</v>
      </c>
      <c r="E306" s="414"/>
      <c r="F306" s="415">
        <f t="shared" si="10"/>
        <v>-71137.013999999923</v>
      </c>
      <c r="G306" s="411"/>
      <c r="H306" s="411"/>
      <c r="I306" s="411"/>
      <c r="J306" s="411"/>
      <c r="K306" s="411"/>
      <c r="L306" s="411"/>
      <c r="M306" s="411"/>
      <c r="N306" s="411"/>
      <c r="O306" s="411"/>
      <c r="P306" s="411"/>
      <c r="Q306" s="411"/>
      <c r="R306" s="411"/>
      <c r="S306" s="411"/>
      <c r="T306" s="411"/>
    </row>
    <row r="307" spans="1:20" ht="15" thickBot="1" x14ac:dyDescent="0.4">
      <c r="A307" s="447">
        <v>-696.92</v>
      </c>
      <c r="B307" s="413">
        <v>1E-3</v>
      </c>
      <c r="C307" s="413">
        <v>0.69499999999999995</v>
      </c>
      <c r="D307" s="414">
        <f t="shared" si="9"/>
        <v>-69.691999999999993</v>
      </c>
      <c r="E307" s="414"/>
      <c r="F307" s="415">
        <f t="shared" si="10"/>
        <v>-71206.705999999918</v>
      </c>
      <c r="G307" s="411"/>
      <c r="H307" s="411"/>
      <c r="I307" s="411"/>
      <c r="J307" s="411"/>
      <c r="K307" s="411"/>
      <c r="L307" s="411"/>
      <c r="M307" s="411"/>
      <c r="N307" s="411"/>
      <c r="O307" s="411"/>
      <c r="P307" s="411"/>
      <c r="Q307" s="411"/>
      <c r="R307" s="411"/>
      <c r="S307" s="411"/>
      <c r="T307" s="411"/>
    </row>
    <row r="308" spans="1:20" ht="15" thickBot="1" x14ac:dyDescent="0.4">
      <c r="A308" s="447">
        <v>-696.9</v>
      </c>
      <c r="B308" s="413">
        <v>1E-3</v>
      </c>
      <c r="C308" s="413">
        <v>0.69399999999999995</v>
      </c>
      <c r="D308" s="414">
        <f t="shared" si="9"/>
        <v>-69.69</v>
      </c>
      <c r="E308" s="414"/>
      <c r="F308" s="415">
        <f t="shared" si="10"/>
        <v>-71276.395999999921</v>
      </c>
      <c r="G308" s="411"/>
      <c r="H308" s="411"/>
      <c r="I308" s="411"/>
      <c r="J308" s="411"/>
      <c r="K308" s="411"/>
      <c r="L308" s="411"/>
      <c r="M308" s="411"/>
      <c r="N308" s="411"/>
      <c r="O308" s="411"/>
      <c r="P308" s="411"/>
      <c r="Q308" s="411"/>
      <c r="R308" s="411"/>
      <c r="S308" s="411"/>
      <c r="T308" s="411"/>
    </row>
    <row r="309" spans="1:20" ht="15" thickBot="1" x14ac:dyDescent="0.4">
      <c r="A309" s="447">
        <v>-685.94</v>
      </c>
      <c r="B309" s="413">
        <v>1E-3</v>
      </c>
      <c r="C309" s="413">
        <v>0.69299999999999995</v>
      </c>
      <c r="D309" s="414">
        <f t="shared" si="9"/>
        <v>-68.594000000000008</v>
      </c>
      <c r="E309" s="414"/>
      <c r="F309" s="415">
        <f t="shared" si="10"/>
        <v>-71344.989999999918</v>
      </c>
      <c r="G309" s="411"/>
      <c r="H309" s="411"/>
      <c r="I309" s="411"/>
      <c r="J309" s="411"/>
      <c r="K309" s="411"/>
      <c r="L309" s="411"/>
      <c r="M309" s="411"/>
      <c r="N309" s="411"/>
      <c r="O309" s="411"/>
      <c r="P309" s="411"/>
      <c r="Q309" s="411"/>
      <c r="R309" s="411"/>
      <c r="S309" s="411"/>
      <c r="T309" s="411"/>
    </row>
    <row r="310" spans="1:20" ht="15" thickBot="1" x14ac:dyDescent="0.4">
      <c r="A310" s="447">
        <v>-677.58</v>
      </c>
      <c r="B310" s="413">
        <v>1E-3</v>
      </c>
      <c r="C310" s="413">
        <v>0.69199999999999995</v>
      </c>
      <c r="D310" s="414">
        <f t="shared" si="9"/>
        <v>-67.75800000000001</v>
      </c>
      <c r="E310" s="414"/>
      <c r="F310" s="415">
        <f t="shared" si="10"/>
        <v>-71412.74799999992</v>
      </c>
      <c r="G310" s="411"/>
      <c r="H310" s="411"/>
      <c r="I310" s="411"/>
      <c r="J310" s="411"/>
      <c r="K310" s="411"/>
      <c r="L310" s="411"/>
      <c r="M310" s="411"/>
      <c r="N310" s="411"/>
      <c r="O310" s="411"/>
      <c r="P310" s="411"/>
      <c r="Q310" s="411"/>
      <c r="R310" s="411"/>
      <c r="S310" s="411"/>
      <c r="T310" s="411"/>
    </row>
    <row r="311" spans="1:20" ht="15" thickBot="1" x14ac:dyDescent="0.4">
      <c r="A311" s="447">
        <v>-674.16</v>
      </c>
      <c r="B311" s="413">
        <v>1E-3</v>
      </c>
      <c r="C311" s="413">
        <v>0.69099999999999995</v>
      </c>
      <c r="D311" s="414">
        <f t="shared" si="9"/>
        <v>-67.415999999999997</v>
      </c>
      <c r="E311" s="414"/>
      <c r="F311" s="415">
        <f t="shared" si="10"/>
        <v>-71480.163999999917</v>
      </c>
      <c r="G311" s="411"/>
      <c r="H311" s="411"/>
      <c r="I311" s="411"/>
      <c r="J311" s="411"/>
      <c r="K311" s="411"/>
      <c r="L311" s="411"/>
      <c r="M311" s="411"/>
      <c r="N311" s="411"/>
      <c r="O311" s="411"/>
      <c r="P311" s="411"/>
      <c r="Q311" s="411"/>
      <c r="R311" s="411"/>
      <c r="S311" s="411"/>
      <c r="T311" s="411"/>
    </row>
    <row r="312" spans="1:20" ht="15" thickBot="1" x14ac:dyDescent="0.4">
      <c r="A312" s="447">
        <v>-666.49</v>
      </c>
      <c r="B312" s="413">
        <v>1E-3</v>
      </c>
      <c r="C312" s="413">
        <v>0.69</v>
      </c>
      <c r="D312" s="414">
        <f t="shared" si="9"/>
        <v>-66.649000000000001</v>
      </c>
      <c r="E312" s="414"/>
      <c r="F312" s="415">
        <f t="shared" si="10"/>
        <v>-71546.812999999922</v>
      </c>
      <c r="G312" s="411"/>
      <c r="H312" s="411"/>
      <c r="I312" s="411"/>
      <c r="J312" s="411"/>
      <c r="K312" s="411"/>
      <c r="L312" s="411"/>
      <c r="M312" s="411"/>
      <c r="N312" s="411"/>
      <c r="O312" s="411"/>
      <c r="P312" s="411"/>
      <c r="Q312" s="411"/>
      <c r="R312" s="411"/>
      <c r="S312" s="411"/>
      <c r="T312" s="411"/>
    </row>
    <row r="313" spans="1:20" ht="15" thickBot="1" x14ac:dyDescent="0.4">
      <c r="A313" s="447">
        <v>-654.46</v>
      </c>
      <c r="B313" s="413">
        <v>1E-3</v>
      </c>
      <c r="C313" s="413">
        <v>0.68899999999999995</v>
      </c>
      <c r="D313" s="414">
        <f t="shared" si="9"/>
        <v>-65.445999999999998</v>
      </c>
      <c r="E313" s="414"/>
      <c r="F313" s="415">
        <f t="shared" si="10"/>
        <v>-71612.258999999918</v>
      </c>
      <c r="G313" s="411"/>
      <c r="H313" s="411"/>
      <c r="I313" s="411"/>
      <c r="J313" s="411"/>
      <c r="K313" s="411"/>
      <c r="L313" s="411"/>
      <c r="M313" s="411"/>
      <c r="N313" s="411"/>
      <c r="O313" s="411"/>
      <c r="P313" s="411"/>
      <c r="Q313" s="411"/>
      <c r="R313" s="411"/>
      <c r="S313" s="411"/>
      <c r="T313" s="411"/>
    </row>
    <row r="314" spans="1:20" ht="15" thickBot="1" x14ac:dyDescent="0.4">
      <c r="A314" s="447">
        <v>-644.38</v>
      </c>
      <c r="B314" s="413">
        <v>1E-3</v>
      </c>
      <c r="C314" s="413">
        <v>0.68799999999999994</v>
      </c>
      <c r="D314" s="414">
        <f t="shared" si="9"/>
        <v>-64.438000000000002</v>
      </c>
      <c r="E314" s="414"/>
      <c r="F314" s="415">
        <f t="shared" si="10"/>
        <v>-71676.696999999913</v>
      </c>
      <c r="G314" s="411"/>
      <c r="H314" s="411"/>
      <c r="I314" s="411"/>
      <c r="J314" s="411"/>
      <c r="K314" s="411"/>
      <c r="L314" s="411"/>
      <c r="M314" s="411"/>
      <c r="N314" s="411"/>
      <c r="O314" s="411"/>
      <c r="P314" s="411"/>
      <c r="Q314" s="411"/>
      <c r="R314" s="411"/>
      <c r="S314" s="411"/>
      <c r="T314" s="411"/>
    </row>
    <row r="315" spans="1:20" ht="15" thickBot="1" x14ac:dyDescent="0.4">
      <c r="A315" s="447">
        <v>-643.76</v>
      </c>
      <c r="B315" s="413">
        <v>1E-3</v>
      </c>
      <c r="C315" s="413">
        <v>0.68700000000000006</v>
      </c>
      <c r="D315" s="414">
        <f t="shared" si="9"/>
        <v>-64.376000000000005</v>
      </c>
      <c r="E315" s="414"/>
      <c r="F315" s="415">
        <f t="shared" si="10"/>
        <v>-71741.072999999917</v>
      </c>
      <c r="G315" s="411"/>
      <c r="H315" s="411"/>
      <c r="I315" s="411"/>
      <c r="J315" s="411"/>
      <c r="K315" s="411"/>
      <c r="L315" s="411"/>
      <c r="M315" s="411"/>
      <c r="N315" s="411"/>
      <c r="O315" s="411"/>
      <c r="P315" s="411"/>
      <c r="Q315" s="411"/>
      <c r="R315" s="411"/>
      <c r="S315" s="411"/>
      <c r="T315" s="411"/>
    </row>
    <row r="316" spans="1:20" ht="15" thickBot="1" x14ac:dyDescent="0.4">
      <c r="A316" s="447">
        <v>-632.14</v>
      </c>
      <c r="B316" s="413">
        <v>1E-3</v>
      </c>
      <c r="C316" s="413">
        <v>0.68600000000000005</v>
      </c>
      <c r="D316" s="414">
        <f t="shared" si="9"/>
        <v>-63.214000000000006</v>
      </c>
      <c r="E316" s="414"/>
      <c r="F316" s="415">
        <f t="shared" si="10"/>
        <v>-71804.286999999924</v>
      </c>
      <c r="G316" s="411"/>
      <c r="H316" s="411"/>
      <c r="I316" s="411"/>
      <c r="J316" s="411"/>
      <c r="K316" s="411"/>
      <c r="L316" s="411"/>
      <c r="M316" s="411"/>
      <c r="N316" s="411"/>
      <c r="O316" s="411"/>
      <c r="P316" s="411"/>
      <c r="Q316" s="411"/>
      <c r="R316" s="411"/>
      <c r="S316" s="411"/>
      <c r="T316" s="411"/>
    </row>
    <row r="317" spans="1:20" ht="15" thickBot="1" x14ac:dyDescent="0.4">
      <c r="A317" s="447">
        <v>-631.89</v>
      </c>
      <c r="B317" s="413">
        <v>1E-3</v>
      </c>
      <c r="C317" s="413">
        <v>0.68500000000000005</v>
      </c>
      <c r="D317" s="414">
        <f t="shared" si="9"/>
        <v>-63.188999999999993</v>
      </c>
      <c r="E317" s="414"/>
      <c r="F317" s="415">
        <f t="shared" si="10"/>
        <v>-71867.475999999922</v>
      </c>
      <c r="G317" s="411"/>
      <c r="H317" s="411"/>
      <c r="I317" s="411"/>
      <c r="J317" s="411"/>
      <c r="K317" s="411"/>
      <c r="L317" s="411"/>
      <c r="M317" s="411"/>
      <c r="N317" s="411"/>
      <c r="O317" s="411"/>
      <c r="P317" s="411"/>
      <c r="Q317" s="411"/>
      <c r="R317" s="411"/>
      <c r="S317" s="411"/>
      <c r="T317" s="411"/>
    </row>
    <row r="318" spans="1:20" ht="15" thickBot="1" x14ac:dyDescent="0.4">
      <c r="A318" s="447">
        <v>-629.62</v>
      </c>
      <c r="B318" s="413">
        <v>1E-3</v>
      </c>
      <c r="C318" s="413">
        <v>0.68400000000000005</v>
      </c>
      <c r="D318" s="414">
        <f t="shared" si="9"/>
        <v>-62.962000000000003</v>
      </c>
      <c r="E318" s="414"/>
      <c r="F318" s="415">
        <f t="shared" si="10"/>
        <v>-71930.437999999922</v>
      </c>
      <c r="G318" s="411"/>
      <c r="H318" s="411"/>
      <c r="I318" s="411"/>
      <c r="J318" s="411"/>
      <c r="K318" s="411"/>
      <c r="L318" s="411"/>
      <c r="M318" s="411"/>
      <c r="N318" s="411"/>
      <c r="O318" s="411"/>
      <c r="P318" s="411"/>
      <c r="Q318" s="411"/>
      <c r="R318" s="411"/>
      <c r="S318" s="411"/>
      <c r="T318" s="411"/>
    </row>
    <row r="319" spans="1:20" ht="15" thickBot="1" x14ac:dyDescent="0.4">
      <c r="A319" s="447">
        <v>-629.32000000000005</v>
      </c>
      <c r="B319" s="413">
        <v>1E-3</v>
      </c>
      <c r="C319" s="413">
        <v>0.68300000000000005</v>
      </c>
      <c r="D319" s="414">
        <f t="shared" si="9"/>
        <v>-62.932000000000009</v>
      </c>
      <c r="E319" s="414"/>
      <c r="F319" s="415">
        <f t="shared" si="10"/>
        <v>-71993.369999999923</v>
      </c>
      <c r="G319" s="411"/>
      <c r="H319" s="411"/>
      <c r="I319" s="411"/>
      <c r="J319" s="411"/>
      <c r="K319" s="411"/>
      <c r="L319" s="411"/>
      <c r="M319" s="411"/>
      <c r="N319" s="411"/>
      <c r="O319" s="411"/>
      <c r="P319" s="411"/>
      <c r="Q319" s="411"/>
      <c r="R319" s="411"/>
      <c r="S319" s="411"/>
      <c r="T319" s="411"/>
    </row>
    <row r="320" spans="1:20" ht="15" thickBot="1" x14ac:dyDescent="0.4">
      <c r="A320" s="447">
        <v>-626.62</v>
      </c>
      <c r="B320" s="413">
        <v>1E-3</v>
      </c>
      <c r="C320" s="413">
        <v>0.68200000000000005</v>
      </c>
      <c r="D320" s="414">
        <f t="shared" si="9"/>
        <v>-62.662000000000006</v>
      </c>
      <c r="E320" s="414"/>
      <c r="F320" s="415">
        <f t="shared" si="10"/>
        <v>-72056.031999999919</v>
      </c>
      <c r="G320" s="411"/>
      <c r="H320" s="411"/>
      <c r="I320" s="411"/>
      <c r="J320" s="411"/>
      <c r="K320" s="411"/>
      <c r="L320" s="411"/>
      <c r="M320" s="411"/>
      <c r="N320" s="411"/>
      <c r="O320" s="411"/>
      <c r="P320" s="411"/>
      <c r="Q320" s="411"/>
      <c r="R320" s="411"/>
      <c r="S320" s="411"/>
      <c r="T320" s="411"/>
    </row>
    <row r="321" spans="1:20" ht="15" thickBot="1" x14ac:dyDescent="0.4">
      <c r="A321" s="447">
        <v>-625.02</v>
      </c>
      <c r="B321" s="413">
        <v>1E-3</v>
      </c>
      <c r="C321" s="413">
        <v>0.68100000000000005</v>
      </c>
      <c r="D321" s="414">
        <f t="shared" si="9"/>
        <v>-62.502000000000002</v>
      </c>
      <c r="E321" s="414"/>
      <c r="F321" s="415">
        <f t="shared" si="10"/>
        <v>-72118.533999999912</v>
      </c>
      <c r="G321" s="411"/>
      <c r="H321" s="411"/>
      <c r="I321" s="411"/>
      <c r="J321" s="411"/>
      <c r="K321" s="411"/>
      <c r="L321" s="411"/>
      <c r="M321" s="411"/>
      <c r="N321" s="411"/>
      <c r="O321" s="411"/>
      <c r="P321" s="411"/>
      <c r="Q321" s="411"/>
      <c r="R321" s="411"/>
      <c r="S321" s="411"/>
      <c r="T321" s="411"/>
    </row>
    <row r="322" spans="1:20" ht="15" thickBot="1" x14ac:dyDescent="0.4">
      <c r="A322" s="447">
        <v>-619.64</v>
      </c>
      <c r="B322" s="413">
        <v>1E-3</v>
      </c>
      <c r="C322" s="413">
        <v>0.68</v>
      </c>
      <c r="D322" s="414">
        <f t="shared" ref="D322:D385" si="11">A322*B322/1%</f>
        <v>-61.963999999999999</v>
      </c>
      <c r="E322" s="414"/>
      <c r="F322" s="415">
        <f t="shared" si="10"/>
        <v>-72180.49799999992</v>
      </c>
      <c r="G322" s="411"/>
      <c r="H322" s="411"/>
      <c r="I322" s="411"/>
      <c r="J322" s="411"/>
      <c r="K322" s="411"/>
      <c r="L322" s="411"/>
      <c r="M322" s="411"/>
      <c r="N322" s="411"/>
      <c r="O322" s="411"/>
      <c r="P322" s="411"/>
      <c r="Q322" s="411"/>
      <c r="R322" s="411"/>
      <c r="S322" s="411"/>
      <c r="T322" s="411"/>
    </row>
    <row r="323" spans="1:20" ht="15" thickBot="1" x14ac:dyDescent="0.4">
      <c r="A323" s="447">
        <v>-609.25</v>
      </c>
      <c r="B323" s="413">
        <v>1E-3</v>
      </c>
      <c r="C323" s="413">
        <v>0.67900000000000005</v>
      </c>
      <c r="D323" s="414">
        <f t="shared" si="11"/>
        <v>-60.924999999999997</v>
      </c>
      <c r="E323" s="414"/>
      <c r="F323" s="415">
        <f t="shared" ref="F323:F386" si="12">F322+D323</f>
        <v>-72241.422999999922</v>
      </c>
      <c r="G323" s="411"/>
      <c r="H323" s="411"/>
      <c r="I323" s="411"/>
      <c r="J323" s="411"/>
      <c r="K323" s="411"/>
      <c r="L323" s="411"/>
      <c r="M323" s="411"/>
      <c r="N323" s="411"/>
      <c r="O323" s="411"/>
      <c r="P323" s="411"/>
      <c r="Q323" s="411"/>
      <c r="R323" s="411"/>
      <c r="S323" s="411"/>
      <c r="T323" s="411"/>
    </row>
    <row r="324" spans="1:20" ht="15" thickBot="1" x14ac:dyDescent="0.4">
      <c r="A324" s="447">
        <v>-605</v>
      </c>
      <c r="B324" s="413">
        <v>1E-3</v>
      </c>
      <c r="C324" s="413">
        <v>0.67800000000000005</v>
      </c>
      <c r="D324" s="414">
        <f t="shared" si="11"/>
        <v>-60.5</v>
      </c>
      <c r="E324" s="414"/>
      <c r="F324" s="415">
        <f t="shared" si="12"/>
        <v>-72301.922999999922</v>
      </c>
      <c r="G324" s="411"/>
      <c r="H324" s="411"/>
      <c r="I324" s="411"/>
      <c r="J324" s="411"/>
      <c r="K324" s="411"/>
      <c r="L324" s="411"/>
      <c r="M324" s="411"/>
      <c r="N324" s="411"/>
      <c r="O324" s="411"/>
      <c r="P324" s="411"/>
      <c r="Q324" s="411"/>
      <c r="R324" s="411"/>
      <c r="S324" s="411"/>
      <c r="T324" s="411"/>
    </row>
    <row r="325" spans="1:20" ht="15" thickBot="1" x14ac:dyDescent="0.4">
      <c r="A325" s="447">
        <v>-603.79999999999995</v>
      </c>
      <c r="B325" s="413">
        <v>1E-3</v>
      </c>
      <c r="C325" s="413">
        <v>0.67700000000000005</v>
      </c>
      <c r="D325" s="414">
        <f t="shared" si="11"/>
        <v>-60.38</v>
      </c>
      <c r="E325" s="414"/>
      <c r="F325" s="415">
        <f t="shared" si="12"/>
        <v>-72362.302999999927</v>
      </c>
      <c r="G325" s="411"/>
      <c r="H325" s="411"/>
      <c r="I325" s="411"/>
      <c r="J325" s="411"/>
      <c r="K325" s="411"/>
      <c r="L325" s="411"/>
      <c r="M325" s="411"/>
      <c r="N325" s="411"/>
      <c r="O325" s="411"/>
      <c r="P325" s="411"/>
      <c r="Q325" s="411"/>
      <c r="R325" s="411"/>
      <c r="S325" s="411"/>
      <c r="T325" s="411"/>
    </row>
    <row r="326" spans="1:20" ht="15" thickBot="1" x14ac:dyDescent="0.4">
      <c r="A326" s="447">
        <v>-600.01</v>
      </c>
      <c r="B326" s="413">
        <v>1E-3</v>
      </c>
      <c r="C326" s="413">
        <v>0.67600000000000005</v>
      </c>
      <c r="D326" s="414">
        <f t="shared" si="11"/>
        <v>-60.001000000000005</v>
      </c>
      <c r="E326" s="414"/>
      <c r="F326" s="415">
        <f t="shared" si="12"/>
        <v>-72422.303999999931</v>
      </c>
      <c r="G326" s="411"/>
      <c r="H326" s="411"/>
      <c r="I326" s="411"/>
      <c r="J326" s="411"/>
      <c r="K326" s="411"/>
      <c r="L326" s="411"/>
      <c r="M326" s="411"/>
      <c r="N326" s="411"/>
      <c r="O326" s="411"/>
      <c r="P326" s="411"/>
      <c r="Q326" s="411"/>
      <c r="R326" s="411"/>
      <c r="S326" s="411"/>
      <c r="T326" s="411"/>
    </row>
    <row r="327" spans="1:20" ht="15" thickBot="1" x14ac:dyDescent="0.4">
      <c r="A327" s="447">
        <v>-600.01</v>
      </c>
      <c r="B327" s="413">
        <v>1E-3</v>
      </c>
      <c r="C327" s="413">
        <v>0.67500000000000004</v>
      </c>
      <c r="D327" s="414">
        <f t="shared" si="11"/>
        <v>-60.001000000000005</v>
      </c>
      <c r="E327" s="414"/>
      <c r="F327" s="415">
        <f t="shared" si="12"/>
        <v>-72482.304999999935</v>
      </c>
      <c r="G327" s="411"/>
      <c r="H327" s="411"/>
      <c r="I327" s="411"/>
      <c r="J327" s="411"/>
      <c r="K327" s="411"/>
      <c r="L327" s="411"/>
      <c r="M327" s="411"/>
      <c r="N327" s="411"/>
      <c r="O327" s="411"/>
      <c r="P327" s="411"/>
      <c r="Q327" s="411"/>
      <c r="R327" s="411"/>
      <c r="S327" s="411"/>
      <c r="T327" s="411"/>
    </row>
    <row r="328" spans="1:20" ht="15" thickBot="1" x14ac:dyDescent="0.4">
      <c r="A328" s="447">
        <v>-599.86</v>
      </c>
      <c r="B328" s="413">
        <v>1E-3</v>
      </c>
      <c r="C328" s="413">
        <v>0.67400000000000004</v>
      </c>
      <c r="D328" s="414">
        <f t="shared" si="11"/>
        <v>-59.986000000000004</v>
      </c>
      <c r="E328" s="414"/>
      <c r="F328" s="415">
        <f t="shared" si="12"/>
        <v>-72542.290999999939</v>
      </c>
      <c r="G328" s="411"/>
      <c r="H328" s="411"/>
      <c r="I328" s="411"/>
      <c r="J328" s="411"/>
      <c r="K328" s="411"/>
      <c r="L328" s="411"/>
      <c r="M328" s="411"/>
      <c r="N328" s="411"/>
      <c r="O328" s="411"/>
      <c r="P328" s="411"/>
      <c r="Q328" s="411"/>
      <c r="R328" s="411"/>
      <c r="S328" s="411"/>
      <c r="T328" s="411"/>
    </row>
    <row r="329" spans="1:20" ht="15" thickBot="1" x14ac:dyDescent="0.4">
      <c r="A329" s="447">
        <v>-598.63</v>
      </c>
      <c r="B329" s="413">
        <v>1E-3</v>
      </c>
      <c r="C329" s="413">
        <v>0.67300000000000004</v>
      </c>
      <c r="D329" s="414">
        <f t="shared" si="11"/>
        <v>-59.863</v>
      </c>
      <c r="E329" s="414"/>
      <c r="F329" s="415">
        <f t="shared" si="12"/>
        <v>-72602.153999999937</v>
      </c>
      <c r="G329" s="411"/>
      <c r="H329" s="411"/>
      <c r="I329" s="411"/>
      <c r="J329" s="411"/>
      <c r="K329" s="411"/>
      <c r="L329" s="411"/>
      <c r="M329" s="411"/>
      <c r="N329" s="411"/>
      <c r="O329" s="411"/>
      <c r="P329" s="411"/>
      <c r="Q329" s="411"/>
      <c r="R329" s="411"/>
      <c r="S329" s="411"/>
      <c r="T329" s="411"/>
    </row>
    <row r="330" spans="1:20" ht="15" thickBot="1" x14ac:dyDescent="0.4">
      <c r="A330" s="447">
        <v>-598.16</v>
      </c>
      <c r="B330" s="413">
        <v>1E-3</v>
      </c>
      <c r="C330" s="413">
        <v>0.67200000000000004</v>
      </c>
      <c r="D330" s="414">
        <f t="shared" si="11"/>
        <v>-59.816000000000003</v>
      </c>
      <c r="E330" s="414"/>
      <c r="F330" s="415">
        <f t="shared" si="12"/>
        <v>-72661.969999999943</v>
      </c>
      <c r="G330" s="411"/>
      <c r="H330" s="411"/>
      <c r="I330" s="411"/>
      <c r="J330" s="411"/>
      <c r="K330" s="411"/>
      <c r="L330" s="411"/>
      <c r="M330" s="411"/>
      <c r="N330" s="411"/>
      <c r="O330" s="411"/>
      <c r="P330" s="411"/>
      <c r="Q330" s="411"/>
      <c r="R330" s="411"/>
      <c r="S330" s="411"/>
      <c r="T330" s="411"/>
    </row>
    <row r="331" spans="1:20" ht="15" thickBot="1" x14ac:dyDescent="0.4">
      <c r="A331" s="447">
        <v>-595.16999999999996</v>
      </c>
      <c r="B331" s="413">
        <v>1E-3</v>
      </c>
      <c r="C331" s="413">
        <v>0.67100000000000004</v>
      </c>
      <c r="D331" s="414">
        <f t="shared" si="11"/>
        <v>-59.516999999999996</v>
      </c>
      <c r="E331" s="414"/>
      <c r="F331" s="415">
        <f t="shared" si="12"/>
        <v>-72721.48699999995</v>
      </c>
      <c r="G331" s="411"/>
      <c r="H331" s="411"/>
      <c r="I331" s="411"/>
      <c r="J331" s="411"/>
      <c r="K331" s="411"/>
      <c r="L331" s="411"/>
      <c r="M331" s="411"/>
      <c r="N331" s="411"/>
      <c r="O331" s="411"/>
      <c r="P331" s="411"/>
      <c r="Q331" s="411"/>
      <c r="R331" s="411"/>
      <c r="S331" s="411"/>
      <c r="T331" s="411"/>
    </row>
    <row r="332" spans="1:20" ht="15" thickBot="1" x14ac:dyDescent="0.4">
      <c r="A332" s="447">
        <v>-594.12</v>
      </c>
      <c r="B332" s="413">
        <v>1E-3</v>
      </c>
      <c r="C332" s="413">
        <v>0.67</v>
      </c>
      <c r="D332" s="414">
        <f t="shared" si="11"/>
        <v>-59.411999999999999</v>
      </c>
      <c r="E332" s="414"/>
      <c r="F332" s="415">
        <f t="shared" si="12"/>
        <v>-72780.898999999947</v>
      </c>
      <c r="G332" s="411"/>
      <c r="H332" s="411"/>
      <c r="I332" s="411"/>
      <c r="J332" s="411"/>
      <c r="K332" s="411"/>
      <c r="L332" s="411"/>
      <c r="M332" s="411"/>
      <c r="N332" s="411"/>
      <c r="O332" s="411"/>
      <c r="P332" s="411"/>
      <c r="Q332" s="411"/>
      <c r="R332" s="411"/>
      <c r="S332" s="411"/>
      <c r="T332" s="411"/>
    </row>
    <row r="333" spans="1:20" ht="15" thickBot="1" x14ac:dyDescent="0.4">
      <c r="A333" s="447">
        <v>-593.39</v>
      </c>
      <c r="B333" s="413">
        <v>1E-3</v>
      </c>
      <c r="C333" s="413">
        <v>0.66900000000000004</v>
      </c>
      <c r="D333" s="414">
        <f t="shared" si="11"/>
        <v>-59.338999999999999</v>
      </c>
      <c r="E333" s="414"/>
      <c r="F333" s="415">
        <f t="shared" si="12"/>
        <v>-72840.237999999954</v>
      </c>
      <c r="G333" s="411"/>
      <c r="H333" s="411"/>
      <c r="I333" s="411"/>
      <c r="J333" s="411"/>
      <c r="K333" s="411"/>
      <c r="L333" s="411"/>
      <c r="M333" s="411"/>
      <c r="N333" s="411"/>
      <c r="O333" s="411"/>
      <c r="P333" s="411"/>
      <c r="Q333" s="411"/>
      <c r="R333" s="411"/>
      <c r="S333" s="411"/>
      <c r="T333" s="411"/>
    </row>
    <row r="334" spans="1:20" ht="15" thickBot="1" x14ac:dyDescent="0.4">
      <c r="A334" s="447">
        <v>-593.17999999999995</v>
      </c>
      <c r="B334" s="413">
        <v>1E-3</v>
      </c>
      <c r="C334" s="413">
        <v>0.66800000000000004</v>
      </c>
      <c r="D334" s="414">
        <f t="shared" si="11"/>
        <v>-59.317999999999991</v>
      </c>
      <c r="E334" s="414"/>
      <c r="F334" s="415">
        <f t="shared" si="12"/>
        <v>-72899.555999999953</v>
      </c>
      <c r="G334" s="411"/>
      <c r="H334" s="411"/>
      <c r="I334" s="411"/>
      <c r="J334" s="411"/>
      <c r="K334" s="411"/>
      <c r="L334" s="411"/>
      <c r="M334" s="411"/>
      <c r="N334" s="411"/>
      <c r="O334" s="411"/>
      <c r="P334" s="411"/>
      <c r="Q334" s="411"/>
      <c r="R334" s="411"/>
      <c r="S334" s="411"/>
      <c r="T334" s="411"/>
    </row>
    <row r="335" spans="1:20" ht="15" thickBot="1" x14ac:dyDescent="0.4">
      <c r="A335" s="447">
        <v>-592.29</v>
      </c>
      <c r="B335" s="413">
        <v>1E-3</v>
      </c>
      <c r="C335" s="413">
        <v>0.66700000000000004</v>
      </c>
      <c r="D335" s="414">
        <f t="shared" si="11"/>
        <v>-59.228999999999999</v>
      </c>
      <c r="E335" s="414"/>
      <c r="F335" s="415">
        <f t="shared" si="12"/>
        <v>-72958.78499999996</v>
      </c>
      <c r="G335" s="411"/>
      <c r="H335" s="411"/>
      <c r="I335" s="411"/>
      <c r="J335" s="411"/>
      <c r="K335" s="411"/>
      <c r="L335" s="411"/>
      <c r="M335" s="411"/>
      <c r="N335" s="411"/>
      <c r="O335" s="411"/>
      <c r="P335" s="411"/>
      <c r="Q335" s="411"/>
      <c r="R335" s="411"/>
      <c r="S335" s="411"/>
      <c r="T335" s="411"/>
    </row>
    <row r="336" spans="1:20" ht="15" thickBot="1" x14ac:dyDescent="0.4">
      <c r="A336" s="447">
        <v>-580.78</v>
      </c>
      <c r="B336" s="413">
        <v>1E-3</v>
      </c>
      <c r="C336" s="413">
        <v>0.66600000000000004</v>
      </c>
      <c r="D336" s="414">
        <f t="shared" si="11"/>
        <v>-58.077999999999996</v>
      </c>
      <c r="E336" s="414"/>
      <c r="F336" s="415">
        <f t="shared" si="12"/>
        <v>-73016.862999999954</v>
      </c>
      <c r="G336" s="411"/>
      <c r="H336" s="411"/>
      <c r="I336" s="411"/>
      <c r="J336" s="411"/>
      <c r="K336" s="411"/>
      <c r="L336" s="411"/>
      <c r="M336" s="411"/>
      <c r="N336" s="411"/>
      <c r="O336" s="411"/>
      <c r="P336" s="411"/>
      <c r="Q336" s="411"/>
      <c r="R336" s="411"/>
      <c r="S336" s="411"/>
      <c r="T336" s="411"/>
    </row>
    <row r="337" spans="1:20" ht="15" thickBot="1" x14ac:dyDescent="0.4">
      <c r="A337" s="447">
        <v>-580.35</v>
      </c>
      <c r="B337" s="413">
        <v>1E-3</v>
      </c>
      <c r="C337" s="413">
        <v>0.66500000000000004</v>
      </c>
      <c r="D337" s="414">
        <f t="shared" si="11"/>
        <v>-58.035000000000004</v>
      </c>
      <c r="E337" s="414"/>
      <c r="F337" s="415">
        <f t="shared" si="12"/>
        <v>-73074.897999999957</v>
      </c>
      <c r="G337" s="411"/>
      <c r="H337" s="411"/>
      <c r="I337" s="411"/>
      <c r="J337" s="411"/>
      <c r="K337" s="411"/>
      <c r="L337" s="411"/>
      <c r="M337" s="411"/>
      <c r="N337" s="411"/>
      <c r="O337" s="411"/>
      <c r="P337" s="411"/>
      <c r="Q337" s="411"/>
      <c r="R337" s="411"/>
      <c r="S337" s="411"/>
      <c r="T337" s="411"/>
    </row>
    <row r="338" spans="1:20" ht="15" thickBot="1" x14ac:dyDescent="0.4">
      <c r="A338" s="447">
        <v>-560.96</v>
      </c>
      <c r="B338" s="413">
        <v>1E-3</v>
      </c>
      <c r="C338" s="413">
        <v>0.66400000000000003</v>
      </c>
      <c r="D338" s="414">
        <f t="shared" si="11"/>
        <v>-56.096000000000004</v>
      </c>
      <c r="E338" s="414"/>
      <c r="F338" s="415">
        <f t="shared" si="12"/>
        <v>-73130.993999999962</v>
      </c>
      <c r="G338" s="411"/>
      <c r="H338" s="411"/>
      <c r="I338" s="411"/>
      <c r="J338" s="411"/>
      <c r="K338" s="411"/>
      <c r="L338" s="411"/>
      <c r="M338" s="411"/>
      <c r="N338" s="411"/>
      <c r="O338" s="411"/>
      <c r="P338" s="411"/>
      <c r="Q338" s="411"/>
      <c r="R338" s="411"/>
      <c r="S338" s="411"/>
      <c r="T338" s="411"/>
    </row>
    <row r="339" spans="1:20" ht="15" thickBot="1" x14ac:dyDescent="0.4">
      <c r="A339" s="447">
        <v>-560.11</v>
      </c>
      <c r="B339" s="413">
        <v>1E-3</v>
      </c>
      <c r="C339" s="413">
        <v>0.66300000000000003</v>
      </c>
      <c r="D339" s="414">
        <f t="shared" si="11"/>
        <v>-56.010999999999996</v>
      </c>
      <c r="E339" s="414"/>
      <c r="F339" s="415">
        <f t="shared" si="12"/>
        <v>-73187.004999999961</v>
      </c>
      <c r="G339" s="411"/>
      <c r="H339" s="411"/>
      <c r="I339" s="411"/>
      <c r="J339" s="411"/>
      <c r="K339" s="411"/>
      <c r="L339" s="411"/>
      <c r="M339" s="411"/>
      <c r="N339" s="411"/>
      <c r="O339" s="411"/>
      <c r="P339" s="411"/>
      <c r="Q339" s="411"/>
      <c r="R339" s="411"/>
      <c r="S339" s="411"/>
      <c r="T339" s="411"/>
    </row>
    <row r="340" spans="1:20" ht="15" thickBot="1" x14ac:dyDescent="0.4">
      <c r="A340" s="447">
        <v>-557.64</v>
      </c>
      <c r="B340" s="413">
        <v>1E-3</v>
      </c>
      <c r="C340" s="413">
        <v>0.66200000000000003</v>
      </c>
      <c r="D340" s="414">
        <f t="shared" si="11"/>
        <v>-55.764000000000003</v>
      </c>
      <c r="E340" s="414"/>
      <c r="F340" s="415">
        <f t="shared" si="12"/>
        <v>-73242.768999999957</v>
      </c>
      <c r="G340" s="411"/>
      <c r="H340" s="411"/>
      <c r="I340" s="411"/>
      <c r="J340" s="411"/>
      <c r="K340" s="411"/>
      <c r="L340" s="411"/>
      <c r="M340" s="411"/>
      <c r="N340" s="411"/>
      <c r="O340" s="411"/>
      <c r="P340" s="411"/>
      <c r="Q340" s="411"/>
      <c r="R340" s="411"/>
      <c r="S340" s="411"/>
      <c r="T340" s="411"/>
    </row>
    <row r="341" spans="1:20" ht="15" thickBot="1" x14ac:dyDescent="0.4">
      <c r="A341" s="447">
        <v>-556.45000000000005</v>
      </c>
      <c r="B341" s="413">
        <v>1E-3</v>
      </c>
      <c r="C341" s="413">
        <v>0.66100000000000003</v>
      </c>
      <c r="D341" s="414">
        <f t="shared" si="11"/>
        <v>-55.64500000000001</v>
      </c>
      <c r="E341" s="414"/>
      <c r="F341" s="415">
        <f t="shared" si="12"/>
        <v>-73298.413999999961</v>
      </c>
      <c r="G341" s="411"/>
      <c r="H341" s="411"/>
      <c r="I341" s="411"/>
      <c r="J341" s="411"/>
      <c r="K341" s="411"/>
      <c r="L341" s="411"/>
      <c r="M341" s="411"/>
      <c r="N341" s="411"/>
      <c r="O341" s="411"/>
      <c r="P341" s="411"/>
      <c r="Q341" s="411"/>
      <c r="R341" s="411"/>
      <c r="S341" s="411"/>
      <c r="T341" s="411"/>
    </row>
    <row r="342" spans="1:20" ht="15" thickBot="1" x14ac:dyDescent="0.4">
      <c r="A342" s="447">
        <v>-555</v>
      </c>
      <c r="B342" s="413">
        <v>1E-3</v>
      </c>
      <c r="C342" s="413">
        <v>0.66</v>
      </c>
      <c r="D342" s="414">
        <f t="shared" si="11"/>
        <v>-55.500000000000007</v>
      </c>
      <c r="E342" s="414"/>
      <c r="F342" s="415">
        <f t="shared" si="12"/>
        <v>-73353.913999999961</v>
      </c>
      <c r="G342" s="411"/>
      <c r="H342" s="411"/>
      <c r="I342" s="411"/>
      <c r="J342" s="411"/>
      <c r="K342" s="411"/>
      <c r="L342" s="411"/>
      <c r="M342" s="411"/>
      <c r="N342" s="411"/>
      <c r="O342" s="411"/>
      <c r="P342" s="411"/>
      <c r="Q342" s="411"/>
      <c r="R342" s="411"/>
      <c r="S342" s="411"/>
      <c r="T342" s="411"/>
    </row>
    <row r="343" spans="1:20" ht="15" thickBot="1" x14ac:dyDescent="0.4">
      <c r="A343" s="447">
        <v>-549.71</v>
      </c>
      <c r="B343" s="413">
        <v>1E-3</v>
      </c>
      <c r="C343" s="413">
        <v>0.65900000000000003</v>
      </c>
      <c r="D343" s="414">
        <f t="shared" si="11"/>
        <v>-54.971000000000004</v>
      </c>
      <c r="E343" s="414"/>
      <c r="F343" s="415">
        <f t="shared" si="12"/>
        <v>-73408.884999999966</v>
      </c>
      <c r="G343" s="411"/>
      <c r="H343" s="411"/>
      <c r="I343" s="411"/>
      <c r="J343" s="411"/>
      <c r="K343" s="411"/>
      <c r="L343" s="411"/>
      <c r="M343" s="411"/>
      <c r="N343" s="411"/>
      <c r="O343" s="411"/>
      <c r="P343" s="411"/>
      <c r="Q343" s="411"/>
      <c r="R343" s="411"/>
      <c r="S343" s="411"/>
      <c r="T343" s="411"/>
    </row>
    <row r="344" spans="1:20" ht="15" thickBot="1" x14ac:dyDescent="0.4">
      <c r="A344" s="447">
        <v>-547.94000000000005</v>
      </c>
      <c r="B344" s="413">
        <v>1E-3</v>
      </c>
      <c r="C344" s="413">
        <v>0.65800000000000003</v>
      </c>
      <c r="D344" s="414">
        <f t="shared" si="11"/>
        <v>-54.794000000000011</v>
      </c>
      <c r="E344" s="414"/>
      <c r="F344" s="415">
        <f t="shared" si="12"/>
        <v>-73463.67899999996</v>
      </c>
      <c r="G344" s="411"/>
      <c r="H344" s="411"/>
      <c r="I344" s="411"/>
      <c r="J344" s="411"/>
      <c r="K344" s="411"/>
      <c r="L344" s="411"/>
      <c r="M344" s="411"/>
      <c r="N344" s="411"/>
      <c r="O344" s="411"/>
      <c r="P344" s="411"/>
      <c r="Q344" s="411"/>
      <c r="R344" s="411"/>
      <c r="S344" s="411"/>
      <c r="T344" s="411"/>
    </row>
    <row r="345" spans="1:20" ht="15" thickBot="1" x14ac:dyDescent="0.4">
      <c r="A345" s="447">
        <v>-547.87</v>
      </c>
      <c r="B345" s="413">
        <v>1E-3</v>
      </c>
      <c r="C345" s="413">
        <v>0.65700000000000003</v>
      </c>
      <c r="D345" s="414">
        <f t="shared" si="11"/>
        <v>-54.786999999999999</v>
      </c>
      <c r="E345" s="414"/>
      <c r="F345" s="415">
        <f t="shared" si="12"/>
        <v>-73518.465999999957</v>
      </c>
      <c r="G345" s="411"/>
      <c r="H345" s="411"/>
      <c r="I345" s="411"/>
      <c r="J345" s="411"/>
      <c r="K345" s="411"/>
      <c r="L345" s="411"/>
      <c r="M345" s="411"/>
      <c r="N345" s="411"/>
      <c r="O345" s="411"/>
      <c r="P345" s="411"/>
      <c r="Q345" s="411"/>
      <c r="R345" s="411"/>
      <c r="S345" s="411"/>
      <c r="T345" s="411"/>
    </row>
    <row r="346" spans="1:20" ht="15" thickBot="1" x14ac:dyDescent="0.4">
      <c r="A346" s="447">
        <v>-540.91</v>
      </c>
      <c r="B346" s="413">
        <v>1E-3</v>
      </c>
      <c r="C346" s="413">
        <v>0.65600000000000003</v>
      </c>
      <c r="D346" s="414">
        <f t="shared" si="11"/>
        <v>-54.091000000000001</v>
      </c>
      <c r="E346" s="414"/>
      <c r="F346" s="415">
        <f t="shared" si="12"/>
        <v>-73572.556999999957</v>
      </c>
      <c r="G346" s="411"/>
      <c r="H346" s="411"/>
      <c r="I346" s="411"/>
      <c r="J346" s="411"/>
      <c r="K346" s="411"/>
      <c r="L346" s="411"/>
      <c r="M346" s="411"/>
      <c r="N346" s="411"/>
      <c r="O346" s="411"/>
      <c r="P346" s="411"/>
      <c r="Q346" s="411"/>
      <c r="R346" s="411"/>
      <c r="S346" s="411"/>
      <c r="T346" s="411"/>
    </row>
    <row r="347" spans="1:20" ht="15" thickBot="1" x14ac:dyDescent="0.4">
      <c r="A347" s="447">
        <v>-537.61</v>
      </c>
      <c r="B347" s="413">
        <v>1E-3</v>
      </c>
      <c r="C347" s="413">
        <v>0.65500000000000003</v>
      </c>
      <c r="D347" s="414">
        <f t="shared" si="11"/>
        <v>-53.761000000000003</v>
      </c>
      <c r="E347" s="414"/>
      <c r="F347" s="415">
        <f t="shared" si="12"/>
        <v>-73626.317999999956</v>
      </c>
      <c r="G347" s="411"/>
      <c r="H347" s="411"/>
      <c r="I347" s="411"/>
      <c r="J347" s="411"/>
      <c r="K347" s="411"/>
      <c r="L347" s="411"/>
      <c r="M347" s="411"/>
      <c r="N347" s="411"/>
      <c r="O347" s="411"/>
      <c r="P347" s="411"/>
      <c r="Q347" s="411"/>
      <c r="R347" s="411"/>
      <c r="S347" s="411"/>
      <c r="T347" s="411"/>
    </row>
    <row r="348" spans="1:20" ht="15" thickBot="1" x14ac:dyDescent="0.4">
      <c r="A348" s="447">
        <v>-536.13</v>
      </c>
      <c r="B348" s="413">
        <v>1E-3</v>
      </c>
      <c r="C348" s="413">
        <v>0.65400000000000003</v>
      </c>
      <c r="D348" s="414">
        <f t="shared" si="11"/>
        <v>-53.613</v>
      </c>
      <c r="E348" s="414"/>
      <c r="F348" s="415">
        <f t="shared" si="12"/>
        <v>-73679.930999999953</v>
      </c>
      <c r="G348" s="411"/>
      <c r="H348" s="411"/>
      <c r="I348" s="411"/>
      <c r="J348" s="411"/>
      <c r="K348" s="411"/>
      <c r="L348" s="411"/>
      <c r="M348" s="411"/>
      <c r="N348" s="411"/>
      <c r="O348" s="411"/>
      <c r="P348" s="411"/>
      <c r="Q348" s="411"/>
      <c r="R348" s="411"/>
      <c r="S348" s="411"/>
      <c r="T348" s="411"/>
    </row>
    <row r="349" spans="1:20" ht="15" thickBot="1" x14ac:dyDescent="0.4">
      <c r="A349" s="447">
        <v>-532.91999999999996</v>
      </c>
      <c r="B349" s="413">
        <v>1E-3</v>
      </c>
      <c r="C349" s="413">
        <v>0.65300000000000002</v>
      </c>
      <c r="D349" s="414">
        <f t="shared" si="11"/>
        <v>-53.291999999999994</v>
      </c>
      <c r="E349" s="414"/>
      <c r="F349" s="415">
        <f t="shared" si="12"/>
        <v>-73733.222999999954</v>
      </c>
      <c r="G349" s="411"/>
      <c r="H349" s="411"/>
      <c r="I349" s="411"/>
      <c r="J349" s="411"/>
      <c r="K349" s="411"/>
      <c r="L349" s="411"/>
      <c r="M349" s="411"/>
      <c r="N349" s="411"/>
      <c r="O349" s="411"/>
      <c r="P349" s="411"/>
      <c r="Q349" s="411"/>
      <c r="R349" s="411"/>
      <c r="S349" s="411"/>
      <c r="T349" s="411"/>
    </row>
    <row r="350" spans="1:20" ht="15" thickBot="1" x14ac:dyDescent="0.4">
      <c r="A350" s="447">
        <v>-531.85</v>
      </c>
      <c r="B350" s="413">
        <v>1E-3</v>
      </c>
      <c r="C350" s="413">
        <v>0.65200000000000002</v>
      </c>
      <c r="D350" s="414">
        <f t="shared" si="11"/>
        <v>-53.185000000000002</v>
      </c>
      <c r="E350" s="414"/>
      <c r="F350" s="415">
        <f t="shared" si="12"/>
        <v>-73786.407999999952</v>
      </c>
      <c r="G350" s="411"/>
      <c r="H350" s="411"/>
      <c r="I350" s="411"/>
      <c r="J350" s="411"/>
      <c r="K350" s="411"/>
      <c r="L350" s="411"/>
      <c r="M350" s="411"/>
      <c r="N350" s="411"/>
      <c r="O350" s="411"/>
      <c r="P350" s="411"/>
      <c r="Q350" s="411"/>
      <c r="R350" s="411"/>
      <c r="S350" s="411"/>
      <c r="T350" s="411"/>
    </row>
    <row r="351" spans="1:20" ht="15" thickBot="1" x14ac:dyDescent="0.4">
      <c r="A351" s="447">
        <v>-523.79999999999995</v>
      </c>
      <c r="B351" s="413">
        <v>1E-3</v>
      </c>
      <c r="C351" s="413">
        <v>0.65100000000000002</v>
      </c>
      <c r="D351" s="414">
        <f t="shared" si="11"/>
        <v>-52.379999999999995</v>
      </c>
      <c r="E351" s="414"/>
      <c r="F351" s="415">
        <f t="shared" si="12"/>
        <v>-73838.787999999957</v>
      </c>
      <c r="G351" s="411"/>
      <c r="H351" s="411"/>
      <c r="I351" s="411"/>
      <c r="J351" s="411"/>
      <c r="K351" s="411"/>
      <c r="L351" s="411"/>
      <c r="M351" s="411"/>
      <c r="N351" s="411"/>
      <c r="O351" s="411"/>
      <c r="P351" s="411"/>
      <c r="Q351" s="411"/>
      <c r="R351" s="411"/>
      <c r="S351" s="411"/>
      <c r="T351" s="411"/>
    </row>
    <row r="352" spans="1:20" ht="15" thickBot="1" x14ac:dyDescent="0.4">
      <c r="A352" s="447">
        <v>-510.88</v>
      </c>
      <c r="B352" s="413">
        <v>1E-3</v>
      </c>
      <c r="C352" s="413">
        <v>0.65</v>
      </c>
      <c r="D352" s="414">
        <f t="shared" si="11"/>
        <v>-51.088000000000001</v>
      </c>
      <c r="E352" s="414"/>
      <c r="F352" s="415">
        <f t="shared" si="12"/>
        <v>-73889.87599999996</v>
      </c>
      <c r="G352" s="411"/>
      <c r="H352" s="411"/>
      <c r="I352" s="411"/>
      <c r="J352" s="411"/>
      <c r="K352" s="411"/>
      <c r="L352" s="411"/>
      <c r="M352" s="411"/>
      <c r="N352" s="411"/>
      <c r="O352" s="411"/>
      <c r="P352" s="411"/>
      <c r="Q352" s="411"/>
      <c r="R352" s="411"/>
      <c r="S352" s="411"/>
      <c r="T352" s="411"/>
    </row>
    <row r="353" spans="1:20" ht="15" thickBot="1" x14ac:dyDescent="0.4">
      <c r="A353" s="447">
        <v>-506.86</v>
      </c>
      <c r="B353" s="413">
        <v>1E-3</v>
      </c>
      <c r="C353" s="413">
        <v>0.64900000000000002</v>
      </c>
      <c r="D353" s="414">
        <f t="shared" si="11"/>
        <v>-50.686</v>
      </c>
      <c r="E353" s="414"/>
      <c r="F353" s="415">
        <f t="shared" si="12"/>
        <v>-73940.561999999962</v>
      </c>
      <c r="G353" s="411"/>
      <c r="H353" s="411"/>
      <c r="I353" s="411"/>
      <c r="J353" s="411"/>
      <c r="K353" s="411"/>
      <c r="L353" s="411"/>
      <c r="M353" s="411"/>
      <c r="N353" s="411"/>
      <c r="O353" s="411"/>
      <c r="P353" s="411"/>
      <c r="Q353" s="411"/>
      <c r="R353" s="411"/>
      <c r="S353" s="411"/>
      <c r="T353" s="411"/>
    </row>
    <row r="354" spans="1:20" ht="15" thickBot="1" x14ac:dyDescent="0.4">
      <c r="A354" s="447">
        <v>-505.66</v>
      </c>
      <c r="B354" s="413">
        <v>1E-3</v>
      </c>
      <c r="C354" s="413">
        <v>0.64800000000000002</v>
      </c>
      <c r="D354" s="414">
        <f t="shared" si="11"/>
        <v>-50.565999999999995</v>
      </c>
      <c r="E354" s="414"/>
      <c r="F354" s="415">
        <f t="shared" si="12"/>
        <v>-73991.127999999968</v>
      </c>
      <c r="G354" s="411"/>
      <c r="H354" s="411"/>
      <c r="I354" s="411"/>
      <c r="J354" s="411"/>
      <c r="K354" s="411"/>
      <c r="L354" s="411"/>
      <c r="M354" s="411"/>
      <c r="N354" s="411"/>
      <c r="O354" s="411"/>
      <c r="P354" s="411"/>
      <c r="Q354" s="411"/>
      <c r="R354" s="411"/>
      <c r="S354" s="411"/>
      <c r="T354" s="411"/>
    </row>
    <row r="355" spans="1:20" ht="15" thickBot="1" x14ac:dyDescent="0.4">
      <c r="A355" s="447">
        <v>-502.19</v>
      </c>
      <c r="B355" s="413">
        <v>1E-3</v>
      </c>
      <c r="C355" s="413">
        <v>0.64700000000000002</v>
      </c>
      <c r="D355" s="414">
        <f t="shared" si="11"/>
        <v>-50.219000000000001</v>
      </c>
      <c r="E355" s="414"/>
      <c r="F355" s="415">
        <f t="shared" si="12"/>
        <v>-74041.346999999965</v>
      </c>
      <c r="G355" s="411"/>
      <c r="H355" s="411"/>
      <c r="I355" s="411"/>
      <c r="J355" s="411"/>
      <c r="K355" s="411"/>
      <c r="L355" s="411"/>
      <c r="M355" s="411"/>
      <c r="N355" s="411"/>
      <c r="O355" s="411"/>
      <c r="P355" s="411"/>
      <c r="Q355" s="411"/>
      <c r="R355" s="411"/>
      <c r="S355" s="411"/>
      <c r="T355" s="411"/>
    </row>
    <row r="356" spans="1:20" ht="15" thickBot="1" x14ac:dyDescent="0.4">
      <c r="A356" s="447">
        <v>-501.63</v>
      </c>
      <c r="B356" s="413">
        <v>1E-3</v>
      </c>
      <c r="C356" s="413">
        <v>0.64600000000000002</v>
      </c>
      <c r="D356" s="414">
        <f t="shared" si="11"/>
        <v>-50.163000000000004</v>
      </c>
      <c r="E356" s="414"/>
      <c r="F356" s="415">
        <f t="shared" si="12"/>
        <v>-74091.509999999966</v>
      </c>
      <c r="G356" s="411"/>
      <c r="H356" s="411"/>
      <c r="I356" s="411"/>
      <c r="J356" s="411"/>
      <c r="K356" s="411"/>
      <c r="L356" s="411"/>
      <c r="M356" s="411"/>
      <c r="N356" s="411"/>
      <c r="O356" s="411"/>
      <c r="P356" s="411"/>
      <c r="Q356" s="411"/>
      <c r="R356" s="411"/>
      <c r="S356" s="411"/>
      <c r="T356" s="411"/>
    </row>
    <row r="357" spans="1:20" ht="15" thickBot="1" x14ac:dyDescent="0.4">
      <c r="A357" s="447">
        <v>-499.45</v>
      </c>
      <c r="B357" s="413">
        <v>1E-3</v>
      </c>
      <c r="C357" s="413">
        <v>0.64500000000000002</v>
      </c>
      <c r="D357" s="414">
        <f t="shared" si="11"/>
        <v>-49.945</v>
      </c>
      <c r="E357" s="414"/>
      <c r="F357" s="415">
        <f t="shared" si="12"/>
        <v>-74141.454999999973</v>
      </c>
      <c r="G357" s="411"/>
      <c r="H357" s="411"/>
      <c r="I357" s="411"/>
      <c r="J357" s="411"/>
      <c r="K357" s="411"/>
      <c r="L357" s="411"/>
      <c r="M357" s="411"/>
      <c r="N357" s="411"/>
      <c r="O357" s="411"/>
      <c r="P357" s="411"/>
      <c r="Q357" s="411"/>
      <c r="R357" s="411"/>
      <c r="S357" s="411"/>
      <c r="T357" s="411"/>
    </row>
    <row r="358" spans="1:20" ht="15" thickBot="1" x14ac:dyDescent="0.4">
      <c r="A358" s="447">
        <v>-497.41</v>
      </c>
      <c r="B358" s="413">
        <v>1E-3</v>
      </c>
      <c r="C358" s="413">
        <v>0.64400000000000002</v>
      </c>
      <c r="D358" s="414">
        <f t="shared" si="11"/>
        <v>-49.741</v>
      </c>
      <c r="E358" s="414"/>
      <c r="F358" s="415">
        <f t="shared" si="12"/>
        <v>-74191.195999999967</v>
      </c>
      <c r="G358" s="411"/>
      <c r="H358" s="411"/>
      <c r="I358" s="411"/>
      <c r="J358" s="411"/>
      <c r="K358" s="411"/>
      <c r="L358" s="411"/>
      <c r="M358" s="411"/>
      <c r="N358" s="411"/>
      <c r="O358" s="411"/>
      <c r="P358" s="411"/>
      <c r="Q358" s="411"/>
      <c r="R358" s="411"/>
      <c r="S358" s="411"/>
      <c r="T358" s="411"/>
    </row>
    <row r="359" spans="1:20" ht="15" thickBot="1" x14ac:dyDescent="0.4">
      <c r="A359" s="447">
        <v>-491.57</v>
      </c>
      <c r="B359" s="413">
        <v>1E-3</v>
      </c>
      <c r="C359" s="413">
        <v>0.64300000000000002</v>
      </c>
      <c r="D359" s="414">
        <f t="shared" si="11"/>
        <v>-49.156999999999996</v>
      </c>
      <c r="E359" s="414"/>
      <c r="F359" s="415">
        <f t="shared" si="12"/>
        <v>-74240.352999999974</v>
      </c>
      <c r="G359" s="411"/>
      <c r="H359" s="411"/>
      <c r="I359" s="411"/>
      <c r="J359" s="411"/>
      <c r="K359" s="411"/>
      <c r="L359" s="411"/>
      <c r="M359" s="411"/>
      <c r="N359" s="411"/>
      <c r="O359" s="411"/>
      <c r="P359" s="411"/>
      <c r="Q359" s="411"/>
      <c r="R359" s="411"/>
      <c r="S359" s="411"/>
      <c r="T359" s="411"/>
    </row>
    <row r="360" spans="1:20" ht="15" thickBot="1" x14ac:dyDescent="0.4">
      <c r="A360" s="447">
        <v>-491.46</v>
      </c>
      <c r="B360" s="413">
        <v>1E-3</v>
      </c>
      <c r="C360" s="413">
        <v>0.64200000000000002</v>
      </c>
      <c r="D360" s="414">
        <f t="shared" si="11"/>
        <v>-49.146000000000001</v>
      </c>
      <c r="E360" s="414"/>
      <c r="F360" s="415">
        <f t="shared" si="12"/>
        <v>-74289.498999999967</v>
      </c>
      <c r="G360" s="411"/>
      <c r="H360" s="411"/>
      <c r="I360" s="411"/>
      <c r="J360" s="411"/>
      <c r="K360" s="411"/>
      <c r="L360" s="411"/>
      <c r="M360" s="411"/>
      <c r="N360" s="411"/>
      <c r="O360" s="411"/>
      <c r="P360" s="411"/>
      <c r="Q360" s="411"/>
      <c r="R360" s="411"/>
      <c r="S360" s="411"/>
      <c r="T360" s="411"/>
    </row>
    <row r="361" spans="1:20" ht="15" thickBot="1" x14ac:dyDescent="0.4">
      <c r="A361" s="447">
        <v>-485.99</v>
      </c>
      <c r="B361" s="413">
        <v>1E-3</v>
      </c>
      <c r="C361" s="413">
        <v>0.64100000000000001</v>
      </c>
      <c r="D361" s="414">
        <f t="shared" si="11"/>
        <v>-48.599000000000004</v>
      </c>
      <c r="E361" s="414"/>
      <c r="F361" s="415">
        <f t="shared" si="12"/>
        <v>-74338.097999999969</v>
      </c>
      <c r="G361" s="411"/>
      <c r="H361" s="411"/>
      <c r="I361" s="411"/>
      <c r="J361" s="411"/>
      <c r="K361" s="411"/>
      <c r="L361" s="411"/>
      <c r="M361" s="411"/>
      <c r="N361" s="411"/>
      <c r="O361" s="411"/>
      <c r="P361" s="411"/>
      <c r="Q361" s="411"/>
      <c r="R361" s="411"/>
      <c r="S361" s="411"/>
      <c r="T361" s="411"/>
    </row>
    <row r="362" spans="1:20" ht="15" thickBot="1" x14ac:dyDescent="0.4">
      <c r="A362" s="447">
        <v>-485</v>
      </c>
      <c r="B362" s="413">
        <v>1E-3</v>
      </c>
      <c r="C362" s="413">
        <v>0.64</v>
      </c>
      <c r="D362" s="414">
        <f t="shared" si="11"/>
        <v>-48.5</v>
      </c>
      <c r="E362" s="414"/>
      <c r="F362" s="415">
        <f t="shared" si="12"/>
        <v>-74386.597999999969</v>
      </c>
      <c r="G362" s="411"/>
      <c r="H362" s="411"/>
      <c r="I362" s="411"/>
      <c r="J362" s="411"/>
      <c r="K362" s="411"/>
      <c r="L362" s="411"/>
      <c r="M362" s="411"/>
      <c r="N362" s="411"/>
      <c r="O362" s="411"/>
      <c r="P362" s="411"/>
      <c r="Q362" s="411"/>
      <c r="R362" s="411"/>
      <c r="S362" s="411"/>
      <c r="T362" s="411"/>
    </row>
    <row r="363" spans="1:20" ht="15" thickBot="1" x14ac:dyDescent="0.4">
      <c r="A363" s="447">
        <v>-484.32</v>
      </c>
      <c r="B363" s="413">
        <v>1E-3</v>
      </c>
      <c r="C363" s="413">
        <v>0.63900000000000001</v>
      </c>
      <c r="D363" s="414">
        <f t="shared" si="11"/>
        <v>-48.432000000000002</v>
      </c>
      <c r="E363" s="414"/>
      <c r="F363" s="415">
        <f t="shared" si="12"/>
        <v>-74435.02999999997</v>
      </c>
      <c r="G363" s="411"/>
      <c r="H363" s="411"/>
      <c r="I363" s="411"/>
      <c r="J363" s="411"/>
      <c r="K363" s="411"/>
      <c r="L363" s="411"/>
      <c r="M363" s="411"/>
      <c r="N363" s="411"/>
      <c r="O363" s="411"/>
      <c r="P363" s="411"/>
      <c r="Q363" s="411"/>
      <c r="R363" s="411"/>
      <c r="S363" s="411"/>
      <c r="T363" s="411"/>
    </row>
    <row r="364" spans="1:20" ht="15" thickBot="1" x14ac:dyDescent="0.4">
      <c r="A364" s="447">
        <v>-478.35</v>
      </c>
      <c r="B364" s="413">
        <v>1E-3</v>
      </c>
      <c r="C364" s="413">
        <v>0.63800000000000001</v>
      </c>
      <c r="D364" s="414">
        <f t="shared" si="11"/>
        <v>-47.835000000000001</v>
      </c>
      <c r="E364" s="414"/>
      <c r="F364" s="415">
        <f t="shared" si="12"/>
        <v>-74482.864999999976</v>
      </c>
      <c r="G364" s="411"/>
      <c r="H364" s="411"/>
      <c r="I364" s="411"/>
      <c r="J364" s="411"/>
      <c r="K364" s="411"/>
      <c r="L364" s="411"/>
      <c r="M364" s="411"/>
      <c r="N364" s="411"/>
      <c r="O364" s="411"/>
      <c r="P364" s="411"/>
      <c r="Q364" s="411"/>
      <c r="R364" s="411"/>
      <c r="S364" s="411"/>
      <c r="T364" s="411"/>
    </row>
    <row r="365" spans="1:20" ht="15" thickBot="1" x14ac:dyDescent="0.4">
      <c r="A365" s="447">
        <v>-466.57</v>
      </c>
      <c r="B365" s="413">
        <v>1E-3</v>
      </c>
      <c r="C365" s="413">
        <v>0.63700000000000001</v>
      </c>
      <c r="D365" s="414">
        <f t="shared" si="11"/>
        <v>-46.656999999999996</v>
      </c>
      <c r="E365" s="414"/>
      <c r="F365" s="415">
        <f t="shared" si="12"/>
        <v>-74529.521999999983</v>
      </c>
      <c r="G365" s="411"/>
      <c r="H365" s="411"/>
      <c r="I365" s="411"/>
      <c r="J365" s="411"/>
      <c r="K365" s="411"/>
      <c r="L365" s="411"/>
      <c r="M365" s="411"/>
      <c r="N365" s="411"/>
      <c r="O365" s="411"/>
      <c r="P365" s="411"/>
      <c r="Q365" s="411"/>
      <c r="R365" s="411"/>
      <c r="S365" s="411"/>
      <c r="T365" s="411"/>
    </row>
    <row r="366" spans="1:20" ht="15" thickBot="1" x14ac:dyDescent="0.4">
      <c r="A366" s="447">
        <v>-466.23</v>
      </c>
      <c r="B366" s="413">
        <v>1E-3</v>
      </c>
      <c r="C366" s="413">
        <v>0.63600000000000001</v>
      </c>
      <c r="D366" s="414">
        <f t="shared" si="11"/>
        <v>-46.623000000000005</v>
      </c>
      <c r="E366" s="414"/>
      <c r="F366" s="415">
        <f t="shared" si="12"/>
        <v>-74576.14499999999</v>
      </c>
      <c r="G366" s="411"/>
      <c r="H366" s="411"/>
      <c r="I366" s="411"/>
      <c r="J366" s="411"/>
      <c r="K366" s="411"/>
      <c r="L366" s="411"/>
      <c r="M366" s="411"/>
      <c r="N366" s="411"/>
      <c r="O366" s="411"/>
      <c r="P366" s="411"/>
      <c r="Q366" s="411"/>
      <c r="R366" s="411"/>
      <c r="S366" s="411"/>
      <c r="T366" s="411"/>
    </row>
    <row r="367" spans="1:20" ht="15" thickBot="1" x14ac:dyDescent="0.4">
      <c r="A367" s="447">
        <v>-462.47</v>
      </c>
      <c r="B367" s="413">
        <v>1E-3</v>
      </c>
      <c r="C367" s="413">
        <v>0.63500000000000001</v>
      </c>
      <c r="D367" s="414">
        <f t="shared" si="11"/>
        <v>-46.247000000000007</v>
      </c>
      <c r="E367" s="414"/>
      <c r="F367" s="415">
        <f t="shared" si="12"/>
        <v>-74622.391999999993</v>
      </c>
      <c r="G367" s="411"/>
      <c r="H367" s="411"/>
      <c r="I367" s="411"/>
      <c r="J367" s="411"/>
      <c r="K367" s="411"/>
      <c r="L367" s="411"/>
      <c r="M367" s="411"/>
      <c r="N367" s="411"/>
      <c r="O367" s="411"/>
      <c r="P367" s="411"/>
      <c r="Q367" s="411"/>
      <c r="R367" s="411"/>
      <c r="S367" s="411"/>
      <c r="T367" s="411"/>
    </row>
    <row r="368" spans="1:20" ht="15" thickBot="1" x14ac:dyDescent="0.4">
      <c r="A368" s="447">
        <v>-460.98</v>
      </c>
      <c r="B368" s="413">
        <v>1E-3</v>
      </c>
      <c r="C368" s="413">
        <v>0.63400000000000001</v>
      </c>
      <c r="D368" s="414">
        <f t="shared" si="11"/>
        <v>-46.097999999999999</v>
      </c>
      <c r="E368" s="414"/>
      <c r="F368" s="415">
        <f t="shared" si="12"/>
        <v>-74668.489999999991</v>
      </c>
      <c r="G368" s="411"/>
      <c r="H368" s="411"/>
      <c r="I368" s="411"/>
      <c r="J368" s="411"/>
      <c r="K368" s="411"/>
      <c r="L368" s="411"/>
      <c r="M368" s="411"/>
      <c r="N368" s="411"/>
      <c r="O368" s="411"/>
      <c r="P368" s="411"/>
      <c r="Q368" s="411"/>
      <c r="R368" s="411"/>
      <c r="S368" s="411"/>
      <c r="T368" s="411"/>
    </row>
    <row r="369" spans="1:20" ht="15" thickBot="1" x14ac:dyDescent="0.4">
      <c r="A369" s="447">
        <v>-456.31</v>
      </c>
      <c r="B369" s="413">
        <v>1E-3</v>
      </c>
      <c r="C369" s="413">
        <v>0.63300000000000001</v>
      </c>
      <c r="D369" s="414">
        <f t="shared" si="11"/>
        <v>-45.631</v>
      </c>
      <c r="E369" s="414"/>
      <c r="F369" s="415">
        <f t="shared" si="12"/>
        <v>-74714.120999999985</v>
      </c>
      <c r="G369" s="411"/>
      <c r="H369" s="411"/>
      <c r="I369" s="411"/>
      <c r="J369" s="411"/>
      <c r="K369" s="411"/>
      <c r="L369" s="411"/>
      <c r="M369" s="411"/>
      <c r="N369" s="411"/>
      <c r="O369" s="411"/>
      <c r="P369" s="411"/>
      <c r="Q369" s="411"/>
      <c r="R369" s="411"/>
      <c r="S369" s="411"/>
      <c r="T369" s="411"/>
    </row>
    <row r="370" spans="1:20" ht="15" thickBot="1" x14ac:dyDescent="0.4">
      <c r="A370" s="447">
        <v>-456.09</v>
      </c>
      <c r="B370" s="413">
        <v>1E-3</v>
      </c>
      <c r="C370" s="413">
        <v>0.63200000000000001</v>
      </c>
      <c r="D370" s="414">
        <f t="shared" si="11"/>
        <v>-45.609000000000002</v>
      </c>
      <c r="E370" s="414"/>
      <c r="F370" s="415">
        <f t="shared" si="12"/>
        <v>-74759.729999999981</v>
      </c>
      <c r="G370" s="411"/>
      <c r="H370" s="411"/>
      <c r="I370" s="411"/>
      <c r="J370" s="411"/>
      <c r="K370" s="411"/>
      <c r="L370" s="411"/>
      <c r="M370" s="411"/>
      <c r="N370" s="411"/>
      <c r="O370" s="411"/>
      <c r="P370" s="411"/>
      <c r="Q370" s="411"/>
      <c r="R370" s="411"/>
      <c r="S370" s="411"/>
      <c r="T370" s="411"/>
    </row>
    <row r="371" spans="1:20" ht="15" thickBot="1" x14ac:dyDescent="0.4">
      <c r="A371" s="447">
        <v>-456.09</v>
      </c>
      <c r="B371" s="413">
        <v>1E-3</v>
      </c>
      <c r="C371" s="413">
        <v>0.63100000000000001</v>
      </c>
      <c r="D371" s="414">
        <f t="shared" si="11"/>
        <v>-45.609000000000002</v>
      </c>
      <c r="E371" s="414"/>
      <c r="F371" s="415">
        <f t="shared" si="12"/>
        <v>-74805.338999999978</v>
      </c>
      <c r="G371" s="411"/>
      <c r="H371" s="411"/>
      <c r="I371" s="411"/>
      <c r="J371" s="411"/>
      <c r="K371" s="411"/>
      <c r="L371" s="411"/>
      <c r="M371" s="411"/>
      <c r="N371" s="411"/>
      <c r="O371" s="411"/>
      <c r="P371" s="411"/>
      <c r="Q371" s="411"/>
      <c r="R371" s="411"/>
      <c r="S371" s="411"/>
      <c r="T371" s="411"/>
    </row>
    <row r="372" spans="1:20" ht="15" thickBot="1" x14ac:dyDescent="0.4">
      <c r="A372" s="447">
        <v>-454.79</v>
      </c>
      <c r="B372" s="413">
        <v>1E-3</v>
      </c>
      <c r="C372" s="413">
        <v>0.63</v>
      </c>
      <c r="D372" s="414">
        <f t="shared" si="11"/>
        <v>-45.478999999999999</v>
      </c>
      <c r="E372" s="414"/>
      <c r="F372" s="415">
        <f t="shared" si="12"/>
        <v>-74850.817999999985</v>
      </c>
      <c r="G372" s="411"/>
      <c r="H372" s="411"/>
      <c r="I372" s="411"/>
      <c r="J372" s="411"/>
      <c r="K372" s="411"/>
      <c r="L372" s="411"/>
      <c r="M372" s="411"/>
      <c r="N372" s="411"/>
      <c r="O372" s="411"/>
      <c r="P372" s="411"/>
      <c r="Q372" s="411"/>
      <c r="R372" s="411"/>
      <c r="S372" s="411"/>
      <c r="T372" s="411"/>
    </row>
    <row r="373" spans="1:20" ht="15" thickBot="1" x14ac:dyDescent="0.4">
      <c r="A373" s="447">
        <v>-452.99</v>
      </c>
      <c r="B373" s="413">
        <v>1E-3</v>
      </c>
      <c r="C373" s="413">
        <v>0.629</v>
      </c>
      <c r="D373" s="414">
        <f t="shared" si="11"/>
        <v>-45.298999999999999</v>
      </c>
      <c r="E373" s="414"/>
      <c r="F373" s="415">
        <f t="shared" si="12"/>
        <v>-74896.116999999984</v>
      </c>
      <c r="G373" s="411"/>
      <c r="H373" s="411"/>
      <c r="I373" s="411"/>
      <c r="J373" s="411"/>
      <c r="K373" s="411"/>
      <c r="L373" s="411"/>
      <c r="M373" s="411"/>
      <c r="N373" s="411"/>
      <c r="O373" s="411"/>
      <c r="P373" s="411"/>
      <c r="Q373" s="411"/>
      <c r="R373" s="411"/>
      <c r="S373" s="411"/>
      <c r="T373" s="411"/>
    </row>
    <row r="374" spans="1:20" ht="15" thickBot="1" x14ac:dyDescent="0.4">
      <c r="A374" s="447">
        <v>-450</v>
      </c>
      <c r="B374" s="413">
        <v>1E-3</v>
      </c>
      <c r="C374" s="413">
        <v>0.628</v>
      </c>
      <c r="D374" s="414">
        <f t="shared" si="11"/>
        <v>-45</v>
      </c>
      <c r="E374" s="414"/>
      <c r="F374" s="415">
        <f t="shared" si="12"/>
        <v>-74941.116999999984</v>
      </c>
      <c r="G374" s="411"/>
      <c r="H374" s="411"/>
      <c r="I374" s="411"/>
      <c r="J374" s="411"/>
      <c r="K374" s="411"/>
      <c r="L374" s="411"/>
      <c r="M374" s="411"/>
      <c r="N374" s="411"/>
      <c r="O374" s="411"/>
      <c r="P374" s="411"/>
      <c r="Q374" s="411"/>
      <c r="R374" s="411"/>
      <c r="S374" s="411"/>
      <c r="T374" s="411"/>
    </row>
    <row r="375" spans="1:20" ht="15" thickBot="1" x14ac:dyDescent="0.4">
      <c r="A375" s="447">
        <v>-446.42</v>
      </c>
      <c r="B375" s="413">
        <v>1E-3</v>
      </c>
      <c r="C375" s="413">
        <v>0.627</v>
      </c>
      <c r="D375" s="414">
        <f t="shared" si="11"/>
        <v>-44.642000000000003</v>
      </c>
      <c r="E375" s="414"/>
      <c r="F375" s="415">
        <f t="shared" si="12"/>
        <v>-74985.758999999991</v>
      </c>
      <c r="G375" s="411"/>
      <c r="H375" s="411"/>
      <c r="I375" s="411"/>
      <c r="J375" s="411"/>
      <c r="K375" s="411"/>
      <c r="L375" s="411"/>
      <c r="M375" s="411"/>
      <c r="N375" s="411"/>
      <c r="O375" s="411"/>
      <c r="P375" s="411"/>
      <c r="Q375" s="411"/>
      <c r="R375" s="411"/>
      <c r="S375" s="411"/>
      <c r="T375" s="411"/>
    </row>
    <row r="376" spans="1:20" ht="15" thickBot="1" x14ac:dyDescent="0.4">
      <c r="A376" s="447">
        <v>-446.41</v>
      </c>
      <c r="B376" s="413">
        <v>1E-3</v>
      </c>
      <c r="C376" s="413">
        <v>0.626</v>
      </c>
      <c r="D376" s="414">
        <f t="shared" si="11"/>
        <v>-44.641000000000005</v>
      </c>
      <c r="E376" s="414"/>
      <c r="F376" s="415">
        <f t="shared" si="12"/>
        <v>-75030.399999999994</v>
      </c>
      <c r="G376" s="411"/>
      <c r="H376" s="411"/>
      <c r="I376" s="411"/>
      <c r="J376" s="411"/>
      <c r="K376" s="411"/>
      <c r="L376" s="411"/>
      <c r="M376" s="411"/>
      <c r="N376" s="411"/>
      <c r="O376" s="411"/>
      <c r="P376" s="411"/>
      <c r="Q376" s="411"/>
      <c r="R376" s="411"/>
      <c r="S376" s="411"/>
      <c r="T376" s="411"/>
    </row>
    <row r="377" spans="1:20" ht="15" thickBot="1" x14ac:dyDescent="0.4">
      <c r="A377" s="447">
        <v>-444.29</v>
      </c>
      <c r="B377" s="413">
        <v>1E-3</v>
      </c>
      <c r="C377" s="413">
        <v>0.625</v>
      </c>
      <c r="D377" s="414">
        <f t="shared" si="11"/>
        <v>-44.429000000000002</v>
      </c>
      <c r="E377" s="414"/>
      <c r="F377" s="415">
        <f t="shared" si="12"/>
        <v>-75074.828999999998</v>
      </c>
      <c r="G377" s="411"/>
      <c r="H377" s="411"/>
      <c r="I377" s="411"/>
      <c r="J377" s="411"/>
      <c r="K377" s="411"/>
      <c r="L377" s="411"/>
      <c r="M377" s="411"/>
      <c r="N377" s="411"/>
      <c r="O377" s="411"/>
      <c r="P377" s="411"/>
      <c r="Q377" s="411"/>
      <c r="R377" s="411"/>
      <c r="S377" s="411"/>
      <c r="T377" s="411"/>
    </row>
    <row r="378" spans="1:20" ht="15" thickBot="1" x14ac:dyDescent="0.4">
      <c r="A378" s="447">
        <v>-443.26</v>
      </c>
      <c r="B378" s="413">
        <v>1E-3</v>
      </c>
      <c r="C378" s="413">
        <v>0.624</v>
      </c>
      <c r="D378" s="414">
        <f t="shared" si="11"/>
        <v>-44.326000000000001</v>
      </c>
      <c r="E378" s="414"/>
      <c r="F378" s="415">
        <f t="shared" si="12"/>
        <v>-75119.154999999999</v>
      </c>
      <c r="G378" s="411"/>
      <c r="H378" s="411"/>
      <c r="I378" s="411"/>
      <c r="J378" s="411"/>
      <c r="K378" s="411"/>
      <c r="L378" s="411"/>
      <c r="M378" s="411"/>
      <c r="N378" s="411"/>
      <c r="O378" s="411"/>
      <c r="P378" s="411"/>
      <c r="Q378" s="411"/>
      <c r="R378" s="411"/>
      <c r="S378" s="411"/>
      <c r="T378" s="411"/>
    </row>
    <row r="379" spans="1:20" ht="15" thickBot="1" x14ac:dyDescent="0.4">
      <c r="A379" s="447">
        <v>-429.79</v>
      </c>
      <c r="B379" s="413">
        <v>1E-3</v>
      </c>
      <c r="C379" s="413">
        <v>0.623</v>
      </c>
      <c r="D379" s="414">
        <f t="shared" si="11"/>
        <v>-42.978999999999999</v>
      </c>
      <c r="E379" s="414"/>
      <c r="F379" s="415">
        <f t="shared" si="12"/>
        <v>-75162.134000000005</v>
      </c>
      <c r="G379" s="411"/>
      <c r="H379" s="411"/>
      <c r="I379" s="411"/>
      <c r="J379" s="411"/>
      <c r="K379" s="411"/>
      <c r="L379" s="411"/>
      <c r="M379" s="411"/>
      <c r="N379" s="411"/>
      <c r="O379" s="411"/>
      <c r="P379" s="411"/>
      <c r="Q379" s="411"/>
      <c r="R379" s="411"/>
      <c r="S379" s="411"/>
      <c r="T379" s="411"/>
    </row>
    <row r="380" spans="1:20" ht="15" thickBot="1" x14ac:dyDescent="0.4">
      <c r="A380" s="447">
        <v>-427.62</v>
      </c>
      <c r="B380" s="413">
        <v>1E-3</v>
      </c>
      <c r="C380" s="413">
        <v>0.622</v>
      </c>
      <c r="D380" s="414">
        <f t="shared" si="11"/>
        <v>-42.762</v>
      </c>
      <c r="E380" s="414"/>
      <c r="F380" s="415">
        <f t="shared" si="12"/>
        <v>-75204.896000000008</v>
      </c>
      <c r="G380" s="411"/>
      <c r="H380" s="411"/>
      <c r="I380" s="411"/>
      <c r="J380" s="411"/>
      <c r="K380" s="411"/>
      <c r="L380" s="411"/>
      <c r="M380" s="411"/>
      <c r="N380" s="411"/>
      <c r="O380" s="411"/>
      <c r="P380" s="411"/>
      <c r="Q380" s="411"/>
      <c r="R380" s="411"/>
      <c r="S380" s="411"/>
      <c r="T380" s="411"/>
    </row>
    <row r="381" spans="1:20" ht="15" thickBot="1" x14ac:dyDescent="0.4">
      <c r="A381" s="447">
        <v>-424.76</v>
      </c>
      <c r="B381" s="413">
        <v>1E-3</v>
      </c>
      <c r="C381" s="413">
        <v>0.621</v>
      </c>
      <c r="D381" s="414">
        <f t="shared" si="11"/>
        <v>-42.475999999999999</v>
      </c>
      <c r="E381" s="414"/>
      <c r="F381" s="415">
        <f t="shared" si="12"/>
        <v>-75247.372000000003</v>
      </c>
      <c r="G381" s="411"/>
      <c r="H381" s="411"/>
      <c r="I381" s="411"/>
      <c r="J381" s="411"/>
      <c r="K381" s="411"/>
      <c r="L381" s="411"/>
      <c r="M381" s="411"/>
      <c r="N381" s="411"/>
      <c r="O381" s="411"/>
      <c r="P381" s="411"/>
      <c r="Q381" s="411"/>
      <c r="R381" s="411"/>
      <c r="S381" s="411"/>
      <c r="T381" s="411"/>
    </row>
    <row r="382" spans="1:20" ht="15" thickBot="1" x14ac:dyDescent="0.4">
      <c r="A382" s="447">
        <v>-419.19</v>
      </c>
      <c r="B382" s="413">
        <v>1E-3</v>
      </c>
      <c r="C382" s="413">
        <v>0.62</v>
      </c>
      <c r="D382" s="414">
        <f t="shared" si="11"/>
        <v>-41.918999999999997</v>
      </c>
      <c r="E382" s="414"/>
      <c r="F382" s="415">
        <f t="shared" si="12"/>
        <v>-75289.290999999997</v>
      </c>
      <c r="G382" s="411"/>
      <c r="H382" s="411"/>
      <c r="I382" s="411"/>
      <c r="J382" s="411"/>
      <c r="K382" s="411"/>
      <c r="L382" s="411"/>
      <c r="M382" s="411"/>
      <c r="N382" s="411"/>
      <c r="O382" s="411"/>
      <c r="P382" s="411"/>
      <c r="Q382" s="411"/>
      <c r="R382" s="411"/>
      <c r="S382" s="411"/>
      <c r="T382" s="411"/>
    </row>
    <row r="383" spans="1:20" ht="15" thickBot="1" x14ac:dyDescent="0.4">
      <c r="A383" s="447">
        <v>-418.07</v>
      </c>
      <c r="B383" s="413">
        <v>1E-3</v>
      </c>
      <c r="C383" s="413">
        <v>0.61899999999999999</v>
      </c>
      <c r="D383" s="414">
        <f t="shared" si="11"/>
        <v>-41.807000000000002</v>
      </c>
      <c r="E383" s="414"/>
      <c r="F383" s="415">
        <f t="shared" si="12"/>
        <v>-75331.097999999998</v>
      </c>
      <c r="G383" s="411"/>
      <c r="H383" s="411"/>
      <c r="I383" s="411"/>
      <c r="J383" s="411"/>
      <c r="K383" s="411"/>
      <c r="L383" s="411"/>
      <c r="M383" s="411"/>
      <c r="N383" s="411"/>
      <c r="O383" s="411"/>
      <c r="P383" s="411"/>
      <c r="Q383" s="411"/>
      <c r="R383" s="411"/>
      <c r="S383" s="411"/>
      <c r="T383" s="411"/>
    </row>
    <row r="384" spans="1:20" ht="15" thickBot="1" x14ac:dyDescent="0.4">
      <c r="A384" s="447">
        <v>-415.34</v>
      </c>
      <c r="B384" s="413">
        <v>1E-3</v>
      </c>
      <c r="C384" s="413">
        <v>0.61799999999999999</v>
      </c>
      <c r="D384" s="414">
        <f t="shared" si="11"/>
        <v>-41.533999999999999</v>
      </c>
      <c r="E384" s="414"/>
      <c r="F384" s="415">
        <f t="shared" si="12"/>
        <v>-75372.631999999998</v>
      </c>
      <c r="G384" s="411"/>
      <c r="H384" s="411"/>
      <c r="I384" s="411"/>
      <c r="J384" s="411"/>
      <c r="K384" s="411"/>
      <c r="L384" s="411"/>
      <c r="M384" s="411"/>
      <c r="N384" s="411"/>
      <c r="O384" s="411"/>
      <c r="P384" s="411"/>
      <c r="Q384" s="411"/>
      <c r="R384" s="411"/>
      <c r="S384" s="411"/>
      <c r="T384" s="411"/>
    </row>
    <row r="385" spans="1:20" ht="15" thickBot="1" x14ac:dyDescent="0.4">
      <c r="A385" s="447">
        <v>-404.79</v>
      </c>
      <c r="B385" s="413">
        <v>1E-3</v>
      </c>
      <c r="C385" s="413">
        <v>0.61699999999999999</v>
      </c>
      <c r="D385" s="414">
        <f t="shared" si="11"/>
        <v>-40.479000000000006</v>
      </c>
      <c r="E385" s="414"/>
      <c r="F385" s="415">
        <f t="shared" si="12"/>
        <v>-75413.111000000004</v>
      </c>
      <c r="G385" s="411"/>
      <c r="H385" s="411"/>
      <c r="I385" s="411"/>
      <c r="J385" s="411"/>
      <c r="K385" s="411"/>
      <c r="L385" s="411"/>
      <c r="M385" s="411"/>
      <c r="N385" s="411"/>
      <c r="O385" s="411"/>
      <c r="P385" s="411"/>
      <c r="Q385" s="411"/>
      <c r="R385" s="411"/>
      <c r="S385" s="411"/>
      <c r="T385" s="411"/>
    </row>
    <row r="386" spans="1:20" ht="15" thickBot="1" x14ac:dyDescent="0.4">
      <c r="A386" s="447">
        <v>-399.43</v>
      </c>
      <c r="B386" s="413">
        <v>1E-3</v>
      </c>
      <c r="C386" s="413">
        <v>0.61599999999999999</v>
      </c>
      <c r="D386" s="414">
        <f t="shared" ref="D386:D449" si="13">A386*B386/1%</f>
        <v>-39.942999999999998</v>
      </c>
      <c r="E386" s="414"/>
      <c r="F386" s="415">
        <f t="shared" si="12"/>
        <v>-75453.054000000004</v>
      </c>
      <c r="G386" s="411"/>
      <c r="H386" s="411"/>
      <c r="I386" s="411"/>
      <c r="J386" s="411"/>
      <c r="K386" s="411"/>
      <c r="L386" s="411"/>
      <c r="M386" s="411"/>
      <c r="N386" s="411"/>
      <c r="O386" s="411"/>
      <c r="P386" s="411"/>
      <c r="Q386" s="411"/>
      <c r="R386" s="411"/>
      <c r="S386" s="411"/>
      <c r="T386" s="411"/>
    </row>
    <row r="387" spans="1:20" ht="15" thickBot="1" x14ac:dyDescent="0.4">
      <c r="A387" s="447">
        <v>-399.05</v>
      </c>
      <c r="B387" s="413">
        <v>1E-3</v>
      </c>
      <c r="C387" s="413">
        <v>0.61499999999999999</v>
      </c>
      <c r="D387" s="414">
        <f t="shared" si="13"/>
        <v>-39.905000000000001</v>
      </c>
      <c r="E387" s="414"/>
      <c r="F387" s="415">
        <f t="shared" ref="F387:F450" si="14">F386+D387</f>
        <v>-75492.959000000003</v>
      </c>
      <c r="G387" s="411"/>
      <c r="H387" s="411"/>
      <c r="I387" s="411"/>
      <c r="J387" s="411"/>
      <c r="K387" s="411"/>
      <c r="L387" s="411"/>
      <c r="M387" s="411"/>
      <c r="N387" s="411"/>
      <c r="O387" s="411"/>
      <c r="P387" s="411"/>
      <c r="Q387" s="411"/>
      <c r="R387" s="411"/>
      <c r="S387" s="411"/>
      <c r="T387" s="411"/>
    </row>
    <row r="388" spans="1:20" ht="15" thickBot="1" x14ac:dyDescent="0.4">
      <c r="A388" s="447">
        <v>-399</v>
      </c>
      <c r="B388" s="413">
        <v>1E-3</v>
      </c>
      <c r="C388" s="413">
        <v>0.61399999999999999</v>
      </c>
      <c r="D388" s="414">
        <f t="shared" si="13"/>
        <v>-39.9</v>
      </c>
      <c r="E388" s="414"/>
      <c r="F388" s="415">
        <f t="shared" si="14"/>
        <v>-75532.858999999997</v>
      </c>
      <c r="G388" s="411"/>
      <c r="H388" s="411"/>
      <c r="I388" s="411"/>
      <c r="J388" s="411"/>
      <c r="K388" s="411"/>
      <c r="L388" s="411"/>
      <c r="M388" s="411"/>
      <c r="N388" s="411"/>
      <c r="O388" s="411"/>
      <c r="P388" s="411"/>
      <c r="Q388" s="411"/>
      <c r="R388" s="411"/>
      <c r="S388" s="411"/>
      <c r="T388" s="411"/>
    </row>
    <row r="389" spans="1:20" ht="15" thickBot="1" x14ac:dyDescent="0.4">
      <c r="A389" s="447">
        <v>-397.59</v>
      </c>
      <c r="B389" s="413">
        <v>1E-3</v>
      </c>
      <c r="C389" s="413">
        <v>0.61299999999999999</v>
      </c>
      <c r="D389" s="414">
        <f t="shared" si="13"/>
        <v>-39.759</v>
      </c>
      <c r="E389" s="414"/>
      <c r="F389" s="415">
        <f t="shared" si="14"/>
        <v>-75572.618000000002</v>
      </c>
      <c r="G389" s="411"/>
      <c r="H389" s="411"/>
      <c r="I389" s="411"/>
      <c r="J389" s="411"/>
      <c r="K389" s="411"/>
      <c r="L389" s="411"/>
      <c r="M389" s="411"/>
      <c r="N389" s="411"/>
      <c r="O389" s="411"/>
      <c r="P389" s="411"/>
      <c r="Q389" s="411"/>
      <c r="R389" s="411"/>
      <c r="S389" s="411"/>
      <c r="T389" s="411"/>
    </row>
    <row r="390" spans="1:20" ht="15" thickBot="1" x14ac:dyDescent="0.4">
      <c r="A390" s="447">
        <v>-393.27</v>
      </c>
      <c r="B390" s="413">
        <v>1E-3</v>
      </c>
      <c r="C390" s="413">
        <v>0.61199999999999999</v>
      </c>
      <c r="D390" s="414">
        <f t="shared" si="13"/>
        <v>-39.326999999999998</v>
      </c>
      <c r="E390" s="414"/>
      <c r="F390" s="415">
        <f t="shared" si="14"/>
        <v>-75611.945000000007</v>
      </c>
      <c r="G390" s="411"/>
      <c r="H390" s="411"/>
      <c r="I390" s="411"/>
      <c r="J390" s="411"/>
      <c r="K390" s="411"/>
      <c r="L390" s="411"/>
      <c r="M390" s="411"/>
      <c r="N390" s="411"/>
      <c r="O390" s="411"/>
      <c r="P390" s="411"/>
      <c r="Q390" s="411"/>
      <c r="R390" s="411"/>
      <c r="S390" s="411"/>
      <c r="T390" s="411"/>
    </row>
    <row r="391" spans="1:20" ht="15" thickBot="1" x14ac:dyDescent="0.4">
      <c r="A391" s="447">
        <v>-391.15</v>
      </c>
      <c r="B391" s="413">
        <v>1E-3</v>
      </c>
      <c r="C391" s="413">
        <v>0.61099999999999999</v>
      </c>
      <c r="D391" s="414">
        <f t="shared" si="13"/>
        <v>-39.115000000000002</v>
      </c>
      <c r="E391" s="414"/>
      <c r="F391" s="415">
        <f t="shared" si="14"/>
        <v>-75651.060000000012</v>
      </c>
      <c r="G391" s="411"/>
      <c r="H391" s="411"/>
      <c r="I391" s="411"/>
      <c r="J391" s="411"/>
      <c r="K391" s="411"/>
      <c r="L391" s="411"/>
      <c r="M391" s="411"/>
      <c r="N391" s="411"/>
      <c r="O391" s="411"/>
      <c r="P391" s="411"/>
      <c r="Q391" s="411"/>
      <c r="R391" s="411"/>
      <c r="S391" s="411"/>
      <c r="T391" s="411"/>
    </row>
    <row r="392" spans="1:20" ht="15" thickBot="1" x14ac:dyDescent="0.4">
      <c r="A392" s="447">
        <v>-388.95</v>
      </c>
      <c r="B392" s="413">
        <v>1E-3</v>
      </c>
      <c r="C392" s="413">
        <v>0.61</v>
      </c>
      <c r="D392" s="414">
        <f t="shared" si="13"/>
        <v>-38.895000000000003</v>
      </c>
      <c r="E392" s="414"/>
      <c r="F392" s="415">
        <f t="shared" si="14"/>
        <v>-75689.955000000016</v>
      </c>
      <c r="G392" s="411"/>
      <c r="H392" s="411"/>
      <c r="I392" s="411"/>
      <c r="J392" s="411"/>
      <c r="K392" s="411"/>
      <c r="L392" s="411"/>
      <c r="M392" s="411"/>
      <c r="N392" s="411"/>
      <c r="O392" s="411"/>
      <c r="P392" s="411"/>
      <c r="Q392" s="411"/>
      <c r="R392" s="411"/>
      <c r="S392" s="411"/>
      <c r="T392" s="411"/>
    </row>
    <row r="393" spans="1:20" ht="15" thickBot="1" x14ac:dyDescent="0.4">
      <c r="A393" s="447">
        <v>-388.59</v>
      </c>
      <c r="B393" s="413">
        <v>1E-3</v>
      </c>
      <c r="C393" s="413">
        <v>0.60899999999999999</v>
      </c>
      <c r="D393" s="414">
        <f t="shared" si="13"/>
        <v>-38.859000000000002</v>
      </c>
      <c r="E393" s="414"/>
      <c r="F393" s="415">
        <f t="shared" si="14"/>
        <v>-75728.814000000013</v>
      </c>
      <c r="G393" s="411"/>
      <c r="H393" s="411"/>
      <c r="I393" s="411"/>
      <c r="J393" s="411"/>
      <c r="K393" s="411"/>
      <c r="L393" s="411"/>
      <c r="M393" s="411"/>
      <c r="N393" s="411"/>
      <c r="O393" s="411"/>
      <c r="P393" s="411"/>
      <c r="Q393" s="411"/>
      <c r="R393" s="411"/>
      <c r="S393" s="411"/>
      <c r="T393" s="411"/>
    </row>
    <row r="394" spans="1:20" ht="15" thickBot="1" x14ac:dyDescent="0.4">
      <c r="A394" s="447">
        <v>-375.72</v>
      </c>
      <c r="B394" s="413">
        <v>1E-3</v>
      </c>
      <c r="C394" s="413">
        <v>0.60799999999999998</v>
      </c>
      <c r="D394" s="414">
        <f t="shared" si="13"/>
        <v>-37.572000000000003</v>
      </c>
      <c r="E394" s="414"/>
      <c r="F394" s="415">
        <f t="shared" si="14"/>
        <v>-75766.386000000013</v>
      </c>
      <c r="G394" s="411"/>
      <c r="H394" s="411"/>
      <c r="I394" s="411"/>
      <c r="J394" s="411"/>
      <c r="K394" s="411"/>
      <c r="L394" s="411"/>
      <c r="M394" s="411"/>
      <c r="N394" s="411"/>
      <c r="O394" s="411"/>
      <c r="P394" s="411"/>
      <c r="Q394" s="411"/>
      <c r="R394" s="411"/>
      <c r="S394" s="411"/>
      <c r="T394" s="411"/>
    </row>
    <row r="395" spans="1:20" ht="15" thickBot="1" x14ac:dyDescent="0.4">
      <c r="A395" s="447">
        <v>-370.06</v>
      </c>
      <c r="B395" s="413">
        <v>1E-3</v>
      </c>
      <c r="C395" s="413">
        <v>0.60699999999999998</v>
      </c>
      <c r="D395" s="414">
        <f t="shared" si="13"/>
        <v>-37.006</v>
      </c>
      <c r="E395" s="414"/>
      <c r="F395" s="415">
        <f t="shared" si="14"/>
        <v>-75803.392000000007</v>
      </c>
      <c r="G395" s="411"/>
      <c r="H395" s="411"/>
      <c r="I395" s="411"/>
      <c r="J395" s="411"/>
      <c r="K395" s="411"/>
      <c r="L395" s="411"/>
      <c r="M395" s="411"/>
      <c r="N395" s="411"/>
      <c r="O395" s="411"/>
      <c r="P395" s="411"/>
      <c r="Q395" s="411"/>
      <c r="R395" s="411"/>
      <c r="S395" s="411"/>
      <c r="T395" s="411"/>
    </row>
    <row r="396" spans="1:20" ht="15" thickBot="1" x14ac:dyDescent="0.4">
      <c r="A396" s="447">
        <v>-369.93</v>
      </c>
      <c r="B396" s="413">
        <v>1E-3</v>
      </c>
      <c r="C396" s="413">
        <v>0.60599999999999998</v>
      </c>
      <c r="D396" s="414">
        <f t="shared" si="13"/>
        <v>-36.993000000000002</v>
      </c>
      <c r="E396" s="414"/>
      <c r="F396" s="415">
        <f t="shared" si="14"/>
        <v>-75840.385000000009</v>
      </c>
      <c r="G396" s="411"/>
      <c r="H396" s="411"/>
      <c r="I396" s="411"/>
      <c r="J396" s="411"/>
      <c r="K396" s="411"/>
      <c r="L396" s="411"/>
      <c r="M396" s="411"/>
      <c r="N396" s="411"/>
      <c r="O396" s="411"/>
      <c r="P396" s="411"/>
      <c r="Q396" s="411"/>
      <c r="R396" s="411"/>
      <c r="S396" s="411"/>
      <c r="T396" s="411"/>
    </row>
    <row r="397" spans="1:20" ht="15" thickBot="1" x14ac:dyDescent="0.4">
      <c r="A397" s="447">
        <v>-369.16</v>
      </c>
      <c r="B397" s="413">
        <v>1E-3</v>
      </c>
      <c r="C397" s="413">
        <v>0.60499999999999998</v>
      </c>
      <c r="D397" s="414">
        <f t="shared" si="13"/>
        <v>-36.916000000000004</v>
      </c>
      <c r="E397" s="414"/>
      <c r="F397" s="415">
        <f t="shared" si="14"/>
        <v>-75877.301000000007</v>
      </c>
      <c r="G397" s="411"/>
      <c r="H397" s="411"/>
      <c r="I397" s="411"/>
      <c r="J397" s="411"/>
      <c r="K397" s="411"/>
      <c r="L397" s="411"/>
      <c r="M397" s="411"/>
      <c r="N397" s="411"/>
      <c r="O397" s="411"/>
      <c r="P397" s="411"/>
      <c r="Q397" s="411"/>
      <c r="R397" s="411"/>
      <c r="S397" s="411"/>
      <c r="T397" s="411"/>
    </row>
    <row r="398" spans="1:20" ht="15" thickBot="1" x14ac:dyDescent="0.4">
      <c r="A398" s="447">
        <v>-362.73</v>
      </c>
      <c r="B398" s="413">
        <v>1E-3</v>
      </c>
      <c r="C398" s="413">
        <v>0.60399999999999998</v>
      </c>
      <c r="D398" s="414">
        <f t="shared" si="13"/>
        <v>-36.273000000000003</v>
      </c>
      <c r="E398" s="414"/>
      <c r="F398" s="415">
        <f t="shared" si="14"/>
        <v>-75913.574000000008</v>
      </c>
      <c r="G398" s="411"/>
      <c r="H398" s="411"/>
      <c r="I398" s="411"/>
      <c r="J398" s="411"/>
      <c r="K398" s="411"/>
      <c r="L398" s="411"/>
      <c r="M398" s="411"/>
      <c r="N398" s="411"/>
      <c r="O398" s="411"/>
      <c r="P398" s="411"/>
      <c r="Q398" s="411"/>
      <c r="R398" s="411"/>
      <c r="S398" s="411"/>
      <c r="T398" s="411"/>
    </row>
    <row r="399" spans="1:20" ht="15" thickBot="1" x14ac:dyDescent="0.4">
      <c r="A399" s="447">
        <v>-354.44</v>
      </c>
      <c r="B399" s="413">
        <v>1E-3</v>
      </c>
      <c r="C399" s="413">
        <v>0.60299999999999998</v>
      </c>
      <c r="D399" s="414">
        <f t="shared" si="13"/>
        <v>-35.444000000000003</v>
      </c>
      <c r="E399" s="414"/>
      <c r="F399" s="415">
        <f t="shared" si="14"/>
        <v>-75949.018000000011</v>
      </c>
      <c r="G399" s="411"/>
      <c r="H399" s="411"/>
      <c r="I399" s="411"/>
      <c r="J399" s="411"/>
      <c r="K399" s="411"/>
      <c r="L399" s="411"/>
      <c r="M399" s="411"/>
      <c r="N399" s="411"/>
      <c r="O399" s="411"/>
      <c r="P399" s="411"/>
      <c r="Q399" s="411"/>
      <c r="R399" s="411"/>
      <c r="S399" s="411"/>
      <c r="T399" s="411"/>
    </row>
    <row r="400" spans="1:20" ht="15" thickBot="1" x14ac:dyDescent="0.4">
      <c r="A400" s="447">
        <v>-353.96</v>
      </c>
      <c r="B400" s="413">
        <v>1E-3</v>
      </c>
      <c r="C400" s="413">
        <v>0.60199999999999998</v>
      </c>
      <c r="D400" s="414">
        <f t="shared" si="13"/>
        <v>-35.396000000000001</v>
      </c>
      <c r="E400" s="414"/>
      <c r="F400" s="415">
        <f t="shared" si="14"/>
        <v>-75984.414000000004</v>
      </c>
      <c r="G400" s="411"/>
      <c r="H400" s="411"/>
      <c r="I400" s="411"/>
      <c r="J400" s="411"/>
      <c r="K400" s="411"/>
      <c r="L400" s="411"/>
      <c r="M400" s="411"/>
      <c r="N400" s="411"/>
      <c r="O400" s="411"/>
      <c r="P400" s="411"/>
      <c r="Q400" s="411"/>
      <c r="R400" s="411"/>
      <c r="S400" s="411"/>
      <c r="T400" s="411"/>
    </row>
    <row r="401" spans="1:20" ht="15" thickBot="1" x14ac:dyDescent="0.4">
      <c r="A401" s="447">
        <v>-329.2</v>
      </c>
      <c r="B401" s="413">
        <v>1E-3</v>
      </c>
      <c r="C401" s="413">
        <v>0.60099999999999998</v>
      </c>
      <c r="D401" s="414">
        <f t="shared" si="13"/>
        <v>-32.92</v>
      </c>
      <c r="E401" s="414"/>
      <c r="F401" s="415">
        <f t="shared" si="14"/>
        <v>-76017.334000000003</v>
      </c>
      <c r="G401" s="411"/>
      <c r="H401" s="411"/>
      <c r="I401" s="411"/>
      <c r="J401" s="411"/>
      <c r="K401" s="411"/>
      <c r="L401" s="411"/>
      <c r="M401" s="411"/>
      <c r="N401" s="411"/>
      <c r="O401" s="411"/>
      <c r="P401" s="411"/>
      <c r="Q401" s="411"/>
      <c r="R401" s="411"/>
      <c r="S401" s="411"/>
      <c r="T401" s="411"/>
    </row>
    <row r="402" spans="1:20" ht="15" thickBot="1" x14ac:dyDescent="0.4">
      <c r="A402" s="447">
        <v>-323.25</v>
      </c>
      <c r="B402" s="413">
        <v>1E-3</v>
      </c>
      <c r="C402" s="413">
        <v>0.6</v>
      </c>
      <c r="D402" s="414">
        <f t="shared" si="13"/>
        <v>-32.324999999999996</v>
      </c>
      <c r="E402" s="414"/>
      <c r="F402" s="415">
        <f t="shared" si="14"/>
        <v>-76049.659</v>
      </c>
      <c r="G402" s="411"/>
      <c r="H402" s="411"/>
      <c r="I402" s="411"/>
      <c r="J402" s="411"/>
      <c r="K402" s="411"/>
      <c r="L402" s="411"/>
      <c r="M402" s="411"/>
      <c r="N402" s="411"/>
      <c r="O402" s="411"/>
      <c r="P402" s="411"/>
      <c r="Q402" s="411"/>
      <c r="R402" s="411"/>
      <c r="S402" s="411"/>
      <c r="T402" s="411"/>
    </row>
    <row r="403" spans="1:20" ht="15" thickBot="1" x14ac:dyDescent="0.4">
      <c r="A403" s="447">
        <v>-322.08999999999997</v>
      </c>
      <c r="B403" s="413">
        <v>1E-3</v>
      </c>
      <c r="C403" s="413">
        <v>0.59899999999999998</v>
      </c>
      <c r="D403" s="414">
        <f t="shared" si="13"/>
        <v>-32.208999999999996</v>
      </c>
      <c r="E403" s="414"/>
      <c r="F403" s="415">
        <f t="shared" si="14"/>
        <v>-76081.868000000002</v>
      </c>
      <c r="G403" s="411"/>
      <c r="H403" s="411"/>
      <c r="I403" s="411"/>
      <c r="J403" s="411"/>
      <c r="K403" s="411"/>
      <c r="L403" s="411"/>
      <c r="M403" s="411"/>
      <c r="N403" s="411"/>
      <c r="O403" s="411"/>
      <c r="P403" s="411"/>
      <c r="Q403" s="411"/>
      <c r="R403" s="411"/>
      <c r="S403" s="411"/>
      <c r="T403" s="411"/>
    </row>
    <row r="404" spans="1:20" ht="15" thickBot="1" x14ac:dyDescent="0.4">
      <c r="A404" s="447">
        <v>-312.95</v>
      </c>
      <c r="B404" s="413">
        <v>1E-3</v>
      </c>
      <c r="C404" s="413">
        <v>0.59799999999999998</v>
      </c>
      <c r="D404" s="414">
        <f t="shared" si="13"/>
        <v>-31.295000000000002</v>
      </c>
      <c r="E404" s="414"/>
      <c r="F404" s="415">
        <f t="shared" si="14"/>
        <v>-76113.163</v>
      </c>
      <c r="G404" s="411"/>
      <c r="H404" s="411"/>
      <c r="I404" s="411"/>
      <c r="J404" s="411"/>
      <c r="K404" s="411"/>
      <c r="L404" s="411"/>
      <c r="M404" s="411"/>
      <c r="N404" s="411"/>
      <c r="O404" s="411"/>
      <c r="P404" s="411"/>
      <c r="Q404" s="411"/>
      <c r="R404" s="411"/>
      <c r="S404" s="411"/>
      <c r="T404" s="411"/>
    </row>
    <row r="405" spans="1:20" ht="15" thickBot="1" x14ac:dyDescent="0.4">
      <c r="A405" s="447">
        <v>-312.5</v>
      </c>
      <c r="B405" s="413">
        <v>1E-3</v>
      </c>
      <c r="C405" s="413">
        <v>0.59699999999999998</v>
      </c>
      <c r="D405" s="414">
        <f t="shared" si="13"/>
        <v>-31.25</v>
      </c>
      <c r="E405" s="414"/>
      <c r="F405" s="415">
        <f t="shared" si="14"/>
        <v>-76144.413</v>
      </c>
      <c r="G405" s="411"/>
      <c r="H405" s="411"/>
      <c r="I405" s="411"/>
      <c r="J405" s="411"/>
      <c r="K405" s="411"/>
      <c r="L405" s="411"/>
      <c r="M405" s="411"/>
      <c r="N405" s="411"/>
      <c r="O405" s="411"/>
      <c r="P405" s="411"/>
      <c r="Q405" s="411"/>
      <c r="R405" s="411"/>
      <c r="S405" s="411"/>
      <c r="T405" s="411"/>
    </row>
    <row r="406" spans="1:20" ht="15" thickBot="1" x14ac:dyDescent="0.4">
      <c r="A406" s="447">
        <v>-312.05</v>
      </c>
      <c r="B406" s="413">
        <v>1E-3</v>
      </c>
      <c r="C406" s="413">
        <v>0.59599999999999997</v>
      </c>
      <c r="D406" s="414">
        <f t="shared" si="13"/>
        <v>-31.204999999999998</v>
      </c>
      <c r="E406" s="414"/>
      <c r="F406" s="415">
        <f t="shared" si="14"/>
        <v>-76175.618000000002</v>
      </c>
      <c r="G406" s="411"/>
      <c r="H406" s="411"/>
      <c r="I406" s="411"/>
      <c r="J406" s="411"/>
      <c r="K406" s="411"/>
      <c r="L406" s="411"/>
      <c r="M406" s="411"/>
      <c r="N406" s="411"/>
      <c r="O406" s="411"/>
      <c r="P406" s="411"/>
      <c r="Q406" s="411"/>
      <c r="R406" s="411"/>
      <c r="S406" s="411"/>
      <c r="T406" s="411"/>
    </row>
    <row r="407" spans="1:20" ht="15" thickBot="1" x14ac:dyDescent="0.4">
      <c r="A407" s="447">
        <v>-310.91000000000003</v>
      </c>
      <c r="B407" s="413">
        <v>1E-3</v>
      </c>
      <c r="C407" s="413">
        <v>0.59499999999999997</v>
      </c>
      <c r="D407" s="414">
        <f t="shared" si="13"/>
        <v>-31.091000000000001</v>
      </c>
      <c r="E407" s="414"/>
      <c r="F407" s="415">
        <f t="shared" si="14"/>
        <v>-76206.709000000003</v>
      </c>
      <c r="G407" s="411"/>
      <c r="H407" s="411"/>
      <c r="I407" s="411"/>
      <c r="J407" s="411"/>
      <c r="K407" s="411"/>
      <c r="L407" s="411"/>
      <c r="M407" s="411"/>
      <c r="N407" s="411"/>
      <c r="O407" s="411"/>
      <c r="P407" s="411"/>
      <c r="Q407" s="411"/>
      <c r="R407" s="411"/>
      <c r="S407" s="411"/>
      <c r="T407" s="411"/>
    </row>
    <row r="408" spans="1:20" ht="15" thickBot="1" x14ac:dyDescent="0.4">
      <c r="A408" s="447">
        <v>-309.08</v>
      </c>
      <c r="B408" s="413">
        <v>1E-3</v>
      </c>
      <c r="C408" s="413">
        <v>0.59399999999999997</v>
      </c>
      <c r="D408" s="414">
        <f t="shared" si="13"/>
        <v>-30.907999999999998</v>
      </c>
      <c r="E408" s="414"/>
      <c r="F408" s="415">
        <f t="shared" si="14"/>
        <v>-76237.616999999998</v>
      </c>
      <c r="G408" s="411"/>
      <c r="H408" s="411"/>
      <c r="I408" s="411"/>
      <c r="J408" s="411"/>
      <c r="K408" s="411"/>
      <c r="L408" s="411"/>
      <c r="M408" s="411"/>
      <c r="N408" s="411"/>
      <c r="O408" s="411"/>
      <c r="P408" s="411"/>
      <c r="Q408" s="411"/>
      <c r="R408" s="411"/>
      <c r="S408" s="411"/>
      <c r="T408" s="411"/>
    </row>
    <row r="409" spans="1:20" ht="15" thickBot="1" x14ac:dyDescent="0.4">
      <c r="A409" s="447">
        <v>-307.86</v>
      </c>
      <c r="B409" s="413">
        <v>1E-3</v>
      </c>
      <c r="C409" s="413">
        <v>0.59299999999999997</v>
      </c>
      <c r="D409" s="414">
        <f t="shared" si="13"/>
        <v>-30.786000000000001</v>
      </c>
      <c r="E409" s="414"/>
      <c r="F409" s="415">
        <f t="shared" si="14"/>
        <v>-76268.402999999991</v>
      </c>
      <c r="G409" s="411"/>
      <c r="H409" s="411"/>
      <c r="I409" s="411"/>
      <c r="J409" s="411"/>
      <c r="K409" s="411"/>
      <c r="L409" s="411"/>
      <c r="M409" s="411"/>
      <c r="N409" s="411"/>
      <c r="O409" s="411"/>
      <c r="P409" s="411"/>
      <c r="Q409" s="411"/>
      <c r="R409" s="411"/>
      <c r="S409" s="411"/>
      <c r="T409" s="411"/>
    </row>
    <row r="410" spans="1:20" ht="15" thickBot="1" x14ac:dyDescent="0.4">
      <c r="A410" s="447">
        <v>-305.25</v>
      </c>
      <c r="B410" s="413">
        <v>1E-3</v>
      </c>
      <c r="C410" s="413">
        <v>0.59199999999999997</v>
      </c>
      <c r="D410" s="414">
        <f t="shared" si="13"/>
        <v>-30.525000000000002</v>
      </c>
      <c r="E410" s="414"/>
      <c r="F410" s="415">
        <f t="shared" si="14"/>
        <v>-76298.927999999985</v>
      </c>
      <c r="G410" s="411"/>
      <c r="H410" s="411"/>
      <c r="I410" s="411"/>
      <c r="J410" s="411"/>
      <c r="K410" s="411"/>
      <c r="L410" s="411"/>
      <c r="M410" s="411"/>
      <c r="N410" s="411"/>
      <c r="O410" s="411"/>
      <c r="P410" s="411"/>
      <c r="Q410" s="411"/>
      <c r="R410" s="411"/>
      <c r="S410" s="411"/>
      <c r="T410" s="411"/>
    </row>
    <row r="411" spans="1:20" ht="15" thickBot="1" x14ac:dyDescent="0.4">
      <c r="A411" s="447">
        <v>-300</v>
      </c>
      <c r="B411" s="413">
        <v>1E-3</v>
      </c>
      <c r="C411" s="413">
        <v>0.59099999999999997</v>
      </c>
      <c r="D411" s="414">
        <f t="shared" si="13"/>
        <v>-30</v>
      </c>
      <c r="E411" s="414"/>
      <c r="F411" s="415">
        <f t="shared" si="14"/>
        <v>-76328.927999999985</v>
      </c>
      <c r="G411" s="411"/>
      <c r="H411" s="411"/>
      <c r="I411" s="411"/>
      <c r="J411" s="411"/>
      <c r="K411" s="411"/>
      <c r="L411" s="411"/>
      <c r="M411" s="411"/>
      <c r="N411" s="411"/>
      <c r="O411" s="411"/>
      <c r="P411" s="411"/>
      <c r="Q411" s="411"/>
      <c r="R411" s="411"/>
      <c r="S411" s="411"/>
      <c r="T411" s="411"/>
    </row>
    <row r="412" spans="1:20" ht="15" thickBot="1" x14ac:dyDescent="0.4">
      <c r="A412" s="447">
        <v>-299.37</v>
      </c>
      <c r="B412" s="413">
        <v>1E-3</v>
      </c>
      <c r="C412" s="413">
        <v>0.59</v>
      </c>
      <c r="D412" s="414">
        <f t="shared" si="13"/>
        <v>-29.937000000000001</v>
      </c>
      <c r="E412" s="414"/>
      <c r="F412" s="415">
        <f t="shared" si="14"/>
        <v>-76358.864999999991</v>
      </c>
      <c r="G412" s="411"/>
      <c r="H412" s="411"/>
      <c r="I412" s="411"/>
      <c r="J412" s="411"/>
      <c r="K412" s="411"/>
      <c r="L412" s="411"/>
      <c r="M412" s="411"/>
      <c r="N412" s="411"/>
      <c r="O412" s="411"/>
      <c r="P412" s="411"/>
      <c r="Q412" s="411"/>
      <c r="R412" s="411"/>
      <c r="S412" s="411"/>
      <c r="T412" s="411"/>
    </row>
    <row r="413" spans="1:20" ht="15" thickBot="1" x14ac:dyDescent="0.4">
      <c r="A413" s="447">
        <v>-292.76</v>
      </c>
      <c r="B413" s="413">
        <v>1E-3</v>
      </c>
      <c r="C413" s="413">
        <v>0.58899999999999997</v>
      </c>
      <c r="D413" s="414">
        <f t="shared" si="13"/>
        <v>-29.276</v>
      </c>
      <c r="E413" s="414"/>
      <c r="F413" s="415">
        <f t="shared" si="14"/>
        <v>-76388.140999999989</v>
      </c>
      <c r="G413" s="411"/>
      <c r="H413" s="411"/>
      <c r="I413" s="411"/>
      <c r="J413" s="411"/>
      <c r="K413" s="411"/>
      <c r="L413" s="411"/>
      <c r="M413" s="411"/>
      <c r="N413" s="411"/>
      <c r="O413" s="411"/>
      <c r="P413" s="411"/>
      <c r="Q413" s="411"/>
      <c r="R413" s="411"/>
      <c r="S413" s="411"/>
      <c r="T413" s="411"/>
    </row>
    <row r="414" spans="1:20" ht="15" thickBot="1" x14ac:dyDescent="0.4">
      <c r="A414" s="447">
        <v>-289.75</v>
      </c>
      <c r="B414" s="413">
        <v>1E-3</v>
      </c>
      <c r="C414" s="413">
        <v>0.58799999999999997</v>
      </c>
      <c r="D414" s="414">
        <f t="shared" si="13"/>
        <v>-28.975000000000001</v>
      </c>
      <c r="E414" s="414"/>
      <c r="F414" s="415">
        <f t="shared" si="14"/>
        <v>-76417.115999999995</v>
      </c>
      <c r="G414" s="411"/>
      <c r="H414" s="411"/>
      <c r="I414" s="411"/>
      <c r="J414" s="411"/>
      <c r="K414" s="411"/>
      <c r="L414" s="411"/>
      <c r="M414" s="411"/>
      <c r="N414" s="411"/>
      <c r="O414" s="411"/>
      <c r="P414" s="411"/>
      <c r="Q414" s="411"/>
      <c r="R414" s="411"/>
      <c r="S414" s="411"/>
      <c r="T414" s="411"/>
    </row>
    <row r="415" spans="1:20" ht="15" thickBot="1" x14ac:dyDescent="0.4">
      <c r="A415" s="447">
        <v>-284.68</v>
      </c>
      <c r="B415" s="413">
        <v>1E-3</v>
      </c>
      <c r="C415" s="413">
        <v>0.58699999999999997</v>
      </c>
      <c r="D415" s="414">
        <f t="shared" si="13"/>
        <v>-28.468</v>
      </c>
      <c r="E415" s="414"/>
      <c r="F415" s="415">
        <f t="shared" si="14"/>
        <v>-76445.583999999988</v>
      </c>
      <c r="G415" s="411"/>
      <c r="H415" s="411"/>
      <c r="I415" s="411"/>
      <c r="J415" s="411"/>
      <c r="K415" s="411"/>
      <c r="L415" s="411"/>
      <c r="M415" s="411"/>
      <c r="N415" s="411"/>
      <c r="O415" s="411"/>
      <c r="P415" s="411"/>
      <c r="Q415" s="411"/>
      <c r="R415" s="411"/>
      <c r="S415" s="411"/>
      <c r="T415" s="411"/>
    </row>
    <row r="416" spans="1:20" ht="15" thickBot="1" x14ac:dyDescent="0.4">
      <c r="A416" s="447">
        <v>-281.77</v>
      </c>
      <c r="B416" s="413">
        <v>1E-3</v>
      </c>
      <c r="C416" s="413">
        <v>0.58599999999999997</v>
      </c>
      <c r="D416" s="414">
        <f t="shared" si="13"/>
        <v>-28.176999999999996</v>
      </c>
      <c r="E416" s="414"/>
      <c r="F416" s="415">
        <f t="shared" si="14"/>
        <v>-76473.760999999984</v>
      </c>
      <c r="G416" s="411"/>
      <c r="H416" s="411"/>
      <c r="I416" s="411"/>
      <c r="J416" s="411"/>
      <c r="K416" s="411"/>
      <c r="L416" s="411"/>
      <c r="M416" s="411"/>
      <c r="N416" s="411"/>
      <c r="O416" s="411"/>
      <c r="P416" s="411"/>
      <c r="Q416" s="411"/>
      <c r="R416" s="411"/>
      <c r="S416" s="411"/>
      <c r="T416" s="411"/>
    </row>
    <row r="417" spans="1:20" ht="15" thickBot="1" x14ac:dyDescent="0.4">
      <c r="A417" s="447">
        <v>-279.95</v>
      </c>
      <c r="B417" s="413">
        <v>1E-3</v>
      </c>
      <c r="C417" s="413">
        <v>0.58499999999999996</v>
      </c>
      <c r="D417" s="414">
        <f t="shared" si="13"/>
        <v>-27.994999999999997</v>
      </c>
      <c r="E417" s="414"/>
      <c r="F417" s="415">
        <f t="shared" si="14"/>
        <v>-76501.755999999979</v>
      </c>
      <c r="G417" s="411"/>
      <c r="H417" s="411"/>
      <c r="I417" s="411"/>
      <c r="J417" s="411"/>
      <c r="K417" s="411"/>
      <c r="L417" s="411"/>
      <c r="M417" s="411"/>
      <c r="N417" s="411"/>
      <c r="O417" s="411"/>
      <c r="P417" s="411"/>
      <c r="Q417" s="411"/>
      <c r="R417" s="411"/>
      <c r="S417" s="411"/>
      <c r="T417" s="411"/>
    </row>
    <row r="418" spans="1:20" ht="15" thickBot="1" x14ac:dyDescent="0.4">
      <c r="A418" s="447">
        <v>-276.8</v>
      </c>
      <c r="B418" s="413">
        <v>1E-3</v>
      </c>
      <c r="C418" s="413">
        <v>0.58399999999999996</v>
      </c>
      <c r="D418" s="414">
        <f t="shared" si="13"/>
        <v>-27.68</v>
      </c>
      <c r="E418" s="414"/>
      <c r="F418" s="415">
        <f t="shared" si="14"/>
        <v>-76529.435999999972</v>
      </c>
      <c r="G418" s="411"/>
      <c r="H418" s="411"/>
      <c r="I418" s="411"/>
      <c r="J418" s="411"/>
      <c r="K418" s="411"/>
      <c r="L418" s="411"/>
      <c r="M418" s="411"/>
      <c r="N418" s="411"/>
      <c r="O418" s="411"/>
      <c r="P418" s="411"/>
      <c r="Q418" s="411"/>
      <c r="R418" s="411"/>
      <c r="S418" s="411"/>
      <c r="T418" s="411"/>
    </row>
    <row r="419" spans="1:20" ht="15" thickBot="1" x14ac:dyDescent="0.4">
      <c r="A419" s="447">
        <v>-270</v>
      </c>
      <c r="B419" s="413">
        <v>1E-3</v>
      </c>
      <c r="C419" s="413">
        <v>0.58299999999999996</v>
      </c>
      <c r="D419" s="414">
        <f t="shared" si="13"/>
        <v>-27</v>
      </c>
      <c r="E419" s="414"/>
      <c r="F419" s="415">
        <f t="shared" si="14"/>
        <v>-76556.435999999972</v>
      </c>
      <c r="G419" s="411"/>
      <c r="H419" s="411"/>
      <c r="I419" s="411"/>
      <c r="J419" s="411"/>
      <c r="K419" s="411"/>
      <c r="L419" s="411"/>
      <c r="M419" s="411"/>
      <c r="N419" s="411"/>
      <c r="O419" s="411"/>
      <c r="P419" s="411"/>
      <c r="Q419" s="411"/>
      <c r="R419" s="411"/>
      <c r="S419" s="411"/>
      <c r="T419" s="411"/>
    </row>
    <row r="420" spans="1:20" ht="15" thickBot="1" x14ac:dyDescent="0.4">
      <c r="A420" s="447">
        <v>-269.16000000000003</v>
      </c>
      <c r="B420" s="413">
        <v>1E-3</v>
      </c>
      <c r="C420" s="413">
        <v>0.58199999999999996</v>
      </c>
      <c r="D420" s="414">
        <f t="shared" si="13"/>
        <v>-26.916</v>
      </c>
      <c r="E420" s="414"/>
      <c r="F420" s="415">
        <f t="shared" si="14"/>
        <v>-76583.35199999997</v>
      </c>
      <c r="G420" s="411"/>
      <c r="H420" s="411"/>
      <c r="I420" s="411"/>
      <c r="J420" s="411"/>
      <c r="K420" s="411"/>
      <c r="L420" s="411"/>
      <c r="M420" s="411"/>
      <c r="N420" s="411"/>
      <c r="O420" s="411"/>
      <c r="P420" s="411"/>
      <c r="Q420" s="411"/>
      <c r="R420" s="411"/>
      <c r="S420" s="411"/>
      <c r="T420" s="411"/>
    </row>
    <row r="421" spans="1:20" ht="15" thickBot="1" x14ac:dyDescent="0.4">
      <c r="A421" s="447">
        <v>-267</v>
      </c>
      <c r="B421" s="413">
        <v>1E-3</v>
      </c>
      <c r="C421" s="413">
        <v>0.58099999999999996</v>
      </c>
      <c r="D421" s="414">
        <f t="shared" si="13"/>
        <v>-26.7</v>
      </c>
      <c r="E421" s="414"/>
      <c r="F421" s="415">
        <f t="shared" si="14"/>
        <v>-76610.051999999967</v>
      </c>
      <c r="G421" s="411"/>
      <c r="H421" s="411"/>
      <c r="I421" s="411"/>
      <c r="J421" s="411"/>
      <c r="K421" s="411"/>
      <c r="L421" s="411"/>
      <c r="M421" s="411"/>
      <c r="N421" s="411"/>
      <c r="O421" s="411"/>
      <c r="P421" s="411"/>
      <c r="Q421" s="411"/>
      <c r="R421" s="411"/>
      <c r="S421" s="411"/>
      <c r="T421" s="411"/>
    </row>
    <row r="422" spans="1:20" ht="15" thickBot="1" x14ac:dyDescent="0.4">
      <c r="A422" s="447">
        <v>-266.31</v>
      </c>
      <c r="B422" s="413">
        <v>1E-3</v>
      </c>
      <c r="C422" s="413">
        <v>0.57999999999999996</v>
      </c>
      <c r="D422" s="414">
        <f t="shared" si="13"/>
        <v>-26.631</v>
      </c>
      <c r="E422" s="414"/>
      <c r="F422" s="415">
        <f t="shared" si="14"/>
        <v>-76636.682999999961</v>
      </c>
      <c r="G422" s="411"/>
      <c r="H422" s="411"/>
      <c r="I422" s="411"/>
      <c r="J422" s="411"/>
      <c r="K422" s="411"/>
      <c r="L422" s="411"/>
      <c r="M422" s="411"/>
      <c r="N422" s="411"/>
      <c r="O422" s="411"/>
      <c r="P422" s="411"/>
      <c r="Q422" s="411"/>
      <c r="R422" s="411"/>
      <c r="S422" s="411"/>
      <c r="T422" s="411"/>
    </row>
    <row r="423" spans="1:20" ht="15" thickBot="1" x14ac:dyDescent="0.4">
      <c r="A423" s="447">
        <v>-266.27999999999997</v>
      </c>
      <c r="B423" s="413">
        <v>1E-3</v>
      </c>
      <c r="C423" s="413">
        <v>0.57899999999999996</v>
      </c>
      <c r="D423" s="414">
        <f t="shared" si="13"/>
        <v>-26.627999999999997</v>
      </c>
      <c r="E423" s="414"/>
      <c r="F423" s="415">
        <f t="shared" si="14"/>
        <v>-76663.310999999958</v>
      </c>
      <c r="G423" s="411"/>
      <c r="H423" s="411"/>
      <c r="I423" s="411"/>
      <c r="J423" s="411"/>
      <c r="K423" s="411"/>
      <c r="L423" s="411"/>
      <c r="M423" s="411"/>
      <c r="N423" s="411"/>
      <c r="O423" s="411"/>
      <c r="P423" s="411"/>
      <c r="Q423" s="411"/>
      <c r="R423" s="411"/>
      <c r="S423" s="411"/>
      <c r="T423" s="411"/>
    </row>
    <row r="424" spans="1:20" ht="15" thickBot="1" x14ac:dyDescent="0.4">
      <c r="A424" s="447">
        <v>-249.81</v>
      </c>
      <c r="B424" s="413">
        <v>1E-3</v>
      </c>
      <c r="C424" s="413">
        <v>0.57799999999999996</v>
      </c>
      <c r="D424" s="414">
        <f t="shared" si="13"/>
        <v>-24.981000000000002</v>
      </c>
      <c r="E424" s="414"/>
      <c r="F424" s="415">
        <f t="shared" si="14"/>
        <v>-76688.291999999958</v>
      </c>
      <c r="G424" s="411"/>
      <c r="H424" s="411"/>
      <c r="I424" s="411"/>
      <c r="J424" s="411"/>
      <c r="K424" s="411"/>
      <c r="L424" s="411"/>
      <c r="M424" s="411"/>
      <c r="N424" s="411"/>
      <c r="O424" s="411"/>
      <c r="P424" s="411"/>
      <c r="Q424" s="411"/>
      <c r="R424" s="411"/>
      <c r="S424" s="411"/>
      <c r="T424" s="411"/>
    </row>
    <row r="425" spans="1:20" ht="15" thickBot="1" x14ac:dyDescent="0.4">
      <c r="A425" s="447">
        <v>-247.46</v>
      </c>
      <c r="B425" s="413">
        <v>1E-3</v>
      </c>
      <c r="C425" s="413">
        <v>0.57699999999999996</v>
      </c>
      <c r="D425" s="414">
        <f t="shared" si="13"/>
        <v>-24.746000000000002</v>
      </c>
      <c r="E425" s="414"/>
      <c r="F425" s="415">
        <f t="shared" si="14"/>
        <v>-76713.037999999957</v>
      </c>
      <c r="G425" s="411"/>
      <c r="H425" s="411"/>
      <c r="I425" s="411"/>
      <c r="J425" s="411"/>
      <c r="K425" s="411"/>
      <c r="L425" s="411"/>
      <c r="M425" s="411"/>
      <c r="N425" s="411"/>
      <c r="O425" s="411"/>
      <c r="P425" s="411"/>
      <c r="Q425" s="411"/>
      <c r="R425" s="411"/>
      <c r="S425" s="411"/>
      <c r="T425" s="411"/>
    </row>
    <row r="426" spans="1:20" ht="15" thickBot="1" x14ac:dyDescent="0.4">
      <c r="A426" s="447">
        <v>-241.39</v>
      </c>
      <c r="B426" s="413">
        <v>1E-3</v>
      </c>
      <c r="C426" s="413">
        <v>0.57599999999999996</v>
      </c>
      <c r="D426" s="414">
        <f t="shared" si="13"/>
        <v>-24.138999999999999</v>
      </c>
      <c r="E426" s="414"/>
      <c r="F426" s="415">
        <f t="shared" si="14"/>
        <v>-76737.176999999952</v>
      </c>
      <c r="G426" s="411"/>
      <c r="H426" s="411"/>
      <c r="I426" s="411"/>
      <c r="J426" s="411"/>
      <c r="K426" s="411"/>
      <c r="L426" s="411"/>
      <c r="M426" s="411"/>
      <c r="N426" s="411"/>
      <c r="O426" s="411"/>
      <c r="P426" s="411"/>
      <c r="Q426" s="411"/>
      <c r="R426" s="411"/>
      <c r="S426" s="411"/>
      <c r="T426" s="411"/>
    </row>
    <row r="427" spans="1:20" ht="15" thickBot="1" x14ac:dyDescent="0.4">
      <c r="A427" s="447">
        <v>-235.47</v>
      </c>
      <c r="B427" s="413">
        <v>1E-3</v>
      </c>
      <c r="C427" s="413">
        <v>0.57499999999999996</v>
      </c>
      <c r="D427" s="414">
        <f t="shared" si="13"/>
        <v>-23.547000000000001</v>
      </c>
      <c r="E427" s="414"/>
      <c r="F427" s="415">
        <f t="shared" si="14"/>
        <v>-76760.723999999958</v>
      </c>
      <c r="G427" s="411"/>
      <c r="H427" s="411"/>
      <c r="I427" s="411"/>
      <c r="J427" s="411"/>
      <c r="K427" s="411"/>
      <c r="L427" s="411"/>
      <c r="M427" s="411"/>
      <c r="N427" s="411"/>
      <c r="O427" s="411"/>
      <c r="P427" s="411"/>
      <c r="Q427" s="411"/>
      <c r="R427" s="411"/>
      <c r="S427" s="411"/>
      <c r="T427" s="411"/>
    </row>
    <row r="428" spans="1:20" ht="15" thickBot="1" x14ac:dyDescent="0.4">
      <c r="A428" s="447">
        <v>-232.45</v>
      </c>
      <c r="B428" s="413">
        <v>1E-3</v>
      </c>
      <c r="C428" s="413">
        <v>0.57399999999999995</v>
      </c>
      <c r="D428" s="414">
        <f t="shared" si="13"/>
        <v>-23.244999999999997</v>
      </c>
      <c r="E428" s="414"/>
      <c r="F428" s="415">
        <f t="shared" si="14"/>
        <v>-76783.968999999954</v>
      </c>
      <c r="G428" s="411"/>
      <c r="H428" s="411"/>
      <c r="I428" s="411"/>
      <c r="J428" s="411"/>
      <c r="K428" s="411"/>
      <c r="L428" s="411"/>
      <c r="M428" s="411"/>
      <c r="N428" s="411"/>
      <c r="O428" s="411"/>
      <c r="P428" s="411"/>
      <c r="Q428" s="411"/>
      <c r="R428" s="411"/>
      <c r="S428" s="411"/>
      <c r="T428" s="411"/>
    </row>
    <row r="429" spans="1:20" ht="15" thickBot="1" x14ac:dyDescent="0.4">
      <c r="A429" s="447">
        <v>-231.44</v>
      </c>
      <c r="B429" s="413">
        <v>1E-3</v>
      </c>
      <c r="C429" s="413">
        <v>0.57299999999999995</v>
      </c>
      <c r="D429" s="414">
        <f t="shared" si="13"/>
        <v>-23.144000000000002</v>
      </c>
      <c r="E429" s="414"/>
      <c r="F429" s="415">
        <f t="shared" si="14"/>
        <v>-76807.112999999954</v>
      </c>
      <c r="G429" s="411"/>
      <c r="H429" s="411"/>
      <c r="I429" s="411"/>
      <c r="J429" s="411"/>
      <c r="K429" s="411"/>
      <c r="L429" s="411"/>
      <c r="M429" s="411"/>
      <c r="N429" s="411"/>
      <c r="O429" s="411"/>
      <c r="P429" s="411"/>
      <c r="Q429" s="411"/>
      <c r="R429" s="411"/>
      <c r="S429" s="411"/>
      <c r="T429" s="411"/>
    </row>
    <row r="430" spans="1:20" ht="15" thickBot="1" x14ac:dyDescent="0.4">
      <c r="A430" s="447">
        <v>-231.41</v>
      </c>
      <c r="B430" s="413">
        <v>1E-3</v>
      </c>
      <c r="C430" s="413">
        <v>0.57199999999999995</v>
      </c>
      <c r="D430" s="414">
        <f t="shared" si="13"/>
        <v>-23.140999999999998</v>
      </c>
      <c r="E430" s="414"/>
      <c r="F430" s="415">
        <f t="shared" si="14"/>
        <v>-76830.253999999957</v>
      </c>
      <c r="G430" s="411"/>
      <c r="H430" s="411"/>
      <c r="I430" s="411"/>
      <c r="J430" s="411"/>
      <c r="K430" s="411"/>
      <c r="L430" s="411"/>
      <c r="M430" s="411"/>
      <c r="N430" s="411"/>
      <c r="O430" s="411"/>
      <c r="P430" s="411"/>
      <c r="Q430" s="411"/>
      <c r="R430" s="411"/>
      <c r="S430" s="411"/>
      <c r="T430" s="411"/>
    </row>
    <row r="431" spans="1:20" ht="15" thickBot="1" x14ac:dyDescent="0.4">
      <c r="A431" s="447">
        <v>-230.84</v>
      </c>
      <c r="B431" s="413">
        <v>1E-3</v>
      </c>
      <c r="C431" s="413">
        <v>0.57099999999999995</v>
      </c>
      <c r="D431" s="414">
        <f t="shared" si="13"/>
        <v>-23.084</v>
      </c>
      <c r="E431" s="414"/>
      <c r="F431" s="415">
        <f t="shared" si="14"/>
        <v>-76853.33799999996</v>
      </c>
      <c r="G431" s="411"/>
      <c r="H431" s="411"/>
      <c r="I431" s="411"/>
      <c r="J431" s="411"/>
      <c r="K431" s="411"/>
      <c r="L431" s="411"/>
      <c r="M431" s="411"/>
      <c r="N431" s="411"/>
      <c r="O431" s="411"/>
      <c r="P431" s="411"/>
      <c r="Q431" s="411"/>
      <c r="R431" s="411"/>
      <c r="S431" s="411"/>
      <c r="T431" s="411"/>
    </row>
    <row r="432" spans="1:20" ht="15" thickBot="1" x14ac:dyDescent="0.4">
      <c r="A432" s="447">
        <v>-230.48</v>
      </c>
      <c r="B432" s="413">
        <v>1E-3</v>
      </c>
      <c r="C432" s="413">
        <v>0.56999999999999995</v>
      </c>
      <c r="D432" s="414">
        <f t="shared" si="13"/>
        <v>-23.047999999999998</v>
      </c>
      <c r="E432" s="414"/>
      <c r="F432" s="415">
        <f t="shared" si="14"/>
        <v>-76876.385999999955</v>
      </c>
      <c r="G432" s="411"/>
      <c r="H432" s="411"/>
      <c r="I432" s="411"/>
      <c r="J432" s="411"/>
      <c r="K432" s="411"/>
      <c r="L432" s="411"/>
      <c r="M432" s="411"/>
      <c r="N432" s="411"/>
      <c r="O432" s="411"/>
      <c r="P432" s="411"/>
      <c r="Q432" s="411"/>
      <c r="R432" s="411"/>
      <c r="S432" s="411"/>
      <c r="T432" s="411"/>
    </row>
    <row r="433" spans="1:20" ht="15" thickBot="1" x14ac:dyDescent="0.4">
      <c r="A433" s="447">
        <v>-228.57</v>
      </c>
      <c r="B433" s="413">
        <v>1E-3</v>
      </c>
      <c r="C433" s="413">
        <v>0.56899999999999995</v>
      </c>
      <c r="D433" s="414">
        <f t="shared" si="13"/>
        <v>-22.856999999999999</v>
      </c>
      <c r="E433" s="414"/>
      <c r="F433" s="415">
        <f t="shared" si="14"/>
        <v>-76899.242999999959</v>
      </c>
      <c r="G433" s="411"/>
      <c r="H433" s="411"/>
      <c r="I433" s="411"/>
      <c r="J433" s="411"/>
      <c r="K433" s="411"/>
      <c r="L433" s="411"/>
      <c r="M433" s="411"/>
      <c r="N433" s="411"/>
      <c r="O433" s="411"/>
      <c r="P433" s="411"/>
      <c r="Q433" s="411"/>
      <c r="R433" s="411"/>
      <c r="S433" s="411"/>
      <c r="T433" s="411"/>
    </row>
    <row r="434" spans="1:20" ht="15" thickBot="1" x14ac:dyDescent="0.4">
      <c r="A434" s="447">
        <v>-224.81</v>
      </c>
      <c r="B434" s="413">
        <v>1E-3</v>
      </c>
      <c r="C434" s="413">
        <v>0.56799999999999995</v>
      </c>
      <c r="D434" s="414">
        <f t="shared" si="13"/>
        <v>-22.481000000000002</v>
      </c>
      <c r="E434" s="414"/>
      <c r="F434" s="415">
        <f t="shared" si="14"/>
        <v>-76921.723999999958</v>
      </c>
      <c r="G434" s="411"/>
      <c r="H434" s="411"/>
      <c r="I434" s="411"/>
      <c r="J434" s="411"/>
      <c r="K434" s="411"/>
      <c r="L434" s="411"/>
      <c r="M434" s="411"/>
      <c r="N434" s="411"/>
      <c r="O434" s="411"/>
      <c r="P434" s="411"/>
      <c r="Q434" s="411"/>
      <c r="R434" s="411"/>
      <c r="S434" s="411"/>
      <c r="T434" s="411"/>
    </row>
    <row r="435" spans="1:20" ht="15" thickBot="1" x14ac:dyDescent="0.4">
      <c r="A435" s="447">
        <v>-223.49</v>
      </c>
      <c r="B435" s="413">
        <v>1E-3</v>
      </c>
      <c r="C435" s="413">
        <v>0.56699999999999995</v>
      </c>
      <c r="D435" s="414">
        <f t="shared" si="13"/>
        <v>-22.349</v>
      </c>
      <c r="E435" s="414"/>
      <c r="F435" s="415">
        <f t="shared" si="14"/>
        <v>-76944.07299999996</v>
      </c>
      <c r="G435" s="411"/>
      <c r="H435" s="411"/>
      <c r="I435" s="411"/>
      <c r="J435" s="411"/>
      <c r="K435" s="411"/>
      <c r="L435" s="411"/>
      <c r="M435" s="411"/>
      <c r="N435" s="411"/>
      <c r="O435" s="411"/>
      <c r="P435" s="411"/>
      <c r="Q435" s="411"/>
      <c r="R435" s="411"/>
      <c r="S435" s="411"/>
      <c r="T435" s="411"/>
    </row>
    <row r="436" spans="1:20" ht="15" thickBot="1" x14ac:dyDescent="0.4">
      <c r="A436" s="447">
        <v>-222.81</v>
      </c>
      <c r="B436" s="413">
        <v>1E-3</v>
      </c>
      <c r="C436" s="413">
        <v>0.56599999999999995</v>
      </c>
      <c r="D436" s="414">
        <f t="shared" si="13"/>
        <v>-22.280999999999999</v>
      </c>
      <c r="E436" s="414"/>
      <c r="F436" s="415">
        <f t="shared" si="14"/>
        <v>-76966.353999999963</v>
      </c>
      <c r="G436" s="411"/>
      <c r="H436" s="411"/>
      <c r="I436" s="411"/>
      <c r="J436" s="411"/>
      <c r="K436" s="411"/>
      <c r="L436" s="411"/>
      <c r="M436" s="411"/>
      <c r="N436" s="411"/>
      <c r="O436" s="411"/>
      <c r="P436" s="411"/>
      <c r="Q436" s="411"/>
      <c r="R436" s="411"/>
      <c r="S436" s="411"/>
      <c r="T436" s="411"/>
    </row>
    <row r="437" spans="1:20" ht="15" thickBot="1" x14ac:dyDescent="0.4">
      <c r="A437" s="447">
        <v>-200.81</v>
      </c>
      <c r="B437" s="413">
        <v>1E-3</v>
      </c>
      <c r="C437" s="413">
        <v>0.56499999999999995</v>
      </c>
      <c r="D437" s="414">
        <f t="shared" si="13"/>
        <v>-20.081</v>
      </c>
      <c r="E437" s="414"/>
      <c r="F437" s="415">
        <f t="shared" si="14"/>
        <v>-76986.434999999969</v>
      </c>
      <c r="G437" s="411"/>
      <c r="H437" s="411"/>
      <c r="I437" s="411"/>
      <c r="J437" s="411"/>
      <c r="K437" s="411"/>
      <c r="L437" s="411"/>
      <c r="M437" s="411"/>
      <c r="N437" s="411"/>
      <c r="O437" s="411"/>
      <c r="P437" s="411"/>
      <c r="Q437" s="411"/>
      <c r="R437" s="411"/>
      <c r="S437" s="411"/>
      <c r="T437" s="411"/>
    </row>
    <row r="438" spans="1:20" ht="15" thickBot="1" x14ac:dyDescent="0.4">
      <c r="A438" s="447">
        <v>-200.8</v>
      </c>
      <c r="B438" s="413">
        <v>1E-3</v>
      </c>
      <c r="C438" s="413">
        <v>0.56399999999999995</v>
      </c>
      <c r="D438" s="414">
        <f t="shared" si="13"/>
        <v>-20.080000000000002</v>
      </c>
      <c r="E438" s="414"/>
      <c r="F438" s="415">
        <f t="shared" si="14"/>
        <v>-77006.51499999997</v>
      </c>
      <c r="G438" s="411"/>
      <c r="H438" s="411"/>
      <c r="I438" s="411"/>
      <c r="J438" s="411"/>
      <c r="K438" s="411"/>
      <c r="L438" s="411"/>
      <c r="M438" s="411"/>
      <c r="N438" s="411"/>
      <c r="O438" s="411"/>
      <c r="P438" s="411"/>
      <c r="Q438" s="411"/>
      <c r="R438" s="411"/>
      <c r="S438" s="411"/>
      <c r="T438" s="411"/>
    </row>
    <row r="439" spans="1:20" ht="15" thickBot="1" x14ac:dyDescent="0.4">
      <c r="A439" s="447">
        <v>-195.97</v>
      </c>
      <c r="B439" s="413">
        <v>1E-3</v>
      </c>
      <c r="C439" s="413">
        <v>0.56299999999999994</v>
      </c>
      <c r="D439" s="414">
        <f t="shared" si="13"/>
        <v>-19.597000000000001</v>
      </c>
      <c r="E439" s="414"/>
      <c r="F439" s="415">
        <f t="shared" si="14"/>
        <v>-77026.111999999965</v>
      </c>
      <c r="G439" s="411"/>
      <c r="H439" s="411"/>
      <c r="I439" s="411"/>
      <c r="J439" s="411"/>
      <c r="K439" s="411"/>
      <c r="L439" s="411"/>
      <c r="M439" s="411"/>
      <c r="N439" s="411"/>
      <c r="O439" s="411"/>
      <c r="P439" s="411"/>
      <c r="Q439" s="411"/>
      <c r="R439" s="411"/>
      <c r="S439" s="411"/>
      <c r="T439" s="411"/>
    </row>
    <row r="440" spans="1:20" ht="15" thickBot="1" x14ac:dyDescent="0.4">
      <c r="A440" s="447">
        <v>-194.8</v>
      </c>
      <c r="B440" s="413">
        <v>1E-3</v>
      </c>
      <c r="C440" s="413">
        <v>0.56200000000000006</v>
      </c>
      <c r="D440" s="414">
        <f t="shared" si="13"/>
        <v>-19.480000000000004</v>
      </c>
      <c r="E440" s="414"/>
      <c r="F440" s="415">
        <f t="shared" si="14"/>
        <v>-77045.591999999961</v>
      </c>
      <c r="G440" s="411"/>
      <c r="H440" s="411"/>
      <c r="I440" s="411"/>
      <c r="J440" s="411"/>
      <c r="K440" s="411"/>
      <c r="L440" s="411"/>
      <c r="M440" s="411"/>
      <c r="N440" s="411"/>
      <c r="O440" s="411"/>
      <c r="P440" s="411"/>
      <c r="Q440" s="411"/>
      <c r="R440" s="411"/>
      <c r="S440" s="411"/>
      <c r="T440" s="411"/>
    </row>
    <row r="441" spans="1:20" ht="15" thickBot="1" x14ac:dyDescent="0.4">
      <c r="A441" s="447">
        <v>-190.19</v>
      </c>
      <c r="B441" s="413">
        <v>1E-3</v>
      </c>
      <c r="C441" s="413">
        <v>0.56100000000000005</v>
      </c>
      <c r="D441" s="414">
        <f t="shared" si="13"/>
        <v>-19.018999999999998</v>
      </c>
      <c r="E441" s="414"/>
      <c r="F441" s="415">
        <f t="shared" si="14"/>
        <v>-77064.610999999961</v>
      </c>
      <c r="G441" s="411"/>
      <c r="H441" s="411"/>
      <c r="I441" s="411"/>
      <c r="J441" s="411"/>
      <c r="K441" s="411"/>
      <c r="L441" s="411"/>
      <c r="M441" s="411"/>
      <c r="N441" s="411"/>
      <c r="O441" s="411"/>
      <c r="P441" s="411"/>
      <c r="Q441" s="411"/>
      <c r="R441" s="411"/>
      <c r="S441" s="411"/>
      <c r="T441" s="411"/>
    </row>
    <row r="442" spans="1:20" ht="15" thickBot="1" x14ac:dyDescent="0.4">
      <c r="A442" s="447">
        <v>-188.81</v>
      </c>
      <c r="B442" s="413">
        <v>1E-3</v>
      </c>
      <c r="C442" s="413">
        <v>0.56000000000000005</v>
      </c>
      <c r="D442" s="414">
        <f t="shared" si="13"/>
        <v>-18.881</v>
      </c>
      <c r="E442" s="414"/>
      <c r="F442" s="415">
        <f t="shared" si="14"/>
        <v>-77083.491999999955</v>
      </c>
      <c r="G442" s="411"/>
      <c r="H442" s="411"/>
      <c r="I442" s="411"/>
      <c r="J442" s="411"/>
      <c r="K442" s="411"/>
      <c r="L442" s="411"/>
      <c r="M442" s="411"/>
      <c r="N442" s="411"/>
      <c r="O442" s="411"/>
      <c r="P442" s="411"/>
      <c r="Q442" s="411"/>
      <c r="R442" s="411"/>
      <c r="S442" s="411"/>
      <c r="T442" s="411"/>
    </row>
    <row r="443" spans="1:20" ht="15" thickBot="1" x14ac:dyDescent="0.4">
      <c r="A443" s="447">
        <v>-187.77</v>
      </c>
      <c r="B443" s="413">
        <v>1E-3</v>
      </c>
      <c r="C443" s="413">
        <v>0.55900000000000005</v>
      </c>
      <c r="D443" s="414">
        <f t="shared" si="13"/>
        <v>-18.777000000000001</v>
      </c>
      <c r="E443" s="414"/>
      <c r="F443" s="415">
        <f t="shared" si="14"/>
        <v>-77102.268999999957</v>
      </c>
      <c r="G443" s="411"/>
      <c r="H443" s="411"/>
      <c r="I443" s="411"/>
      <c r="J443" s="411"/>
      <c r="K443" s="411"/>
      <c r="L443" s="411"/>
      <c r="M443" s="411"/>
      <c r="N443" s="411"/>
      <c r="O443" s="411"/>
      <c r="P443" s="411"/>
      <c r="Q443" s="411"/>
      <c r="R443" s="411"/>
      <c r="S443" s="411"/>
      <c r="T443" s="411"/>
    </row>
    <row r="444" spans="1:20" ht="15" thickBot="1" x14ac:dyDescent="0.4">
      <c r="A444" s="447">
        <v>-185.79</v>
      </c>
      <c r="B444" s="413">
        <v>1E-3</v>
      </c>
      <c r="C444" s="413">
        <v>0.55800000000000005</v>
      </c>
      <c r="D444" s="414">
        <f t="shared" si="13"/>
        <v>-18.578999999999997</v>
      </c>
      <c r="E444" s="414"/>
      <c r="F444" s="415">
        <f t="shared" si="14"/>
        <v>-77120.847999999954</v>
      </c>
      <c r="G444" s="411"/>
      <c r="H444" s="411"/>
      <c r="I444" s="411"/>
      <c r="J444" s="411"/>
      <c r="K444" s="411"/>
      <c r="L444" s="411"/>
      <c r="M444" s="411"/>
      <c r="N444" s="411"/>
      <c r="O444" s="411"/>
      <c r="P444" s="411"/>
      <c r="Q444" s="411"/>
      <c r="R444" s="411"/>
      <c r="S444" s="411"/>
      <c r="T444" s="411"/>
    </row>
    <row r="445" spans="1:20" ht="15" thickBot="1" x14ac:dyDescent="0.4">
      <c r="A445" s="447">
        <v>-184.95</v>
      </c>
      <c r="B445" s="413">
        <v>1E-3</v>
      </c>
      <c r="C445" s="413">
        <v>0.55700000000000005</v>
      </c>
      <c r="D445" s="414">
        <f t="shared" si="13"/>
        <v>-18.495000000000001</v>
      </c>
      <c r="E445" s="414"/>
      <c r="F445" s="415">
        <f t="shared" si="14"/>
        <v>-77139.34299999995</v>
      </c>
      <c r="G445" s="411"/>
      <c r="H445" s="411"/>
      <c r="I445" s="411"/>
      <c r="J445" s="411"/>
      <c r="K445" s="411"/>
      <c r="L445" s="411"/>
      <c r="M445" s="411"/>
      <c r="N445" s="411"/>
      <c r="O445" s="411"/>
      <c r="P445" s="411"/>
      <c r="Q445" s="411"/>
      <c r="R445" s="411"/>
      <c r="S445" s="411"/>
      <c r="T445" s="411"/>
    </row>
    <row r="446" spans="1:20" ht="15" thickBot="1" x14ac:dyDescent="0.4">
      <c r="A446" s="447">
        <v>-181.82</v>
      </c>
      <c r="B446" s="413">
        <v>1E-3</v>
      </c>
      <c r="C446" s="413">
        <v>0.55600000000000005</v>
      </c>
      <c r="D446" s="414">
        <f t="shared" si="13"/>
        <v>-18.182000000000002</v>
      </c>
      <c r="E446" s="414"/>
      <c r="F446" s="415">
        <f t="shared" si="14"/>
        <v>-77157.524999999951</v>
      </c>
      <c r="G446" s="411"/>
      <c r="H446" s="411"/>
      <c r="I446" s="411"/>
      <c r="J446" s="411"/>
      <c r="K446" s="411"/>
      <c r="L446" s="411"/>
      <c r="M446" s="411"/>
      <c r="N446" s="411"/>
      <c r="O446" s="411"/>
      <c r="P446" s="411"/>
      <c r="Q446" s="411"/>
      <c r="R446" s="411"/>
      <c r="S446" s="411"/>
      <c r="T446" s="411"/>
    </row>
    <row r="447" spans="1:20" ht="15" thickBot="1" x14ac:dyDescent="0.4">
      <c r="A447" s="447">
        <v>-180.02</v>
      </c>
      <c r="B447" s="413">
        <v>1E-3</v>
      </c>
      <c r="C447" s="413">
        <v>0.55500000000000005</v>
      </c>
      <c r="D447" s="414">
        <f t="shared" si="13"/>
        <v>-18.002000000000002</v>
      </c>
      <c r="E447" s="414"/>
      <c r="F447" s="415">
        <f t="shared" si="14"/>
        <v>-77175.526999999944</v>
      </c>
      <c r="G447" s="411"/>
      <c r="H447" s="411"/>
      <c r="I447" s="411"/>
      <c r="J447" s="411"/>
      <c r="K447" s="411"/>
      <c r="L447" s="411"/>
      <c r="M447" s="411"/>
      <c r="N447" s="411"/>
      <c r="O447" s="411"/>
      <c r="P447" s="411"/>
      <c r="Q447" s="411"/>
      <c r="R447" s="411"/>
      <c r="S447" s="411"/>
      <c r="T447" s="411"/>
    </row>
    <row r="448" spans="1:20" ht="15" thickBot="1" x14ac:dyDescent="0.4">
      <c r="A448" s="447">
        <v>-179.84</v>
      </c>
      <c r="B448" s="413">
        <v>1E-3</v>
      </c>
      <c r="C448" s="413">
        <v>0.55400000000000005</v>
      </c>
      <c r="D448" s="414">
        <f t="shared" si="13"/>
        <v>-17.983999999999998</v>
      </c>
      <c r="E448" s="414"/>
      <c r="F448" s="415">
        <f t="shared" si="14"/>
        <v>-77193.51099999994</v>
      </c>
      <c r="G448" s="411"/>
      <c r="H448" s="411"/>
      <c r="I448" s="411"/>
      <c r="J448" s="411"/>
      <c r="K448" s="411"/>
      <c r="L448" s="411"/>
      <c r="M448" s="411"/>
      <c r="N448" s="411"/>
      <c r="O448" s="411"/>
      <c r="P448" s="411"/>
      <c r="Q448" s="411"/>
      <c r="R448" s="411"/>
      <c r="S448" s="411"/>
      <c r="T448" s="411"/>
    </row>
    <row r="449" spans="1:20" ht="15" thickBot="1" x14ac:dyDescent="0.4">
      <c r="A449" s="447">
        <v>-179.19</v>
      </c>
      <c r="B449" s="413">
        <v>1E-3</v>
      </c>
      <c r="C449" s="413">
        <v>0.55300000000000005</v>
      </c>
      <c r="D449" s="414">
        <f t="shared" si="13"/>
        <v>-17.918999999999997</v>
      </c>
      <c r="E449" s="414"/>
      <c r="F449" s="415">
        <f t="shared" si="14"/>
        <v>-77211.429999999935</v>
      </c>
      <c r="G449" s="411"/>
      <c r="H449" s="411"/>
      <c r="I449" s="411"/>
      <c r="J449" s="411"/>
      <c r="K449" s="411"/>
      <c r="L449" s="411"/>
      <c r="M449" s="411"/>
      <c r="N449" s="411"/>
      <c r="O449" s="411"/>
      <c r="P449" s="411"/>
      <c r="Q449" s="411"/>
      <c r="R449" s="411"/>
      <c r="S449" s="411"/>
      <c r="T449" s="411"/>
    </row>
    <row r="450" spans="1:20" ht="15" thickBot="1" x14ac:dyDescent="0.4">
      <c r="A450" s="447">
        <v>-179.08</v>
      </c>
      <c r="B450" s="413">
        <v>1E-3</v>
      </c>
      <c r="C450" s="413">
        <v>0.55200000000000005</v>
      </c>
      <c r="D450" s="414">
        <f t="shared" ref="D450:D513" si="15">A450*B450/1%</f>
        <v>-17.908000000000001</v>
      </c>
      <c r="E450" s="414"/>
      <c r="F450" s="415">
        <f t="shared" si="14"/>
        <v>-77229.337999999931</v>
      </c>
      <c r="G450" s="411"/>
      <c r="H450" s="411"/>
      <c r="I450" s="411"/>
      <c r="J450" s="411"/>
      <c r="K450" s="411"/>
      <c r="L450" s="411"/>
      <c r="M450" s="411"/>
      <c r="N450" s="411"/>
      <c r="O450" s="411"/>
      <c r="P450" s="411"/>
      <c r="Q450" s="411"/>
      <c r="R450" s="411"/>
      <c r="S450" s="411"/>
      <c r="T450" s="411"/>
    </row>
    <row r="451" spans="1:20" ht="15" thickBot="1" x14ac:dyDescent="0.4">
      <c r="A451" s="447">
        <v>-178.99</v>
      </c>
      <c r="B451" s="413">
        <v>1E-3</v>
      </c>
      <c r="C451" s="413">
        <v>0.55100000000000005</v>
      </c>
      <c r="D451" s="414">
        <f t="shared" si="15"/>
        <v>-17.899000000000001</v>
      </c>
      <c r="E451" s="414"/>
      <c r="F451" s="415">
        <f t="shared" ref="F451:F514" si="16">F450+D451</f>
        <v>-77247.236999999936</v>
      </c>
      <c r="G451" s="411"/>
      <c r="H451" s="411"/>
      <c r="I451" s="411"/>
      <c r="J451" s="411"/>
      <c r="K451" s="411"/>
      <c r="L451" s="411"/>
      <c r="M451" s="411"/>
      <c r="N451" s="411"/>
      <c r="O451" s="411"/>
      <c r="P451" s="411"/>
      <c r="Q451" s="411"/>
      <c r="R451" s="411"/>
      <c r="S451" s="411"/>
      <c r="T451" s="411"/>
    </row>
    <row r="452" spans="1:20" ht="15" thickBot="1" x14ac:dyDescent="0.4">
      <c r="A452" s="447">
        <v>-161.16999999999999</v>
      </c>
      <c r="B452" s="413">
        <v>1E-3</v>
      </c>
      <c r="C452" s="413">
        <v>0.55000000000000004</v>
      </c>
      <c r="D452" s="414">
        <f t="shared" si="15"/>
        <v>-16.116999999999997</v>
      </c>
      <c r="E452" s="414"/>
      <c r="F452" s="415">
        <f t="shared" si="16"/>
        <v>-77263.353999999934</v>
      </c>
      <c r="G452" s="411"/>
      <c r="H452" s="411"/>
      <c r="I452" s="411"/>
      <c r="J452" s="411"/>
      <c r="K452" s="411"/>
      <c r="L452" s="411"/>
      <c r="M452" s="411"/>
      <c r="N452" s="411"/>
      <c r="O452" s="411"/>
      <c r="P452" s="411"/>
      <c r="Q452" s="411"/>
      <c r="R452" s="411"/>
      <c r="S452" s="411"/>
      <c r="T452" s="411"/>
    </row>
    <row r="453" spans="1:20" ht="15" thickBot="1" x14ac:dyDescent="0.4">
      <c r="A453" s="447">
        <v>-160.66</v>
      </c>
      <c r="B453" s="413">
        <v>1E-3</v>
      </c>
      <c r="C453" s="413">
        <v>0.54900000000000004</v>
      </c>
      <c r="D453" s="414">
        <f t="shared" si="15"/>
        <v>-16.065999999999999</v>
      </c>
      <c r="E453" s="414"/>
      <c r="F453" s="415">
        <f t="shared" si="16"/>
        <v>-77279.41999999994</v>
      </c>
      <c r="G453" s="411"/>
      <c r="H453" s="411"/>
      <c r="I453" s="411"/>
      <c r="J453" s="411"/>
      <c r="K453" s="411"/>
      <c r="L453" s="411"/>
      <c r="M453" s="411"/>
      <c r="N453" s="411"/>
      <c r="O453" s="411"/>
      <c r="P453" s="411"/>
      <c r="Q453" s="411"/>
      <c r="R453" s="411"/>
      <c r="S453" s="411"/>
      <c r="T453" s="411"/>
    </row>
    <row r="454" spans="1:20" ht="15" thickBot="1" x14ac:dyDescent="0.4">
      <c r="A454" s="447">
        <v>-150.44999999999999</v>
      </c>
      <c r="B454" s="413">
        <v>1E-3</v>
      </c>
      <c r="C454" s="413">
        <v>0.54800000000000004</v>
      </c>
      <c r="D454" s="414">
        <f t="shared" si="15"/>
        <v>-15.045</v>
      </c>
      <c r="E454" s="414"/>
      <c r="F454" s="415">
        <f t="shared" si="16"/>
        <v>-77294.464999999938</v>
      </c>
      <c r="G454" s="411"/>
      <c r="H454" s="411"/>
      <c r="I454" s="411"/>
      <c r="J454" s="411"/>
      <c r="K454" s="411"/>
      <c r="L454" s="411"/>
      <c r="M454" s="411"/>
      <c r="N454" s="411"/>
      <c r="O454" s="411"/>
      <c r="P454" s="411"/>
      <c r="Q454" s="411"/>
      <c r="R454" s="411"/>
      <c r="S454" s="411"/>
      <c r="T454" s="411"/>
    </row>
    <row r="455" spans="1:20" ht="15" thickBot="1" x14ac:dyDescent="0.4">
      <c r="A455" s="447">
        <v>-148.36000000000001</v>
      </c>
      <c r="B455" s="413">
        <v>1E-3</v>
      </c>
      <c r="C455" s="413">
        <v>0.54700000000000004</v>
      </c>
      <c r="D455" s="414">
        <f t="shared" si="15"/>
        <v>-14.836000000000002</v>
      </c>
      <c r="E455" s="414"/>
      <c r="F455" s="415">
        <f t="shared" si="16"/>
        <v>-77309.300999999934</v>
      </c>
      <c r="G455" s="411"/>
      <c r="H455" s="411"/>
      <c r="I455" s="411"/>
      <c r="J455" s="411"/>
      <c r="K455" s="411"/>
      <c r="L455" s="411"/>
      <c r="M455" s="411"/>
      <c r="N455" s="411"/>
      <c r="O455" s="411"/>
      <c r="P455" s="411"/>
      <c r="Q455" s="411"/>
      <c r="R455" s="411"/>
      <c r="S455" s="411"/>
      <c r="T455" s="411"/>
    </row>
    <row r="456" spans="1:20" ht="15" thickBot="1" x14ac:dyDescent="0.4">
      <c r="A456" s="447">
        <v>-143.27000000000001</v>
      </c>
      <c r="B456" s="413">
        <v>1E-3</v>
      </c>
      <c r="C456" s="413">
        <v>0.54600000000000004</v>
      </c>
      <c r="D456" s="414">
        <f t="shared" si="15"/>
        <v>-14.327</v>
      </c>
      <c r="E456" s="414"/>
      <c r="F456" s="415">
        <f t="shared" si="16"/>
        <v>-77323.627999999939</v>
      </c>
      <c r="G456" s="411"/>
      <c r="H456" s="411"/>
      <c r="I456" s="411"/>
      <c r="J456" s="411"/>
      <c r="K456" s="411"/>
      <c r="L456" s="411"/>
      <c r="M456" s="411"/>
      <c r="N456" s="411"/>
      <c r="O456" s="411"/>
      <c r="P456" s="411"/>
      <c r="Q456" s="411"/>
      <c r="R456" s="411"/>
      <c r="S456" s="411"/>
      <c r="T456" s="411"/>
    </row>
    <row r="457" spans="1:20" ht="15" thickBot="1" x14ac:dyDescent="0.4">
      <c r="A457" s="447">
        <v>-140.52000000000001</v>
      </c>
      <c r="B457" s="413">
        <v>1E-3</v>
      </c>
      <c r="C457" s="413">
        <v>0.54500000000000004</v>
      </c>
      <c r="D457" s="414">
        <f t="shared" si="15"/>
        <v>-14.052</v>
      </c>
      <c r="E457" s="414"/>
      <c r="F457" s="415">
        <f t="shared" si="16"/>
        <v>-77337.679999999935</v>
      </c>
      <c r="G457" s="411"/>
      <c r="H457" s="411"/>
      <c r="I457" s="411"/>
      <c r="J457" s="411"/>
      <c r="K457" s="411"/>
      <c r="L457" s="411"/>
      <c r="M457" s="411"/>
      <c r="N457" s="411"/>
      <c r="O457" s="411"/>
      <c r="P457" s="411"/>
      <c r="Q457" s="411"/>
      <c r="R457" s="411"/>
      <c r="S457" s="411"/>
      <c r="T457" s="411"/>
    </row>
    <row r="458" spans="1:20" ht="15" thickBot="1" x14ac:dyDescent="0.4">
      <c r="A458" s="447">
        <v>-140.47</v>
      </c>
      <c r="B458" s="413">
        <v>1E-3</v>
      </c>
      <c r="C458" s="413">
        <v>0.54400000000000004</v>
      </c>
      <c r="D458" s="414">
        <f t="shared" si="15"/>
        <v>-14.047000000000001</v>
      </c>
      <c r="E458" s="414"/>
      <c r="F458" s="415">
        <f t="shared" si="16"/>
        <v>-77351.726999999941</v>
      </c>
      <c r="G458" s="411"/>
      <c r="H458" s="411"/>
      <c r="I458" s="411"/>
      <c r="J458" s="411"/>
      <c r="K458" s="411"/>
      <c r="L458" s="411"/>
      <c r="M458" s="411"/>
      <c r="N458" s="411"/>
      <c r="O458" s="411"/>
      <c r="P458" s="411"/>
      <c r="Q458" s="411"/>
      <c r="R458" s="411"/>
      <c r="S458" s="411"/>
      <c r="T458" s="411"/>
    </row>
    <row r="459" spans="1:20" ht="15" thickBot="1" x14ac:dyDescent="0.4">
      <c r="A459" s="447">
        <v>-138.53</v>
      </c>
      <c r="B459" s="413">
        <v>1E-3</v>
      </c>
      <c r="C459" s="413">
        <v>0.54300000000000004</v>
      </c>
      <c r="D459" s="414">
        <f t="shared" si="15"/>
        <v>-13.853000000000002</v>
      </c>
      <c r="E459" s="414"/>
      <c r="F459" s="415">
        <f t="shared" si="16"/>
        <v>-77365.579999999944</v>
      </c>
      <c r="G459" s="411"/>
      <c r="H459" s="411"/>
      <c r="I459" s="411"/>
      <c r="J459" s="411"/>
      <c r="K459" s="411"/>
      <c r="L459" s="411"/>
      <c r="M459" s="411"/>
      <c r="N459" s="411"/>
      <c r="O459" s="411"/>
      <c r="P459" s="411"/>
      <c r="Q459" s="411"/>
      <c r="R459" s="411"/>
      <c r="S459" s="411"/>
      <c r="T459" s="411"/>
    </row>
    <row r="460" spans="1:20" ht="15" thickBot="1" x14ac:dyDescent="0.4">
      <c r="A460" s="447">
        <v>-138.44</v>
      </c>
      <c r="B460" s="413">
        <v>1E-3</v>
      </c>
      <c r="C460" s="413">
        <v>0.54200000000000004</v>
      </c>
      <c r="D460" s="414">
        <f t="shared" si="15"/>
        <v>-13.844000000000001</v>
      </c>
      <c r="E460" s="414"/>
      <c r="F460" s="415">
        <f t="shared" si="16"/>
        <v>-77379.423999999941</v>
      </c>
      <c r="G460" s="411"/>
      <c r="H460" s="411"/>
      <c r="I460" s="411"/>
      <c r="J460" s="411"/>
      <c r="K460" s="411"/>
      <c r="L460" s="411"/>
      <c r="M460" s="411"/>
      <c r="N460" s="411"/>
      <c r="O460" s="411"/>
      <c r="P460" s="411"/>
      <c r="Q460" s="411"/>
      <c r="R460" s="411"/>
      <c r="S460" s="411"/>
      <c r="T460" s="411"/>
    </row>
    <row r="461" spans="1:20" ht="15" thickBot="1" x14ac:dyDescent="0.4">
      <c r="A461" s="447">
        <v>-135.13</v>
      </c>
      <c r="B461" s="413">
        <v>1E-3</v>
      </c>
      <c r="C461" s="413">
        <v>0.54100000000000004</v>
      </c>
      <c r="D461" s="414">
        <f t="shared" si="15"/>
        <v>-13.513</v>
      </c>
      <c r="E461" s="414"/>
      <c r="F461" s="415">
        <f t="shared" si="16"/>
        <v>-77392.936999999947</v>
      </c>
      <c r="G461" s="411"/>
      <c r="H461" s="411"/>
      <c r="I461" s="411"/>
      <c r="J461" s="411"/>
      <c r="K461" s="411"/>
      <c r="L461" s="411"/>
      <c r="M461" s="411"/>
      <c r="N461" s="411"/>
      <c r="O461" s="411"/>
      <c r="P461" s="411"/>
      <c r="Q461" s="411"/>
      <c r="R461" s="411"/>
      <c r="S461" s="411"/>
      <c r="T461" s="411"/>
    </row>
    <row r="462" spans="1:20" ht="15" thickBot="1" x14ac:dyDescent="0.4">
      <c r="A462" s="447">
        <v>-129</v>
      </c>
      <c r="B462" s="413">
        <v>1E-3</v>
      </c>
      <c r="C462" s="413">
        <v>0.54</v>
      </c>
      <c r="D462" s="414">
        <f t="shared" si="15"/>
        <v>-12.9</v>
      </c>
      <c r="E462" s="414"/>
      <c r="F462" s="415">
        <f t="shared" si="16"/>
        <v>-77405.836999999941</v>
      </c>
      <c r="G462" s="411"/>
      <c r="H462" s="411"/>
      <c r="I462" s="411"/>
      <c r="J462" s="411"/>
      <c r="K462" s="411"/>
      <c r="L462" s="411"/>
      <c r="M462" s="411"/>
      <c r="N462" s="411"/>
      <c r="O462" s="411"/>
      <c r="P462" s="411"/>
      <c r="Q462" s="411"/>
      <c r="R462" s="411"/>
      <c r="S462" s="411"/>
      <c r="T462" s="411"/>
    </row>
    <row r="463" spans="1:20" ht="15" thickBot="1" x14ac:dyDescent="0.4">
      <c r="A463" s="447">
        <v>-109.92</v>
      </c>
      <c r="B463" s="413">
        <v>1E-3</v>
      </c>
      <c r="C463" s="413">
        <v>0.53900000000000003</v>
      </c>
      <c r="D463" s="414">
        <f t="shared" si="15"/>
        <v>-10.992000000000001</v>
      </c>
      <c r="E463" s="414"/>
      <c r="F463" s="415">
        <f t="shared" si="16"/>
        <v>-77416.82899999994</v>
      </c>
      <c r="G463" s="411"/>
      <c r="H463" s="411"/>
      <c r="I463" s="411"/>
      <c r="J463" s="411"/>
      <c r="K463" s="411"/>
      <c r="L463" s="411"/>
      <c r="M463" s="411"/>
      <c r="N463" s="411"/>
      <c r="O463" s="411"/>
      <c r="P463" s="411"/>
      <c r="Q463" s="411"/>
      <c r="R463" s="411"/>
      <c r="S463" s="411"/>
      <c r="T463" s="411"/>
    </row>
    <row r="464" spans="1:20" ht="15" thickBot="1" x14ac:dyDescent="0.4">
      <c r="A464" s="447">
        <v>-106.48</v>
      </c>
      <c r="B464" s="413">
        <v>1E-3</v>
      </c>
      <c r="C464" s="413">
        <v>0.53800000000000003</v>
      </c>
      <c r="D464" s="414">
        <f t="shared" si="15"/>
        <v>-10.648</v>
      </c>
      <c r="E464" s="414"/>
      <c r="F464" s="415">
        <f t="shared" si="16"/>
        <v>-77427.476999999941</v>
      </c>
      <c r="G464" s="411"/>
      <c r="H464" s="411"/>
      <c r="I464" s="411"/>
      <c r="J464" s="411"/>
      <c r="K464" s="411"/>
      <c r="L464" s="411"/>
      <c r="M464" s="411"/>
      <c r="N464" s="411"/>
      <c r="O464" s="411"/>
      <c r="P464" s="411"/>
      <c r="Q464" s="411"/>
      <c r="R464" s="411"/>
      <c r="S464" s="411"/>
      <c r="T464" s="411"/>
    </row>
    <row r="465" spans="1:20" ht="15" thickBot="1" x14ac:dyDescent="0.4">
      <c r="A465" s="447">
        <v>-104.47</v>
      </c>
      <c r="B465" s="413">
        <v>1E-3</v>
      </c>
      <c r="C465" s="413">
        <v>0.53700000000000003</v>
      </c>
      <c r="D465" s="414">
        <f t="shared" si="15"/>
        <v>-10.447000000000001</v>
      </c>
      <c r="E465" s="414"/>
      <c r="F465" s="415">
        <f t="shared" si="16"/>
        <v>-77437.923999999941</v>
      </c>
      <c r="G465" s="411"/>
      <c r="H465" s="411"/>
      <c r="I465" s="411"/>
      <c r="J465" s="411"/>
      <c r="K465" s="411"/>
      <c r="L465" s="411"/>
      <c r="M465" s="411"/>
      <c r="N465" s="411"/>
      <c r="O465" s="411"/>
      <c r="P465" s="411"/>
      <c r="Q465" s="411"/>
      <c r="R465" s="411"/>
      <c r="S465" s="411"/>
      <c r="T465" s="411"/>
    </row>
    <row r="466" spans="1:20" ht="15" thickBot="1" x14ac:dyDescent="0.4">
      <c r="A466" s="447">
        <v>-104.03</v>
      </c>
      <c r="B466" s="413">
        <v>1E-3</v>
      </c>
      <c r="C466" s="413">
        <v>0.53600000000000003</v>
      </c>
      <c r="D466" s="414">
        <f t="shared" si="15"/>
        <v>-10.402999999999999</v>
      </c>
      <c r="E466" s="414"/>
      <c r="F466" s="415">
        <f t="shared" si="16"/>
        <v>-77448.326999999947</v>
      </c>
      <c r="G466" s="411"/>
      <c r="H466" s="411"/>
      <c r="I466" s="411"/>
      <c r="J466" s="411"/>
      <c r="K466" s="411"/>
      <c r="L466" s="411"/>
      <c r="M466" s="411"/>
      <c r="N466" s="411"/>
      <c r="O466" s="411"/>
      <c r="P466" s="411"/>
      <c r="Q466" s="411"/>
      <c r="R466" s="411"/>
      <c r="S466" s="411"/>
      <c r="T466" s="411"/>
    </row>
    <row r="467" spans="1:20" ht="15" thickBot="1" x14ac:dyDescent="0.4">
      <c r="A467" s="447">
        <v>-100.25</v>
      </c>
      <c r="B467" s="413">
        <v>1E-3</v>
      </c>
      <c r="C467" s="413">
        <v>0.53500000000000003</v>
      </c>
      <c r="D467" s="414">
        <f t="shared" si="15"/>
        <v>-10.025</v>
      </c>
      <c r="E467" s="414"/>
      <c r="F467" s="415">
        <f t="shared" si="16"/>
        <v>-77458.351999999941</v>
      </c>
      <c r="G467" s="411"/>
      <c r="H467" s="411"/>
      <c r="I467" s="411"/>
      <c r="J467" s="411"/>
      <c r="K467" s="411"/>
      <c r="L467" s="411"/>
      <c r="M467" s="411"/>
      <c r="N467" s="411"/>
      <c r="O467" s="411"/>
      <c r="P467" s="411"/>
      <c r="Q467" s="411"/>
      <c r="R467" s="411"/>
      <c r="S467" s="411"/>
      <c r="T467" s="411"/>
    </row>
    <row r="468" spans="1:20" ht="15" thickBot="1" x14ac:dyDescent="0.4">
      <c r="A468" s="447">
        <v>-100.18</v>
      </c>
      <c r="B468" s="413">
        <v>1E-3</v>
      </c>
      <c r="C468" s="413">
        <v>0.53400000000000003</v>
      </c>
      <c r="D468" s="414">
        <f t="shared" si="15"/>
        <v>-10.018000000000001</v>
      </c>
      <c r="E468" s="414"/>
      <c r="F468" s="415">
        <f t="shared" si="16"/>
        <v>-77468.369999999937</v>
      </c>
      <c r="G468" s="411"/>
      <c r="H468" s="411"/>
      <c r="I468" s="411"/>
      <c r="J468" s="411"/>
      <c r="K468" s="411"/>
      <c r="L468" s="411"/>
      <c r="M468" s="411"/>
      <c r="N468" s="411"/>
      <c r="O468" s="411"/>
      <c r="P468" s="411"/>
      <c r="Q468" s="411"/>
      <c r="R468" s="411"/>
      <c r="S468" s="411"/>
      <c r="T468" s="411"/>
    </row>
    <row r="469" spans="1:20" ht="15" thickBot="1" x14ac:dyDescent="0.4">
      <c r="A469" s="447">
        <v>-99.92</v>
      </c>
      <c r="B469" s="413">
        <v>1E-3</v>
      </c>
      <c r="C469" s="413">
        <v>0.53300000000000003</v>
      </c>
      <c r="D469" s="414">
        <f t="shared" si="15"/>
        <v>-9.9920000000000009</v>
      </c>
      <c r="E469" s="414"/>
      <c r="F469" s="415">
        <f t="shared" si="16"/>
        <v>-77478.361999999936</v>
      </c>
      <c r="G469" s="411"/>
      <c r="H469" s="411"/>
      <c r="I469" s="411"/>
      <c r="J469" s="411"/>
      <c r="K469" s="411"/>
      <c r="L469" s="411"/>
      <c r="M469" s="411"/>
      <c r="N469" s="411"/>
      <c r="O469" s="411"/>
      <c r="P469" s="411"/>
      <c r="Q469" s="411"/>
      <c r="R469" s="411"/>
      <c r="S469" s="411"/>
      <c r="T469" s="411"/>
    </row>
    <row r="470" spans="1:20" ht="15" thickBot="1" x14ac:dyDescent="0.4">
      <c r="A470" s="447">
        <v>-99.42</v>
      </c>
      <c r="B470" s="413">
        <v>1E-3</v>
      </c>
      <c r="C470" s="413">
        <v>0.53200000000000003</v>
      </c>
      <c r="D470" s="414">
        <f t="shared" si="15"/>
        <v>-9.9420000000000002</v>
      </c>
      <c r="E470" s="414"/>
      <c r="F470" s="415">
        <f t="shared" si="16"/>
        <v>-77488.303999999931</v>
      </c>
      <c r="G470" s="411"/>
      <c r="H470" s="411"/>
      <c r="I470" s="411"/>
      <c r="J470" s="411"/>
      <c r="K470" s="411"/>
      <c r="L470" s="411"/>
      <c r="M470" s="411"/>
      <c r="N470" s="411"/>
      <c r="O470" s="411"/>
      <c r="P470" s="411"/>
      <c r="Q470" s="411"/>
      <c r="R470" s="411"/>
      <c r="S470" s="411"/>
      <c r="T470" s="411"/>
    </row>
    <row r="471" spans="1:20" ht="15" thickBot="1" x14ac:dyDescent="0.4">
      <c r="A471" s="447">
        <v>-99.21</v>
      </c>
      <c r="B471" s="413">
        <v>1E-3</v>
      </c>
      <c r="C471" s="413">
        <v>0.53100000000000003</v>
      </c>
      <c r="D471" s="414">
        <f t="shared" si="15"/>
        <v>-9.9209999999999994</v>
      </c>
      <c r="E471" s="414"/>
      <c r="F471" s="415">
        <f t="shared" si="16"/>
        <v>-77498.224999999933</v>
      </c>
      <c r="G471" s="411"/>
      <c r="H471" s="411"/>
      <c r="I471" s="411"/>
      <c r="J471" s="411"/>
      <c r="K471" s="411"/>
      <c r="L471" s="411"/>
      <c r="M471" s="411"/>
      <c r="N471" s="411"/>
      <c r="O471" s="411"/>
      <c r="P471" s="411"/>
      <c r="Q471" s="411"/>
      <c r="R471" s="411"/>
      <c r="S471" s="411"/>
      <c r="T471" s="411"/>
    </row>
    <row r="472" spans="1:20" ht="15" thickBot="1" x14ac:dyDescent="0.4">
      <c r="A472" s="447">
        <v>-97.19</v>
      </c>
      <c r="B472" s="413">
        <v>1E-3</v>
      </c>
      <c r="C472" s="413">
        <v>0.53</v>
      </c>
      <c r="D472" s="414">
        <f t="shared" si="15"/>
        <v>-9.7189999999999994</v>
      </c>
      <c r="E472" s="414"/>
      <c r="F472" s="415">
        <f t="shared" si="16"/>
        <v>-77507.94399999993</v>
      </c>
      <c r="G472" s="411"/>
      <c r="H472" s="411"/>
      <c r="I472" s="411"/>
      <c r="J472" s="411"/>
      <c r="K472" s="411"/>
      <c r="L472" s="411"/>
      <c r="M472" s="411"/>
      <c r="N472" s="411"/>
      <c r="O472" s="411"/>
      <c r="P472" s="411"/>
      <c r="Q472" s="411"/>
      <c r="R472" s="411"/>
      <c r="S472" s="411"/>
      <c r="T472" s="411"/>
    </row>
    <row r="473" spans="1:20" ht="15" thickBot="1" x14ac:dyDescent="0.4">
      <c r="A473" s="447">
        <v>-95.82</v>
      </c>
      <c r="B473" s="413">
        <v>1E-3</v>
      </c>
      <c r="C473" s="413">
        <v>0.52900000000000003</v>
      </c>
      <c r="D473" s="414">
        <f t="shared" si="15"/>
        <v>-9.581999999999999</v>
      </c>
      <c r="E473" s="414"/>
      <c r="F473" s="415">
        <f t="shared" si="16"/>
        <v>-77517.525999999925</v>
      </c>
      <c r="G473" s="411"/>
      <c r="H473" s="411"/>
      <c r="I473" s="411"/>
      <c r="J473" s="411"/>
      <c r="K473" s="411"/>
      <c r="L473" s="411"/>
      <c r="M473" s="411"/>
      <c r="N473" s="411"/>
      <c r="O473" s="411"/>
      <c r="P473" s="411"/>
      <c r="Q473" s="411"/>
      <c r="R473" s="411"/>
      <c r="S473" s="411"/>
      <c r="T473" s="411"/>
    </row>
    <row r="474" spans="1:20" ht="15" thickBot="1" x14ac:dyDescent="0.4">
      <c r="A474" s="447">
        <v>-94.65</v>
      </c>
      <c r="B474" s="413">
        <v>1E-3</v>
      </c>
      <c r="C474" s="413">
        <v>0.52800000000000002</v>
      </c>
      <c r="D474" s="414">
        <f t="shared" si="15"/>
        <v>-9.4650000000000016</v>
      </c>
      <c r="E474" s="414"/>
      <c r="F474" s="415">
        <f t="shared" si="16"/>
        <v>-77526.990999999922</v>
      </c>
      <c r="G474" s="411"/>
      <c r="H474" s="411"/>
      <c r="I474" s="411"/>
      <c r="J474" s="411"/>
      <c r="K474" s="411"/>
      <c r="L474" s="411"/>
      <c r="M474" s="411"/>
      <c r="N474" s="411"/>
      <c r="O474" s="411"/>
      <c r="P474" s="411"/>
      <c r="Q474" s="411"/>
      <c r="R474" s="411"/>
      <c r="S474" s="411"/>
      <c r="T474" s="411"/>
    </row>
    <row r="475" spans="1:20" ht="15" thickBot="1" x14ac:dyDescent="0.4">
      <c r="A475" s="447">
        <v>-92.82</v>
      </c>
      <c r="B475" s="413">
        <v>1E-3</v>
      </c>
      <c r="C475" s="413">
        <v>0.52700000000000002</v>
      </c>
      <c r="D475" s="414">
        <f t="shared" si="15"/>
        <v>-9.282</v>
      </c>
      <c r="E475" s="414"/>
      <c r="F475" s="415">
        <f t="shared" si="16"/>
        <v>-77536.272999999928</v>
      </c>
      <c r="G475" s="411"/>
      <c r="H475" s="411"/>
      <c r="I475" s="411"/>
      <c r="J475" s="411"/>
      <c r="K475" s="411"/>
      <c r="L475" s="411"/>
      <c r="M475" s="411"/>
      <c r="N475" s="411"/>
      <c r="O475" s="411"/>
      <c r="P475" s="411"/>
      <c r="Q475" s="411"/>
      <c r="R475" s="411"/>
      <c r="S475" s="411"/>
      <c r="T475" s="411"/>
    </row>
    <row r="476" spans="1:20" ht="15" thickBot="1" x14ac:dyDescent="0.4">
      <c r="A476" s="447">
        <v>-92.24</v>
      </c>
      <c r="B476" s="413">
        <v>1E-3</v>
      </c>
      <c r="C476" s="413">
        <v>0.52600000000000002</v>
      </c>
      <c r="D476" s="414">
        <f t="shared" si="15"/>
        <v>-9.2240000000000002</v>
      </c>
      <c r="E476" s="414"/>
      <c r="F476" s="415">
        <f t="shared" si="16"/>
        <v>-77545.49699999993</v>
      </c>
      <c r="G476" s="411"/>
      <c r="H476" s="411"/>
      <c r="I476" s="411"/>
      <c r="J476" s="411"/>
      <c r="K476" s="411"/>
      <c r="L476" s="411"/>
      <c r="M476" s="411"/>
      <c r="N476" s="411"/>
      <c r="O476" s="411"/>
      <c r="P476" s="411"/>
      <c r="Q476" s="411"/>
      <c r="R476" s="411"/>
      <c r="S476" s="411"/>
      <c r="T476" s="411"/>
    </row>
    <row r="477" spans="1:20" ht="15" thickBot="1" x14ac:dyDescent="0.4">
      <c r="A477" s="447">
        <v>-92</v>
      </c>
      <c r="B477" s="413">
        <v>1E-3</v>
      </c>
      <c r="C477" s="413">
        <v>0.52500000000000002</v>
      </c>
      <c r="D477" s="414">
        <f t="shared" si="15"/>
        <v>-9.1999999999999993</v>
      </c>
      <c r="E477" s="414"/>
      <c r="F477" s="415">
        <f t="shared" si="16"/>
        <v>-77554.696999999927</v>
      </c>
      <c r="G477" s="411"/>
      <c r="H477" s="411"/>
      <c r="I477" s="411"/>
      <c r="J477" s="411"/>
      <c r="K477" s="411"/>
      <c r="L477" s="411"/>
      <c r="M477" s="411"/>
      <c r="N477" s="411"/>
      <c r="O477" s="411"/>
      <c r="P477" s="411"/>
      <c r="Q477" s="411"/>
      <c r="R477" s="411"/>
      <c r="S477" s="411"/>
      <c r="T477" s="411"/>
    </row>
    <row r="478" spans="1:20" ht="15" thickBot="1" x14ac:dyDescent="0.4">
      <c r="A478" s="447">
        <v>-91.94</v>
      </c>
      <c r="B478" s="413">
        <v>1E-3</v>
      </c>
      <c r="C478" s="413">
        <v>0.52400000000000002</v>
      </c>
      <c r="D478" s="414">
        <f t="shared" si="15"/>
        <v>-9.1939999999999991</v>
      </c>
      <c r="E478" s="414"/>
      <c r="F478" s="415">
        <f t="shared" si="16"/>
        <v>-77563.890999999931</v>
      </c>
      <c r="G478" s="411"/>
      <c r="H478" s="411"/>
      <c r="I478" s="411"/>
      <c r="J478" s="411"/>
      <c r="K478" s="411"/>
      <c r="L478" s="411"/>
      <c r="M478" s="411"/>
      <c r="N478" s="411"/>
      <c r="O478" s="411"/>
      <c r="P478" s="411"/>
      <c r="Q478" s="411"/>
      <c r="R478" s="411"/>
      <c r="S478" s="411"/>
      <c r="T478" s="411"/>
    </row>
    <row r="479" spans="1:20" ht="15" thickBot="1" x14ac:dyDescent="0.4">
      <c r="A479" s="447">
        <v>-90.26</v>
      </c>
      <c r="B479" s="413">
        <v>1E-3</v>
      </c>
      <c r="C479" s="413">
        <v>0.52300000000000002</v>
      </c>
      <c r="D479" s="414">
        <f t="shared" si="15"/>
        <v>-9.0259999999999998</v>
      </c>
      <c r="E479" s="414"/>
      <c r="F479" s="415">
        <f t="shared" si="16"/>
        <v>-77572.916999999929</v>
      </c>
      <c r="G479" s="411"/>
      <c r="H479" s="411"/>
      <c r="I479" s="411"/>
      <c r="J479" s="411"/>
      <c r="K479" s="411"/>
      <c r="L479" s="411"/>
      <c r="M479" s="411"/>
      <c r="N479" s="411"/>
      <c r="O479" s="411"/>
      <c r="P479" s="411"/>
      <c r="Q479" s="411"/>
      <c r="R479" s="411"/>
      <c r="S479" s="411"/>
      <c r="T479" s="411"/>
    </row>
    <row r="480" spans="1:20" ht="15" thickBot="1" x14ac:dyDescent="0.4">
      <c r="A480" s="447">
        <v>-90.25</v>
      </c>
      <c r="B480" s="413">
        <v>1E-3</v>
      </c>
      <c r="C480" s="413">
        <v>0.52200000000000002</v>
      </c>
      <c r="D480" s="414">
        <f t="shared" si="15"/>
        <v>-9.0250000000000004</v>
      </c>
      <c r="E480" s="414"/>
      <c r="F480" s="415">
        <f t="shared" si="16"/>
        <v>-77581.941999999923</v>
      </c>
      <c r="G480" s="411"/>
      <c r="H480" s="411"/>
      <c r="I480" s="411"/>
      <c r="J480" s="411"/>
      <c r="K480" s="411"/>
      <c r="L480" s="411"/>
      <c r="M480" s="411"/>
      <c r="N480" s="411"/>
      <c r="O480" s="411"/>
      <c r="P480" s="411"/>
      <c r="Q480" s="411"/>
      <c r="R480" s="411"/>
      <c r="S480" s="411"/>
      <c r="T480" s="411"/>
    </row>
    <row r="481" spans="1:20" ht="15" thickBot="1" x14ac:dyDescent="0.4">
      <c r="A481" s="447">
        <v>-90</v>
      </c>
      <c r="B481" s="413">
        <v>1E-3</v>
      </c>
      <c r="C481" s="413">
        <v>0.52100000000000002</v>
      </c>
      <c r="D481" s="414">
        <f t="shared" si="15"/>
        <v>-9</v>
      </c>
      <c r="E481" s="414"/>
      <c r="F481" s="415">
        <f t="shared" si="16"/>
        <v>-77590.941999999923</v>
      </c>
      <c r="G481" s="411"/>
      <c r="H481" s="411"/>
      <c r="I481" s="411"/>
      <c r="J481" s="411"/>
      <c r="K481" s="411"/>
      <c r="L481" s="411"/>
      <c r="M481" s="411"/>
      <c r="N481" s="411"/>
      <c r="O481" s="411"/>
      <c r="P481" s="411"/>
      <c r="Q481" s="411"/>
      <c r="R481" s="411"/>
      <c r="S481" s="411"/>
      <c r="T481" s="411"/>
    </row>
    <row r="482" spans="1:20" ht="15" thickBot="1" x14ac:dyDescent="0.4">
      <c r="A482" s="447">
        <v>-89.96</v>
      </c>
      <c r="B482" s="413">
        <v>1E-3</v>
      </c>
      <c r="C482" s="413">
        <v>0.52</v>
      </c>
      <c r="D482" s="414">
        <f t="shared" si="15"/>
        <v>-8.9960000000000004</v>
      </c>
      <c r="E482" s="414"/>
      <c r="F482" s="415">
        <f t="shared" si="16"/>
        <v>-77599.937999999922</v>
      </c>
      <c r="G482" s="411"/>
      <c r="H482" s="411"/>
      <c r="I482" s="411"/>
      <c r="J482" s="411"/>
      <c r="K482" s="411"/>
      <c r="L482" s="411"/>
      <c r="M482" s="411"/>
      <c r="N482" s="411"/>
      <c r="O482" s="411"/>
      <c r="P482" s="411"/>
      <c r="Q482" s="411"/>
      <c r="R482" s="411"/>
      <c r="S482" s="411"/>
      <c r="T482" s="411"/>
    </row>
    <row r="483" spans="1:20" ht="15" thickBot="1" x14ac:dyDescent="0.4">
      <c r="A483" s="447">
        <v>-89.53</v>
      </c>
      <c r="B483" s="413">
        <v>1E-3</v>
      </c>
      <c r="C483" s="413">
        <v>0.51900000000000002</v>
      </c>
      <c r="D483" s="414">
        <f t="shared" si="15"/>
        <v>-8.9529999999999994</v>
      </c>
      <c r="E483" s="414"/>
      <c r="F483" s="415">
        <f t="shared" si="16"/>
        <v>-77608.890999999916</v>
      </c>
      <c r="G483" s="411"/>
      <c r="H483" s="411"/>
      <c r="I483" s="411"/>
      <c r="J483" s="411"/>
      <c r="K483" s="411"/>
      <c r="L483" s="411"/>
      <c r="M483" s="411"/>
      <c r="N483" s="411"/>
      <c r="O483" s="411"/>
      <c r="P483" s="411"/>
      <c r="Q483" s="411"/>
      <c r="R483" s="411"/>
      <c r="S483" s="411"/>
      <c r="T483" s="411"/>
    </row>
    <row r="484" spans="1:20" ht="15" thickBot="1" x14ac:dyDescent="0.4">
      <c r="A484" s="447">
        <v>-53.69</v>
      </c>
      <c r="B484" s="413">
        <v>1E-3</v>
      </c>
      <c r="C484" s="413">
        <v>0.51800000000000002</v>
      </c>
      <c r="D484" s="414">
        <f t="shared" si="15"/>
        <v>-5.3689999999999998</v>
      </c>
      <c r="E484" s="414"/>
      <c r="F484" s="415">
        <f t="shared" si="16"/>
        <v>-77614.259999999922</v>
      </c>
      <c r="G484" s="411"/>
      <c r="H484" s="411"/>
      <c r="I484" s="411"/>
      <c r="J484" s="411"/>
      <c r="K484" s="411"/>
      <c r="L484" s="411"/>
      <c r="M484" s="411"/>
      <c r="N484" s="411"/>
      <c r="O484" s="411"/>
      <c r="P484" s="411"/>
      <c r="Q484" s="411"/>
      <c r="R484" s="411"/>
      <c r="S484" s="411"/>
      <c r="T484" s="411"/>
    </row>
    <row r="485" spans="1:20" ht="15" thickBot="1" x14ac:dyDescent="0.4">
      <c r="A485" s="447">
        <v>-52.56</v>
      </c>
      <c r="B485" s="413">
        <v>1E-3</v>
      </c>
      <c r="C485" s="413">
        <v>0.51700000000000002</v>
      </c>
      <c r="D485" s="414">
        <f t="shared" si="15"/>
        <v>-5.2560000000000002</v>
      </c>
      <c r="E485" s="414"/>
      <c r="F485" s="415">
        <f t="shared" si="16"/>
        <v>-77619.515999999916</v>
      </c>
      <c r="G485" s="411"/>
      <c r="H485" s="411"/>
      <c r="I485" s="411"/>
      <c r="J485" s="411"/>
      <c r="K485" s="411"/>
      <c r="L485" s="411"/>
      <c r="M485" s="411"/>
      <c r="N485" s="411"/>
      <c r="O485" s="411"/>
      <c r="P485" s="411"/>
      <c r="Q485" s="411"/>
      <c r="R485" s="411"/>
      <c r="S485" s="411"/>
      <c r="T485" s="411"/>
    </row>
    <row r="486" spans="1:20" ht="15" thickBot="1" x14ac:dyDescent="0.4">
      <c r="A486" s="447">
        <v>-51.03</v>
      </c>
      <c r="B486" s="413">
        <v>1E-3</v>
      </c>
      <c r="C486" s="413">
        <v>0.51600000000000001</v>
      </c>
      <c r="D486" s="414">
        <f t="shared" si="15"/>
        <v>-5.1029999999999998</v>
      </c>
      <c r="E486" s="414"/>
      <c r="F486" s="415">
        <f t="shared" si="16"/>
        <v>-77624.618999999919</v>
      </c>
      <c r="G486" s="411"/>
      <c r="H486" s="411"/>
      <c r="I486" s="411"/>
      <c r="J486" s="411"/>
      <c r="K486" s="411"/>
      <c r="L486" s="411"/>
      <c r="M486" s="411"/>
      <c r="N486" s="411"/>
      <c r="O486" s="411"/>
      <c r="P486" s="411"/>
      <c r="Q486" s="411"/>
      <c r="R486" s="411"/>
      <c r="S486" s="411"/>
      <c r="T486" s="411"/>
    </row>
    <row r="487" spans="1:20" ht="15" thickBot="1" x14ac:dyDescent="0.4">
      <c r="A487" s="447">
        <v>-50.6</v>
      </c>
      <c r="B487" s="413">
        <v>1E-3</v>
      </c>
      <c r="C487" s="413">
        <v>0.51500000000000001</v>
      </c>
      <c r="D487" s="414">
        <f t="shared" si="15"/>
        <v>-5.0599999999999996</v>
      </c>
      <c r="E487" s="414"/>
      <c r="F487" s="415">
        <f t="shared" si="16"/>
        <v>-77629.678999999916</v>
      </c>
      <c r="G487" s="411"/>
      <c r="H487" s="411"/>
      <c r="I487" s="411"/>
      <c r="J487" s="411"/>
      <c r="K487" s="411"/>
      <c r="L487" s="411"/>
      <c r="M487" s="411"/>
      <c r="N487" s="411"/>
      <c r="O487" s="411"/>
      <c r="P487" s="411"/>
      <c r="Q487" s="411"/>
      <c r="R487" s="411"/>
      <c r="S487" s="411"/>
      <c r="T487" s="411"/>
    </row>
    <row r="488" spans="1:20" ht="15" thickBot="1" x14ac:dyDescent="0.4">
      <c r="A488" s="447">
        <v>-49.27</v>
      </c>
      <c r="B488" s="413">
        <v>1E-3</v>
      </c>
      <c r="C488" s="413">
        <v>0.51400000000000001</v>
      </c>
      <c r="D488" s="414">
        <f t="shared" si="15"/>
        <v>-4.9269999999999996</v>
      </c>
      <c r="E488" s="414"/>
      <c r="F488" s="415">
        <f t="shared" si="16"/>
        <v>-77634.605999999912</v>
      </c>
      <c r="G488" s="411"/>
      <c r="H488" s="411"/>
      <c r="I488" s="411"/>
      <c r="J488" s="411"/>
      <c r="K488" s="411"/>
      <c r="L488" s="411"/>
      <c r="M488" s="411"/>
      <c r="N488" s="411"/>
      <c r="O488" s="411"/>
      <c r="P488" s="411"/>
      <c r="Q488" s="411"/>
      <c r="R488" s="411"/>
      <c r="S488" s="411"/>
      <c r="T488" s="411"/>
    </row>
    <row r="489" spans="1:20" ht="15" thickBot="1" x14ac:dyDescent="0.4">
      <c r="A489" s="447">
        <v>-47.76</v>
      </c>
      <c r="B489" s="413">
        <v>1E-3</v>
      </c>
      <c r="C489" s="413">
        <v>0.51300000000000001</v>
      </c>
      <c r="D489" s="414">
        <f t="shared" si="15"/>
        <v>-4.7759999999999998</v>
      </c>
      <c r="E489" s="414"/>
      <c r="F489" s="415">
        <f t="shared" si="16"/>
        <v>-77639.38199999991</v>
      </c>
      <c r="G489" s="411"/>
      <c r="H489" s="411"/>
      <c r="I489" s="411"/>
      <c r="J489" s="411"/>
      <c r="K489" s="411"/>
      <c r="L489" s="411"/>
      <c r="M489" s="411"/>
      <c r="N489" s="411"/>
      <c r="O489" s="411"/>
      <c r="P489" s="411"/>
      <c r="Q489" s="411"/>
      <c r="R489" s="411"/>
      <c r="S489" s="411"/>
      <c r="T489" s="411"/>
    </row>
    <row r="490" spans="1:20" ht="15" thickBot="1" x14ac:dyDescent="0.4">
      <c r="A490" s="447">
        <v>-47.05</v>
      </c>
      <c r="B490" s="413">
        <v>1E-3</v>
      </c>
      <c r="C490" s="413">
        <v>0.51200000000000001</v>
      </c>
      <c r="D490" s="414">
        <f t="shared" si="15"/>
        <v>-4.7050000000000001</v>
      </c>
      <c r="E490" s="414"/>
      <c r="F490" s="415">
        <f t="shared" si="16"/>
        <v>-77644.086999999912</v>
      </c>
      <c r="G490" s="411"/>
      <c r="H490" s="411"/>
      <c r="I490" s="411"/>
      <c r="J490" s="411"/>
      <c r="K490" s="411"/>
      <c r="L490" s="411"/>
      <c r="M490" s="411"/>
      <c r="N490" s="411"/>
      <c r="O490" s="411"/>
      <c r="P490" s="411"/>
      <c r="Q490" s="411"/>
      <c r="R490" s="411"/>
      <c r="S490" s="411"/>
      <c r="T490" s="411"/>
    </row>
    <row r="491" spans="1:20" ht="15" thickBot="1" x14ac:dyDescent="0.4">
      <c r="A491" s="447">
        <v>-46</v>
      </c>
      <c r="B491" s="413">
        <v>1E-3</v>
      </c>
      <c r="C491" s="413">
        <v>0.51100000000000001</v>
      </c>
      <c r="D491" s="414">
        <f t="shared" si="15"/>
        <v>-4.5999999999999996</v>
      </c>
      <c r="E491" s="414"/>
      <c r="F491" s="415">
        <f t="shared" si="16"/>
        <v>-77648.686999999918</v>
      </c>
      <c r="G491" s="411"/>
      <c r="H491" s="411"/>
      <c r="I491" s="411"/>
      <c r="J491" s="411"/>
      <c r="K491" s="411"/>
      <c r="L491" s="411"/>
      <c r="M491" s="411"/>
      <c r="N491" s="411"/>
      <c r="O491" s="411"/>
      <c r="P491" s="411"/>
      <c r="Q491" s="411"/>
      <c r="R491" s="411"/>
      <c r="S491" s="411"/>
      <c r="T491" s="411"/>
    </row>
    <row r="492" spans="1:20" ht="15" thickBot="1" x14ac:dyDescent="0.4">
      <c r="A492" s="447">
        <v>-5.23</v>
      </c>
      <c r="B492" s="413">
        <v>1E-3</v>
      </c>
      <c r="C492" s="413">
        <v>0.51</v>
      </c>
      <c r="D492" s="414">
        <f t="shared" si="15"/>
        <v>-0.52300000000000002</v>
      </c>
      <c r="E492" s="414"/>
      <c r="F492" s="415">
        <f t="shared" si="16"/>
        <v>-77649.209999999919</v>
      </c>
      <c r="G492" s="411"/>
      <c r="H492" s="411"/>
      <c r="I492" s="411"/>
      <c r="J492" s="411"/>
      <c r="K492" s="411"/>
      <c r="L492" s="411"/>
      <c r="M492" s="411"/>
      <c r="N492" s="411"/>
      <c r="O492" s="411"/>
      <c r="P492" s="411"/>
      <c r="Q492" s="411"/>
      <c r="R492" s="411"/>
      <c r="S492" s="411"/>
      <c r="T492" s="411"/>
    </row>
    <row r="493" spans="1:20" ht="15" thickBot="1" x14ac:dyDescent="0.4">
      <c r="A493" s="447">
        <v>-5.18</v>
      </c>
      <c r="B493" s="413">
        <v>1E-3</v>
      </c>
      <c r="C493" s="413">
        <v>0.50900000000000001</v>
      </c>
      <c r="D493" s="414">
        <f t="shared" si="15"/>
        <v>-0.5179999999999999</v>
      </c>
      <c r="E493" s="414"/>
      <c r="F493" s="415">
        <f t="shared" si="16"/>
        <v>-77649.727999999915</v>
      </c>
      <c r="G493" s="411"/>
      <c r="H493" s="411"/>
      <c r="I493" s="411"/>
      <c r="J493" s="411"/>
      <c r="K493" s="411"/>
      <c r="L493" s="411"/>
      <c r="M493" s="411"/>
      <c r="N493" s="411"/>
      <c r="O493" s="411"/>
      <c r="P493" s="411"/>
      <c r="Q493" s="411"/>
      <c r="R493" s="411"/>
      <c r="S493" s="411"/>
      <c r="T493" s="411"/>
    </row>
    <row r="494" spans="1:20" ht="15" thickBot="1" x14ac:dyDescent="0.4">
      <c r="A494" s="447">
        <v>-2.94</v>
      </c>
      <c r="B494" s="413">
        <v>1E-3</v>
      </c>
      <c r="C494" s="413">
        <v>0.50800000000000001</v>
      </c>
      <c r="D494" s="414">
        <f t="shared" si="15"/>
        <v>-0.29399999999999998</v>
      </c>
      <c r="E494" s="414"/>
      <c r="F494" s="415">
        <f t="shared" si="16"/>
        <v>-77650.02199999991</v>
      </c>
      <c r="G494" s="411"/>
      <c r="H494" s="411"/>
      <c r="I494" s="411"/>
      <c r="J494" s="411"/>
      <c r="K494" s="411"/>
      <c r="L494" s="411"/>
      <c r="M494" s="411"/>
      <c r="N494" s="411"/>
      <c r="O494" s="411"/>
      <c r="P494" s="411"/>
      <c r="Q494" s="411"/>
      <c r="R494" s="411"/>
      <c r="S494" s="411"/>
      <c r="T494" s="411"/>
    </row>
    <row r="495" spans="1:20" ht="15" thickBot="1" x14ac:dyDescent="0.4">
      <c r="A495" s="447">
        <v>-2.76</v>
      </c>
      <c r="B495" s="413">
        <v>1E-3</v>
      </c>
      <c r="C495" s="413">
        <v>0.50700000000000001</v>
      </c>
      <c r="D495" s="414">
        <f t="shared" si="15"/>
        <v>-0.27599999999999997</v>
      </c>
      <c r="E495" s="414"/>
      <c r="F495" s="415">
        <f t="shared" si="16"/>
        <v>-77650.297999999908</v>
      </c>
      <c r="G495" s="411"/>
      <c r="H495" s="411"/>
      <c r="I495" s="411"/>
      <c r="J495" s="411"/>
      <c r="K495" s="411"/>
      <c r="L495" s="411"/>
      <c r="M495" s="411"/>
      <c r="N495" s="411"/>
      <c r="O495" s="411"/>
      <c r="P495" s="411"/>
      <c r="Q495" s="411"/>
      <c r="R495" s="411"/>
      <c r="S495" s="411"/>
      <c r="T495" s="411"/>
    </row>
    <row r="496" spans="1:20" ht="15" thickBot="1" x14ac:dyDescent="0.4">
      <c r="A496" s="447">
        <v>-1.86</v>
      </c>
      <c r="B496" s="413">
        <v>1E-3</v>
      </c>
      <c r="C496" s="413">
        <v>0.50600000000000001</v>
      </c>
      <c r="D496" s="414">
        <f t="shared" si="15"/>
        <v>-0.186</v>
      </c>
      <c r="E496" s="414"/>
      <c r="F496" s="415">
        <f t="shared" si="16"/>
        <v>-77650.483999999909</v>
      </c>
      <c r="G496" s="411"/>
      <c r="H496" s="411"/>
      <c r="I496" s="411"/>
      <c r="J496" s="411"/>
      <c r="K496" s="411"/>
      <c r="L496" s="411"/>
      <c r="M496" s="411"/>
      <c r="N496" s="411"/>
      <c r="O496" s="411"/>
      <c r="P496" s="411"/>
      <c r="Q496" s="411"/>
      <c r="R496" s="411"/>
      <c r="S496" s="411"/>
      <c r="T496" s="411"/>
    </row>
    <row r="497" spans="1:20" ht="15" thickBot="1" x14ac:dyDescent="0.4">
      <c r="A497" s="447">
        <v>-1.73</v>
      </c>
      <c r="B497" s="413">
        <v>1E-3</v>
      </c>
      <c r="C497" s="413">
        <v>0.505</v>
      </c>
      <c r="D497" s="414">
        <f t="shared" si="15"/>
        <v>-0.17299999999999999</v>
      </c>
      <c r="E497" s="414"/>
      <c r="F497" s="415">
        <f t="shared" si="16"/>
        <v>-77650.656999999905</v>
      </c>
      <c r="G497" s="411"/>
      <c r="H497" s="411"/>
      <c r="I497" s="411"/>
      <c r="J497" s="411"/>
      <c r="K497" s="411"/>
      <c r="L497" s="411"/>
      <c r="M497" s="411"/>
      <c r="N497" s="411"/>
      <c r="O497" s="411"/>
      <c r="P497" s="411"/>
      <c r="Q497" s="411"/>
      <c r="R497" s="411"/>
      <c r="S497" s="411"/>
      <c r="T497" s="411"/>
    </row>
    <row r="498" spans="1:20" ht="15" thickBot="1" x14ac:dyDescent="0.4">
      <c r="A498" s="447">
        <v>-1.43</v>
      </c>
      <c r="B498" s="413">
        <v>1E-3</v>
      </c>
      <c r="C498" s="413">
        <v>0.504</v>
      </c>
      <c r="D498" s="414">
        <f t="shared" si="15"/>
        <v>-0.14300000000000002</v>
      </c>
      <c r="E498" s="414"/>
      <c r="F498" s="415">
        <f t="shared" si="16"/>
        <v>-77650.799999999901</v>
      </c>
      <c r="G498" s="411"/>
      <c r="H498" s="411"/>
      <c r="I498" s="411"/>
      <c r="J498" s="411"/>
      <c r="K498" s="411"/>
      <c r="L498" s="411"/>
      <c r="M498" s="411"/>
      <c r="N498" s="411"/>
      <c r="O498" s="411"/>
      <c r="P498" s="411"/>
      <c r="Q498" s="411"/>
      <c r="R498" s="411"/>
      <c r="S498" s="411"/>
      <c r="T498" s="411"/>
    </row>
    <row r="499" spans="1:20" ht="15" thickBot="1" x14ac:dyDescent="0.4">
      <c r="A499" s="447">
        <v>-1.17</v>
      </c>
      <c r="B499" s="413">
        <v>1E-3</v>
      </c>
      <c r="C499" s="413">
        <v>0.503</v>
      </c>
      <c r="D499" s="414">
        <f t="shared" si="15"/>
        <v>-0.11700000000000001</v>
      </c>
      <c r="E499" s="414"/>
      <c r="F499" s="415">
        <f t="shared" si="16"/>
        <v>-77650.916999999899</v>
      </c>
      <c r="G499" s="411"/>
      <c r="H499" s="411"/>
      <c r="I499" s="411"/>
      <c r="J499" s="411"/>
      <c r="K499" s="411"/>
      <c r="L499" s="411"/>
      <c r="M499" s="411"/>
      <c r="N499" s="411"/>
      <c r="O499" s="411"/>
      <c r="P499" s="411"/>
      <c r="Q499" s="411"/>
      <c r="R499" s="411"/>
      <c r="S499" s="411"/>
      <c r="T499" s="411"/>
    </row>
    <row r="500" spans="1:20" ht="15" thickBot="1" x14ac:dyDescent="0.4">
      <c r="A500" s="447">
        <v>-0.76</v>
      </c>
      <c r="B500" s="413">
        <v>1E-3</v>
      </c>
      <c r="C500" s="413">
        <v>0.502</v>
      </c>
      <c r="D500" s="414">
        <f t="shared" si="15"/>
        <v>-7.5999999999999998E-2</v>
      </c>
      <c r="E500" s="414"/>
      <c r="F500" s="415">
        <f t="shared" si="16"/>
        <v>-77650.9929999999</v>
      </c>
      <c r="G500" s="411"/>
      <c r="H500" s="411"/>
      <c r="I500" s="411"/>
      <c r="J500" s="411"/>
      <c r="K500" s="411"/>
      <c r="L500" s="411"/>
      <c r="M500" s="411"/>
      <c r="N500" s="411"/>
      <c r="O500" s="411"/>
      <c r="P500" s="411"/>
      <c r="Q500" s="411"/>
      <c r="R500" s="411"/>
      <c r="S500" s="411"/>
      <c r="T500" s="411"/>
    </row>
    <row r="501" spans="1:20" ht="15" thickBot="1" x14ac:dyDescent="0.4">
      <c r="A501" s="447">
        <v>-0.71</v>
      </c>
      <c r="B501" s="413">
        <v>1E-3</v>
      </c>
      <c r="C501" s="413">
        <v>0.501</v>
      </c>
      <c r="D501" s="414">
        <f t="shared" si="15"/>
        <v>-7.0999999999999994E-2</v>
      </c>
      <c r="E501" s="414"/>
      <c r="F501" s="415">
        <f t="shared" si="16"/>
        <v>-77651.063999999897</v>
      </c>
      <c r="G501" s="411"/>
      <c r="H501" s="411"/>
      <c r="I501" s="411"/>
      <c r="J501" s="411"/>
      <c r="K501" s="411"/>
      <c r="L501" s="411"/>
      <c r="M501" s="411"/>
      <c r="N501" s="411"/>
      <c r="O501" s="411"/>
      <c r="P501" s="411"/>
      <c r="Q501" s="411"/>
      <c r="R501" s="411"/>
      <c r="S501" s="411"/>
      <c r="T501" s="411"/>
    </row>
    <row r="502" spans="1:20" ht="15" thickBot="1" x14ac:dyDescent="0.4">
      <c r="A502" s="447">
        <v>0</v>
      </c>
      <c r="B502" s="413">
        <v>1E-3</v>
      </c>
      <c r="C502" s="413">
        <v>0.5</v>
      </c>
      <c r="D502" s="414">
        <f t="shared" si="15"/>
        <v>0</v>
      </c>
      <c r="E502" s="414"/>
      <c r="F502" s="415">
        <f t="shared" si="16"/>
        <v>-77651.063999999897</v>
      </c>
      <c r="G502" s="411"/>
      <c r="H502" s="411"/>
      <c r="I502" s="411"/>
      <c r="J502" s="411"/>
      <c r="K502" s="411"/>
      <c r="L502" s="411"/>
      <c r="M502" s="411"/>
      <c r="N502" s="411"/>
      <c r="O502" s="411"/>
      <c r="P502" s="411"/>
      <c r="Q502" s="411"/>
      <c r="R502" s="411"/>
      <c r="S502" s="411"/>
      <c r="T502" s="411"/>
    </row>
    <row r="503" spans="1:20" ht="15" thickBot="1" x14ac:dyDescent="0.4">
      <c r="A503" s="447">
        <v>0</v>
      </c>
      <c r="B503" s="413">
        <v>1E-3</v>
      </c>
      <c r="C503" s="413">
        <v>0.499</v>
      </c>
      <c r="D503" s="414">
        <f t="shared" si="15"/>
        <v>0</v>
      </c>
      <c r="E503" s="414"/>
      <c r="F503" s="415">
        <f t="shared" si="16"/>
        <v>-77651.063999999897</v>
      </c>
      <c r="G503" s="411"/>
      <c r="H503" s="411"/>
      <c r="I503" s="411"/>
      <c r="J503" s="411"/>
      <c r="K503" s="411"/>
      <c r="L503" s="411"/>
      <c r="M503" s="411"/>
      <c r="N503" s="411"/>
      <c r="O503" s="411"/>
      <c r="P503" s="411"/>
      <c r="Q503" s="411"/>
      <c r="R503" s="411"/>
      <c r="S503" s="411"/>
      <c r="T503" s="411"/>
    </row>
    <row r="504" spans="1:20" ht="15" thickBot="1" x14ac:dyDescent="0.4">
      <c r="A504" s="447">
        <v>0</v>
      </c>
      <c r="B504" s="413">
        <v>1E-3</v>
      </c>
      <c r="C504" s="413">
        <v>0.498</v>
      </c>
      <c r="D504" s="414">
        <f t="shared" si="15"/>
        <v>0</v>
      </c>
      <c r="E504" s="414"/>
      <c r="F504" s="415">
        <f t="shared" si="16"/>
        <v>-77651.063999999897</v>
      </c>
      <c r="G504" s="411"/>
      <c r="H504" s="411"/>
      <c r="I504" s="411"/>
      <c r="J504" s="411"/>
      <c r="K504" s="411"/>
      <c r="L504" s="411"/>
      <c r="M504" s="411"/>
      <c r="N504" s="411"/>
      <c r="O504" s="411"/>
      <c r="P504" s="411"/>
      <c r="Q504" s="411"/>
      <c r="R504" s="411"/>
      <c r="S504" s="411"/>
      <c r="T504" s="411"/>
    </row>
    <row r="505" spans="1:20" ht="15" thickBot="1" x14ac:dyDescent="0.4">
      <c r="A505" s="447">
        <v>0</v>
      </c>
      <c r="B505" s="413">
        <v>1E-3</v>
      </c>
      <c r="C505" s="413">
        <v>0.497</v>
      </c>
      <c r="D505" s="414">
        <f t="shared" si="15"/>
        <v>0</v>
      </c>
      <c r="E505" s="414"/>
      <c r="F505" s="415">
        <f t="shared" si="16"/>
        <v>-77651.063999999897</v>
      </c>
      <c r="G505" s="411"/>
      <c r="H505" s="411"/>
      <c r="I505" s="411"/>
      <c r="J505" s="411"/>
      <c r="K505" s="411"/>
      <c r="L505" s="411"/>
      <c r="M505" s="411"/>
      <c r="N505" s="411"/>
      <c r="O505" s="411"/>
      <c r="P505" s="411"/>
      <c r="Q505" s="411"/>
      <c r="R505" s="411"/>
      <c r="S505" s="411"/>
      <c r="T505" s="411"/>
    </row>
    <row r="506" spans="1:20" ht="15" thickBot="1" x14ac:dyDescent="0.4">
      <c r="A506" s="447">
        <v>0</v>
      </c>
      <c r="B506" s="413">
        <v>1E-3</v>
      </c>
      <c r="C506" s="413">
        <v>0.496</v>
      </c>
      <c r="D506" s="414">
        <f t="shared" si="15"/>
        <v>0</v>
      </c>
      <c r="E506" s="414"/>
      <c r="F506" s="415">
        <f t="shared" si="16"/>
        <v>-77651.063999999897</v>
      </c>
      <c r="G506" s="411"/>
      <c r="H506" s="411"/>
      <c r="I506" s="411"/>
      <c r="J506" s="411"/>
      <c r="K506" s="411"/>
      <c r="L506" s="411"/>
      <c r="M506" s="411"/>
      <c r="N506" s="411"/>
      <c r="O506" s="411"/>
      <c r="P506" s="411"/>
      <c r="Q506" s="411"/>
      <c r="R506" s="411"/>
      <c r="S506" s="411"/>
      <c r="T506" s="411"/>
    </row>
    <row r="507" spans="1:20" ht="15" thickBot="1" x14ac:dyDescent="0.4">
      <c r="A507" s="447">
        <v>0</v>
      </c>
      <c r="B507" s="413">
        <v>1E-3</v>
      </c>
      <c r="C507" s="413">
        <v>0.495</v>
      </c>
      <c r="D507" s="414">
        <f t="shared" si="15"/>
        <v>0</v>
      </c>
      <c r="E507" s="414"/>
      <c r="F507" s="415">
        <f t="shared" si="16"/>
        <v>-77651.063999999897</v>
      </c>
      <c r="G507" s="411"/>
      <c r="H507" s="411"/>
      <c r="I507" s="411"/>
      <c r="J507" s="411"/>
      <c r="K507" s="411"/>
      <c r="L507" s="411"/>
      <c r="M507" s="411"/>
      <c r="N507" s="411"/>
      <c r="O507" s="411"/>
      <c r="P507" s="411"/>
      <c r="Q507" s="411"/>
      <c r="R507" s="411"/>
      <c r="S507" s="411"/>
      <c r="T507" s="411"/>
    </row>
    <row r="508" spans="1:20" ht="15" thickBot="1" x14ac:dyDescent="0.4">
      <c r="A508" s="447">
        <v>0</v>
      </c>
      <c r="B508" s="413">
        <v>1E-3</v>
      </c>
      <c r="C508" s="413">
        <v>0.49399999999999999</v>
      </c>
      <c r="D508" s="414">
        <f t="shared" si="15"/>
        <v>0</v>
      </c>
      <c r="E508" s="414"/>
      <c r="F508" s="415">
        <f t="shared" si="16"/>
        <v>-77651.063999999897</v>
      </c>
      <c r="G508" s="411"/>
      <c r="H508" s="411"/>
      <c r="I508" s="411"/>
      <c r="J508" s="411"/>
      <c r="K508" s="411"/>
      <c r="L508" s="411"/>
      <c r="M508" s="411"/>
      <c r="N508" s="411"/>
      <c r="O508" s="411"/>
      <c r="P508" s="411"/>
      <c r="Q508" s="411"/>
      <c r="R508" s="411"/>
      <c r="S508" s="411"/>
      <c r="T508" s="411"/>
    </row>
    <row r="509" spans="1:20" ht="15" thickBot="1" x14ac:dyDescent="0.4">
      <c r="A509" s="447">
        <v>0</v>
      </c>
      <c r="B509" s="413">
        <v>1E-3</v>
      </c>
      <c r="C509" s="413">
        <v>0.49299999999999999</v>
      </c>
      <c r="D509" s="414">
        <f t="shared" si="15"/>
        <v>0</v>
      </c>
      <c r="E509" s="414"/>
      <c r="F509" s="415">
        <f t="shared" si="16"/>
        <v>-77651.063999999897</v>
      </c>
      <c r="G509" s="411"/>
      <c r="H509" s="411"/>
      <c r="I509" s="411"/>
      <c r="J509" s="411"/>
      <c r="K509" s="411"/>
      <c r="L509" s="411"/>
      <c r="M509" s="411"/>
      <c r="N509" s="411"/>
      <c r="O509" s="411"/>
      <c r="P509" s="411"/>
      <c r="Q509" s="411"/>
      <c r="R509" s="411"/>
      <c r="S509" s="411"/>
      <c r="T509" s="411"/>
    </row>
    <row r="510" spans="1:20" ht="15" thickBot="1" x14ac:dyDescent="0.4">
      <c r="A510" s="447">
        <v>0</v>
      </c>
      <c r="B510" s="413">
        <v>1E-3</v>
      </c>
      <c r="C510" s="413">
        <v>0.49199999999999999</v>
      </c>
      <c r="D510" s="414">
        <f t="shared" si="15"/>
        <v>0</v>
      </c>
      <c r="E510" s="414"/>
      <c r="F510" s="415">
        <f t="shared" si="16"/>
        <v>-77651.063999999897</v>
      </c>
      <c r="G510" s="411"/>
      <c r="H510" s="411"/>
      <c r="I510" s="411"/>
      <c r="J510" s="411"/>
      <c r="K510" s="411"/>
      <c r="L510" s="411"/>
      <c r="M510" s="411"/>
      <c r="N510" s="411"/>
      <c r="O510" s="411"/>
      <c r="P510" s="411"/>
      <c r="Q510" s="411"/>
      <c r="R510" s="411"/>
      <c r="S510" s="411"/>
      <c r="T510" s="411"/>
    </row>
    <row r="511" spans="1:20" ht="15" thickBot="1" x14ac:dyDescent="0.4">
      <c r="A511" s="447">
        <v>0</v>
      </c>
      <c r="B511" s="413">
        <v>1E-3</v>
      </c>
      <c r="C511" s="413">
        <v>0.49099999999999999</v>
      </c>
      <c r="D511" s="414">
        <f t="shared" si="15"/>
        <v>0</v>
      </c>
      <c r="E511" s="414"/>
      <c r="F511" s="415">
        <f t="shared" si="16"/>
        <v>-77651.063999999897</v>
      </c>
      <c r="G511" s="411"/>
      <c r="H511" s="411"/>
      <c r="I511" s="411"/>
      <c r="J511" s="411"/>
      <c r="K511" s="411"/>
      <c r="L511" s="411"/>
      <c r="M511" s="411"/>
      <c r="N511" s="411"/>
      <c r="O511" s="411"/>
      <c r="P511" s="411"/>
      <c r="Q511" s="411"/>
      <c r="R511" s="411"/>
      <c r="S511" s="411"/>
      <c r="T511" s="411"/>
    </row>
    <row r="512" spans="1:20" ht="15" thickBot="1" x14ac:dyDescent="0.4">
      <c r="A512" s="447">
        <v>0</v>
      </c>
      <c r="B512" s="413">
        <v>1E-3</v>
      </c>
      <c r="C512" s="413">
        <v>0.49</v>
      </c>
      <c r="D512" s="414">
        <f t="shared" si="15"/>
        <v>0</v>
      </c>
      <c r="E512" s="414"/>
      <c r="F512" s="415">
        <f t="shared" si="16"/>
        <v>-77651.063999999897</v>
      </c>
      <c r="G512" s="411"/>
      <c r="H512" s="411"/>
      <c r="I512" s="411"/>
      <c r="J512" s="411"/>
      <c r="K512" s="411"/>
      <c r="L512" s="411"/>
      <c r="M512" s="411"/>
      <c r="N512" s="411"/>
      <c r="O512" s="411"/>
      <c r="P512" s="411"/>
      <c r="Q512" s="411"/>
      <c r="R512" s="411"/>
      <c r="S512" s="411"/>
      <c r="T512" s="411"/>
    </row>
    <row r="513" spans="1:20" ht="15" thickBot="1" x14ac:dyDescent="0.4">
      <c r="A513" s="447">
        <v>0</v>
      </c>
      <c r="B513" s="413">
        <v>1E-3</v>
      </c>
      <c r="C513" s="413">
        <v>0.48899999999999999</v>
      </c>
      <c r="D513" s="414">
        <f t="shared" si="15"/>
        <v>0</v>
      </c>
      <c r="E513" s="414"/>
      <c r="F513" s="415">
        <f t="shared" si="16"/>
        <v>-77651.063999999897</v>
      </c>
      <c r="G513" s="411"/>
      <c r="H513" s="411"/>
      <c r="I513" s="411"/>
      <c r="J513" s="411"/>
      <c r="K513" s="411"/>
      <c r="L513" s="411"/>
      <c r="M513" s="411"/>
      <c r="N513" s="411"/>
      <c r="O513" s="411"/>
      <c r="P513" s="411"/>
      <c r="Q513" s="411"/>
      <c r="R513" s="411"/>
      <c r="S513" s="411"/>
      <c r="T513" s="411"/>
    </row>
    <row r="514" spans="1:20" ht="15" thickBot="1" x14ac:dyDescent="0.4">
      <c r="A514" s="447">
        <v>0</v>
      </c>
      <c r="B514" s="413">
        <v>1E-3</v>
      </c>
      <c r="C514" s="413">
        <v>0.48799999999999999</v>
      </c>
      <c r="D514" s="414">
        <f t="shared" ref="D514:D577" si="17">A514*B514/1%</f>
        <v>0</v>
      </c>
      <c r="E514" s="414"/>
      <c r="F514" s="415">
        <f t="shared" si="16"/>
        <v>-77651.063999999897</v>
      </c>
      <c r="G514" s="411"/>
      <c r="H514" s="411"/>
      <c r="I514" s="411"/>
      <c r="J514" s="411"/>
      <c r="K514" s="411"/>
      <c r="L514" s="411"/>
      <c r="M514" s="411"/>
      <c r="N514" s="411"/>
      <c r="O514" s="411"/>
      <c r="P514" s="411"/>
      <c r="Q514" s="411"/>
      <c r="R514" s="411"/>
      <c r="S514" s="411"/>
      <c r="T514" s="411"/>
    </row>
    <row r="515" spans="1:20" ht="15" thickBot="1" x14ac:dyDescent="0.4">
      <c r="A515" s="447">
        <v>42.21</v>
      </c>
      <c r="B515" s="413">
        <v>1E-3</v>
      </c>
      <c r="C515" s="413">
        <v>0.48699999999999999</v>
      </c>
      <c r="D515" s="414">
        <f t="shared" si="17"/>
        <v>4.2210000000000001</v>
      </c>
      <c r="E515" s="414"/>
      <c r="F515" s="415">
        <f t="shared" ref="F515:F578" si="18">F514+D515</f>
        <v>-77646.842999999892</v>
      </c>
      <c r="G515" s="411"/>
      <c r="H515" s="411"/>
      <c r="I515" s="411"/>
      <c r="J515" s="411"/>
      <c r="K515" s="411"/>
      <c r="L515" s="411"/>
      <c r="M515" s="411"/>
      <c r="N515" s="411"/>
      <c r="O515" s="411"/>
      <c r="P515" s="411"/>
      <c r="Q515" s="411"/>
      <c r="R515" s="411"/>
      <c r="S515" s="411"/>
      <c r="T515" s="411"/>
    </row>
    <row r="516" spans="1:20" ht="15" thickBot="1" x14ac:dyDescent="0.4">
      <c r="A516" s="447">
        <v>44.14</v>
      </c>
      <c r="B516" s="413">
        <v>1E-3</v>
      </c>
      <c r="C516" s="413">
        <v>0.48599999999999999</v>
      </c>
      <c r="D516" s="414">
        <f t="shared" si="17"/>
        <v>4.4139999999999997</v>
      </c>
      <c r="E516" s="414"/>
      <c r="F516" s="415">
        <f t="shared" si="18"/>
        <v>-77642.428999999887</v>
      </c>
      <c r="G516" s="411"/>
      <c r="H516" s="411"/>
      <c r="I516" s="411"/>
      <c r="J516" s="411"/>
      <c r="K516" s="411"/>
      <c r="L516" s="411"/>
      <c r="M516" s="411"/>
      <c r="N516" s="411"/>
      <c r="O516" s="411"/>
      <c r="P516" s="411"/>
      <c r="Q516" s="411"/>
      <c r="R516" s="411"/>
      <c r="S516" s="411"/>
      <c r="T516" s="411"/>
    </row>
    <row r="517" spans="1:20" ht="15" thickBot="1" x14ac:dyDescent="0.4">
      <c r="A517" s="447">
        <v>44.52</v>
      </c>
      <c r="B517" s="413">
        <v>1E-3</v>
      </c>
      <c r="C517" s="413">
        <v>0.48499999999999999</v>
      </c>
      <c r="D517" s="414">
        <f t="shared" si="17"/>
        <v>4.452</v>
      </c>
      <c r="E517" s="414"/>
      <c r="F517" s="415">
        <f t="shared" si="18"/>
        <v>-77637.976999999883</v>
      </c>
      <c r="G517" s="411"/>
      <c r="H517" s="411"/>
      <c r="I517" s="411"/>
      <c r="J517" s="411"/>
      <c r="K517" s="411"/>
      <c r="L517" s="411"/>
      <c r="M517" s="411"/>
      <c r="N517" s="411"/>
      <c r="O517" s="411"/>
      <c r="P517" s="411"/>
      <c r="Q517" s="411"/>
      <c r="R517" s="411"/>
      <c r="S517" s="411"/>
      <c r="T517" s="411"/>
    </row>
    <row r="518" spans="1:20" ht="15" thickBot="1" x14ac:dyDescent="0.4">
      <c r="A518" s="447">
        <v>44.93</v>
      </c>
      <c r="B518" s="413">
        <v>1E-3</v>
      </c>
      <c r="C518" s="413">
        <v>0.48399999999999999</v>
      </c>
      <c r="D518" s="414">
        <f t="shared" si="17"/>
        <v>4.4929999999999994</v>
      </c>
      <c r="E518" s="414"/>
      <c r="F518" s="415">
        <f t="shared" si="18"/>
        <v>-77633.48399999988</v>
      </c>
      <c r="G518" s="411"/>
      <c r="H518" s="411"/>
      <c r="I518" s="411"/>
      <c r="J518" s="411"/>
      <c r="K518" s="411"/>
      <c r="L518" s="411"/>
      <c r="M518" s="411"/>
      <c r="N518" s="411"/>
      <c r="O518" s="411"/>
      <c r="P518" s="411"/>
      <c r="Q518" s="411"/>
      <c r="R518" s="411"/>
      <c r="S518" s="411"/>
      <c r="T518" s="411"/>
    </row>
    <row r="519" spans="1:20" ht="15" thickBot="1" x14ac:dyDescent="0.4">
      <c r="A519" s="447">
        <v>45</v>
      </c>
      <c r="B519" s="413">
        <v>1E-3</v>
      </c>
      <c r="C519" s="413">
        <v>0.48299999999999998</v>
      </c>
      <c r="D519" s="414">
        <f t="shared" si="17"/>
        <v>4.5</v>
      </c>
      <c r="E519" s="414"/>
      <c r="F519" s="415">
        <f t="shared" si="18"/>
        <v>-77628.98399999988</v>
      </c>
      <c r="G519" s="411"/>
      <c r="H519" s="411"/>
      <c r="I519" s="411"/>
      <c r="J519" s="411"/>
      <c r="K519" s="411"/>
      <c r="L519" s="411"/>
      <c r="M519" s="411"/>
      <c r="N519" s="411"/>
      <c r="O519" s="411"/>
      <c r="P519" s="411"/>
      <c r="Q519" s="411"/>
      <c r="R519" s="411"/>
      <c r="S519" s="411"/>
      <c r="T519" s="411"/>
    </row>
    <row r="520" spans="1:20" ht="15" thickBot="1" x14ac:dyDescent="0.4">
      <c r="A520" s="447">
        <v>45.53</v>
      </c>
      <c r="B520" s="413">
        <v>1E-3</v>
      </c>
      <c r="C520" s="413">
        <v>0.48199999999999998</v>
      </c>
      <c r="D520" s="414">
        <f t="shared" si="17"/>
        <v>4.5529999999999999</v>
      </c>
      <c r="E520" s="414"/>
      <c r="F520" s="415">
        <f t="shared" si="18"/>
        <v>-77624.43099999988</v>
      </c>
      <c r="G520" s="411"/>
      <c r="H520" s="411"/>
      <c r="I520" s="411"/>
      <c r="J520" s="411"/>
      <c r="K520" s="411"/>
      <c r="L520" s="411"/>
      <c r="M520" s="411"/>
      <c r="N520" s="411"/>
      <c r="O520" s="411"/>
      <c r="P520" s="411"/>
      <c r="Q520" s="411"/>
      <c r="R520" s="411"/>
      <c r="S520" s="411"/>
      <c r="T520" s="411"/>
    </row>
    <row r="521" spans="1:20" ht="15" thickBot="1" x14ac:dyDescent="0.4">
      <c r="A521" s="447">
        <v>47</v>
      </c>
      <c r="B521" s="413">
        <v>1E-3</v>
      </c>
      <c r="C521" s="413">
        <v>0.48099999999999998</v>
      </c>
      <c r="D521" s="414">
        <f t="shared" si="17"/>
        <v>4.7</v>
      </c>
      <c r="E521" s="414"/>
      <c r="F521" s="415">
        <f t="shared" si="18"/>
        <v>-77619.730999999883</v>
      </c>
      <c r="G521" s="411"/>
      <c r="H521" s="411"/>
      <c r="I521" s="411"/>
      <c r="J521" s="411"/>
      <c r="K521" s="411"/>
      <c r="L521" s="411"/>
      <c r="M521" s="411"/>
      <c r="N521" s="411"/>
      <c r="O521" s="411"/>
      <c r="P521" s="411"/>
      <c r="Q521" s="411"/>
      <c r="R521" s="411"/>
      <c r="S521" s="411"/>
      <c r="T521" s="411"/>
    </row>
    <row r="522" spans="1:20" ht="15" thickBot="1" x14ac:dyDescent="0.4">
      <c r="A522" s="447">
        <v>49.62</v>
      </c>
      <c r="B522" s="413">
        <v>1E-3</v>
      </c>
      <c r="C522" s="413">
        <v>0.48</v>
      </c>
      <c r="D522" s="414">
        <f t="shared" si="17"/>
        <v>4.9619999999999997</v>
      </c>
      <c r="E522" s="414"/>
      <c r="F522" s="415">
        <f t="shared" si="18"/>
        <v>-77614.768999999884</v>
      </c>
      <c r="G522" s="411"/>
      <c r="H522" s="411"/>
      <c r="I522" s="411"/>
      <c r="J522" s="411"/>
      <c r="K522" s="411"/>
      <c r="L522" s="411"/>
      <c r="M522" s="411"/>
      <c r="N522" s="411"/>
      <c r="O522" s="411"/>
      <c r="P522" s="411"/>
      <c r="Q522" s="411"/>
      <c r="R522" s="411"/>
      <c r="S522" s="411"/>
      <c r="T522" s="411"/>
    </row>
    <row r="523" spans="1:20" ht="15" thickBot="1" x14ac:dyDescent="0.4">
      <c r="A523" s="447">
        <v>75.599999999999994</v>
      </c>
      <c r="B523" s="413">
        <v>1E-3</v>
      </c>
      <c r="C523" s="413">
        <v>0.47899999999999998</v>
      </c>
      <c r="D523" s="414">
        <f t="shared" si="17"/>
        <v>7.56</v>
      </c>
      <c r="E523" s="414"/>
      <c r="F523" s="415">
        <f t="shared" si="18"/>
        <v>-77607.208999999886</v>
      </c>
      <c r="G523" s="411"/>
      <c r="H523" s="411"/>
      <c r="I523" s="411"/>
      <c r="J523" s="411"/>
      <c r="K523" s="411"/>
      <c r="L523" s="411"/>
      <c r="M523" s="411"/>
      <c r="N523" s="411"/>
      <c r="O523" s="411"/>
      <c r="P523" s="411"/>
      <c r="Q523" s="411"/>
      <c r="R523" s="411"/>
      <c r="S523" s="411"/>
      <c r="T523" s="411"/>
    </row>
    <row r="524" spans="1:20" ht="15" thickBot="1" x14ac:dyDescent="0.4">
      <c r="A524" s="447">
        <v>87.15</v>
      </c>
      <c r="B524" s="413">
        <v>1E-3</v>
      </c>
      <c r="C524" s="413">
        <v>0.47799999999999998</v>
      </c>
      <c r="D524" s="414">
        <f t="shared" si="17"/>
        <v>8.7149999999999999</v>
      </c>
      <c r="E524" s="414"/>
      <c r="F524" s="415">
        <f t="shared" si="18"/>
        <v>-77598.49399999989</v>
      </c>
      <c r="G524" s="411"/>
      <c r="H524" s="411"/>
      <c r="I524" s="411"/>
      <c r="J524" s="411"/>
      <c r="K524" s="411"/>
      <c r="L524" s="411"/>
      <c r="M524" s="411"/>
      <c r="N524" s="411"/>
      <c r="O524" s="411"/>
      <c r="P524" s="411"/>
      <c r="Q524" s="411"/>
      <c r="R524" s="411"/>
      <c r="S524" s="411"/>
      <c r="T524" s="411"/>
    </row>
    <row r="525" spans="1:20" ht="15" thickBot="1" x14ac:dyDescent="0.4">
      <c r="A525" s="447">
        <v>88.72</v>
      </c>
      <c r="B525" s="413">
        <v>1E-3</v>
      </c>
      <c r="C525" s="413">
        <v>0.47699999999999998</v>
      </c>
      <c r="D525" s="414">
        <f t="shared" si="17"/>
        <v>8.8719999999999999</v>
      </c>
      <c r="E525" s="414"/>
      <c r="F525" s="415">
        <f t="shared" si="18"/>
        <v>-77589.621999999887</v>
      </c>
      <c r="G525" s="411"/>
      <c r="H525" s="411"/>
      <c r="I525" s="411"/>
      <c r="J525" s="411"/>
      <c r="K525" s="411"/>
      <c r="L525" s="411"/>
      <c r="M525" s="411"/>
      <c r="N525" s="411"/>
      <c r="O525" s="411"/>
      <c r="P525" s="411"/>
      <c r="Q525" s="411"/>
      <c r="R525" s="411"/>
      <c r="S525" s="411"/>
      <c r="T525" s="411"/>
    </row>
    <row r="526" spans="1:20" ht="15" thickBot="1" x14ac:dyDescent="0.4">
      <c r="A526" s="447">
        <v>89.07</v>
      </c>
      <c r="B526" s="413">
        <v>1E-3</v>
      </c>
      <c r="C526" s="413">
        <v>0.47599999999999998</v>
      </c>
      <c r="D526" s="414">
        <f t="shared" si="17"/>
        <v>8.907</v>
      </c>
      <c r="E526" s="414"/>
      <c r="F526" s="415">
        <f t="shared" si="18"/>
        <v>-77580.71499999988</v>
      </c>
      <c r="G526" s="411"/>
      <c r="H526" s="411"/>
      <c r="I526" s="411"/>
      <c r="J526" s="411"/>
      <c r="K526" s="411"/>
      <c r="L526" s="411"/>
      <c r="M526" s="411"/>
      <c r="N526" s="411"/>
      <c r="O526" s="411"/>
      <c r="P526" s="411"/>
      <c r="Q526" s="411"/>
      <c r="R526" s="411"/>
      <c r="S526" s="411"/>
      <c r="T526" s="411"/>
    </row>
    <row r="527" spans="1:20" ht="15" thickBot="1" x14ac:dyDescent="0.4">
      <c r="A527" s="447">
        <v>89.11</v>
      </c>
      <c r="B527" s="413">
        <v>1E-3</v>
      </c>
      <c r="C527" s="413">
        <v>0.47499999999999998</v>
      </c>
      <c r="D527" s="414">
        <f t="shared" si="17"/>
        <v>8.9109999999999996</v>
      </c>
      <c r="E527" s="414"/>
      <c r="F527" s="415">
        <f t="shared" si="18"/>
        <v>-77571.803999999887</v>
      </c>
      <c r="G527" s="411"/>
      <c r="H527" s="411"/>
      <c r="I527" s="411"/>
      <c r="J527" s="411"/>
      <c r="K527" s="411"/>
      <c r="L527" s="411"/>
      <c r="M527" s="411"/>
      <c r="N527" s="411"/>
      <c r="O527" s="411"/>
      <c r="P527" s="411"/>
      <c r="Q527" s="411"/>
      <c r="R527" s="411"/>
      <c r="S527" s="411"/>
      <c r="T527" s="411"/>
    </row>
    <row r="528" spans="1:20" ht="15" thickBot="1" x14ac:dyDescent="0.4">
      <c r="A528" s="447">
        <v>89.32</v>
      </c>
      <c r="B528" s="413">
        <v>1E-3</v>
      </c>
      <c r="C528" s="413">
        <v>0.47399999999999998</v>
      </c>
      <c r="D528" s="414">
        <f t="shared" si="17"/>
        <v>8.9319999999999986</v>
      </c>
      <c r="E528" s="414"/>
      <c r="F528" s="415">
        <f t="shared" si="18"/>
        <v>-77562.871999999887</v>
      </c>
      <c r="G528" s="411"/>
      <c r="H528" s="411"/>
      <c r="I528" s="411"/>
      <c r="J528" s="411"/>
      <c r="K528" s="411"/>
      <c r="L528" s="411"/>
      <c r="M528" s="411"/>
      <c r="N528" s="411"/>
      <c r="O528" s="411"/>
      <c r="P528" s="411"/>
      <c r="Q528" s="411"/>
      <c r="R528" s="411"/>
      <c r="S528" s="411"/>
      <c r="T528" s="411"/>
    </row>
    <row r="529" spans="1:20" ht="15" thickBot="1" x14ac:dyDescent="0.4">
      <c r="A529" s="447">
        <v>89.75</v>
      </c>
      <c r="B529" s="413">
        <v>1E-3</v>
      </c>
      <c r="C529" s="413">
        <v>0.47299999999999998</v>
      </c>
      <c r="D529" s="414">
        <f t="shared" si="17"/>
        <v>8.9749999999999996</v>
      </c>
      <c r="E529" s="414"/>
      <c r="F529" s="415">
        <f t="shared" si="18"/>
        <v>-77553.896999999881</v>
      </c>
      <c r="G529" s="411"/>
      <c r="H529" s="411"/>
      <c r="I529" s="411"/>
      <c r="J529" s="411"/>
      <c r="K529" s="411"/>
      <c r="L529" s="411"/>
      <c r="M529" s="411"/>
      <c r="N529" s="411"/>
      <c r="O529" s="411"/>
      <c r="P529" s="411"/>
      <c r="Q529" s="411"/>
      <c r="R529" s="411"/>
      <c r="S529" s="411"/>
      <c r="T529" s="411"/>
    </row>
    <row r="530" spans="1:20" ht="15" thickBot="1" x14ac:dyDescent="0.4">
      <c r="A530" s="447">
        <v>91.58</v>
      </c>
      <c r="B530" s="413">
        <v>1E-3</v>
      </c>
      <c r="C530" s="413">
        <v>0.47199999999999998</v>
      </c>
      <c r="D530" s="414">
        <f t="shared" si="17"/>
        <v>9.1579999999999995</v>
      </c>
      <c r="E530" s="414"/>
      <c r="F530" s="415">
        <f t="shared" si="18"/>
        <v>-77544.738999999885</v>
      </c>
      <c r="G530" s="411"/>
      <c r="H530" s="411"/>
      <c r="I530" s="411"/>
      <c r="J530" s="411"/>
      <c r="K530" s="411"/>
      <c r="L530" s="411"/>
      <c r="M530" s="411"/>
      <c r="N530" s="411"/>
      <c r="O530" s="411"/>
      <c r="P530" s="411"/>
      <c r="Q530" s="411"/>
      <c r="R530" s="411"/>
      <c r="S530" s="411"/>
      <c r="T530" s="411"/>
    </row>
    <row r="531" spans="1:20" ht="15" thickBot="1" x14ac:dyDescent="0.4">
      <c r="A531" s="447">
        <v>91.75</v>
      </c>
      <c r="B531" s="413">
        <v>1E-3</v>
      </c>
      <c r="C531" s="413">
        <v>0.47099999999999997</v>
      </c>
      <c r="D531" s="414">
        <f t="shared" si="17"/>
        <v>9.1749999999999989</v>
      </c>
      <c r="E531" s="414"/>
      <c r="F531" s="415">
        <f t="shared" si="18"/>
        <v>-77535.563999999882</v>
      </c>
      <c r="G531" s="411"/>
      <c r="H531" s="411"/>
      <c r="I531" s="411"/>
      <c r="J531" s="411"/>
      <c r="K531" s="411"/>
      <c r="L531" s="411"/>
      <c r="M531" s="411"/>
      <c r="N531" s="411"/>
      <c r="O531" s="411"/>
      <c r="P531" s="411"/>
      <c r="Q531" s="411"/>
      <c r="R531" s="411"/>
      <c r="S531" s="411"/>
      <c r="T531" s="411"/>
    </row>
    <row r="532" spans="1:20" ht="15" thickBot="1" x14ac:dyDescent="0.4">
      <c r="A532" s="447">
        <v>92.08</v>
      </c>
      <c r="B532" s="413">
        <v>1E-3</v>
      </c>
      <c r="C532" s="413">
        <v>0.47</v>
      </c>
      <c r="D532" s="414">
        <f t="shared" si="17"/>
        <v>9.2080000000000002</v>
      </c>
      <c r="E532" s="414"/>
      <c r="F532" s="415">
        <f t="shared" si="18"/>
        <v>-77526.355999999883</v>
      </c>
      <c r="G532" s="411"/>
      <c r="H532" s="411"/>
      <c r="I532" s="411"/>
      <c r="J532" s="411"/>
      <c r="K532" s="411"/>
      <c r="L532" s="411"/>
      <c r="M532" s="411"/>
      <c r="N532" s="411"/>
      <c r="O532" s="411"/>
      <c r="P532" s="411"/>
      <c r="Q532" s="411"/>
      <c r="R532" s="411"/>
      <c r="S532" s="411"/>
      <c r="T532" s="411"/>
    </row>
    <row r="533" spans="1:20" ht="15" thickBot="1" x14ac:dyDescent="0.4">
      <c r="A533" s="447">
        <v>92.43</v>
      </c>
      <c r="B533" s="413">
        <v>1E-3</v>
      </c>
      <c r="C533" s="413">
        <v>0.46899999999999997</v>
      </c>
      <c r="D533" s="414">
        <f t="shared" si="17"/>
        <v>9.2430000000000003</v>
      </c>
      <c r="E533" s="414"/>
      <c r="F533" s="415">
        <f t="shared" si="18"/>
        <v>-77517.112999999881</v>
      </c>
      <c r="G533" s="411"/>
      <c r="H533" s="411"/>
      <c r="I533" s="411"/>
      <c r="J533" s="411"/>
      <c r="K533" s="411"/>
      <c r="L533" s="411"/>
      <c r="M533" s="411"/>
      <c r="N533" s="411"/>
      <c r="O533" s="411"/>
      <c r="P533" s="411"/>
      <c r="Q533" s="411"/>
      <c r="R533" s="411"/>
      <c r="S533" s="411"/>
      <c r="T533" s="411"/>
    </row>
    <row r="534" spans="1:20" ht="15" thickBot="1" x14ac:dyDescent="0.4">
      <c r="A534" s="447">
        <v>96.79</v>
      </c>
      <c r="B534" s="413">
        <v>1E-3</v>
      </c>
      <c r="C534" s="413">
        <v>0.46800000000000003</v>
      </c>
      <c r="D534" s="414">
        <f t="shared" si="17"/>
        <v>9.679000000000002</v>
      </c>
      <c r="E534" s="414"/>
      <c r="F534" s="415">
        <f t="shared" si="18"/>
        <v>-77507.433999999877</v>
      </c>
      <c r="G534" s="411"/>
      <c r="H534" s="411"/>
      <c r="I534" s="411"/>
      <c r="J534" s="411"/>
      <c r="K534" s="411"/>
      <c r="L534" s="411"/>
      <c r="M534" s="411"/>
      <c r="N534" s="411"/>
      <c r="O534" s="411"/>
      <c r="P534" s="411"/>
      <c r="Q534" s="411"/>
      <c r="R534" s="411"/>
      <c r="S534" s="411"/>
      <c r="T534" s="411"/>
    </row>
    <row r="535" spans="1:20" ht="15" thickBot="1" x14ac:dyDescent="0.4">
      <c r="A535" s="447">
        <v>98.44</v>
      </c>
      <c r="B535" s="413">
        <v>1E-3</v>
      </c>
      <c r="C535" s="413">
        <v>0.46700000000000003</v>
      </c>
      <c r="D535" s="414">
        <f t="shared" si="17"/>
        <v>9.8439999999999994</v>
      </c>
      <c r="E535" s="414"/>
      <c r="F535" s="415">
        <f t="shared" si="18"/>
        <v>-77497.58999999988</v>
      </c>
      <c r="G535" s="411"/>
      <c r="H535" s="411"/>
      <c r="I535" s="411"/>
      <c r="J535" s="411"/>
      <c r="K535" s="411"/>
      <c r="L535" s="411"/>
      <c r="M535" s="411"/>
      <c r="N535" s="411"/>
      <c r="O535" s="411"/>
      <c r="P535" s="411"/>
      <c r="Q535" s="411"/>
      <c r="R535" s="411"/>
      <c r="S535" s="411"/>
      <c r="T535" s="411"/>
    </row>
    <row r="536" spans="1:20" ht="15" thickBot="1" x14ac:dyDescent="0.4">
      <c r="A536" s="447">
        <v>98.44</v>
      </c>
      <c r="B536" s="413">
        <v>1E-3</v>
      </c>
      <c r="C536" s="413">
        <v>0.46600000000000003</v>
      </c>
      <c r="D536" s="414">
        <f t="shared" si="17"/>
        <v>9.8439999999999994</v>
      </c>
      <c r="E536" s="414"/>
      <c r="F536" s="415">
        <f t="shared" si="18"/>
        <v>-77487.745999999883</v>
      </c>
      <c r="G536" s="411"/>
      <c r="H536" s="411"/>
      <c r="I536" s="411"/>
      <c r="J536" s="411"/>
      <c r="K536" s="411"/>
      <c r="L536" s="411"/>
      <c r="M536" s="411"/>
      <c r="N536" s="411"/>
      <c r="O536" s="411"/>
      <c r="P536" s="411"/>
      <c r="Q536" s="411"/>
      <c r="R536" s="411"/>
      <c r="S536" s="411"/>
      <c r="T536" s="411"/>
    </row>
    <row r="537" spans="1:20" ht="15" thickBot="1" x14ac:dyDescent="0.4">
      <c r="A537" s="447">
        <v>98.49</v>
      </c>
      <c r="B537" s="413">
        <v>1E-3</v>
      </c>
      <c r="C537" s="413">
        <v>0.46500000000000002</v>
      </c>
      <c r="D537" s="414">
        <f t="shared" si="17"/>
        <v>9.8489999999999984</v>
      </c>
      <c r="E537" s="414"/>
      <c r="F537" s="415">
        <f t="shared" si="18"/>
        <v>-77477.896999999881</v>
      </c>
      <c r="G537" s="411"/>
      <c r="H537" s="411"/>
      <c r="I537" s="411"/>
      <c r="J537" s="411"/>
      <c r="K537" s="411"/>
      <c r="L537" s="411"/>
      <c r="M537" s="411"/>
      <c r="N537" s="411"/>
      <c r="O537" s="411"/>
      <c r="P537" s="411"/>
      <c r="Q537" s="411"/>
      <c r="R537" s="411"/>
      <c r="S537" s="411"/>
      <c r="T537" s="411"/>
    </row>
    <row r="538" spans="1:20" ht="15" thickBot="1" x14ac:dyDescent="0.4">
      <c r="A538" s="447">
        <v>99.03</v>
      </c>
      <c r="B538" s="413">
        <v>1E-3</v>
      </c>
      <c r="C538" s="413">
        <v>0.46400000000000002</v>
      </c>
      <c r="D538" s="414">
        <f t="shared" si="17"/>
        <v>9.9030000000000005</v>
      </c>
      <c r="E538" s="414"/>
      <c r="F538" s="415">
        <f t="shared" si="18"/>
        <v>-77467.993999999875</v>
      </c>
      <c r="G538" s="411"/>
      <c r="H538" s="411"/>
      <c r="I538" s="411"/>
      <c r="J538" s="411"/>
      <c r="K538" s="411"/>
      <c r="L538" s="411"/>
      <c r="M538" s="411"/>
      <c r="N538" s="411"/>
      <c r="O538" s="411"/>
      <c r="P538" s="411"/>
      <c r="Q538" s="411"/>
      <c r="R538" s="411"/>
      <c r="S538" s="411"/>
      <c r="T538" s="411"/>
    </row>
    <row r="539" spans="1:20" ht="15" thickBot="1" x14ac:dyDescent="0.4">
      <c r="A539" s="447">
        <v>99.75</v>
      </c>
      <c r="B539" s="413">
        <v>1E-3</v>
      </c>
      <c r="C539" s="413">
        <v>0.46300000000000002</v>
      </c>
      <c r="D539" s="414">
        <f t="shared" si="17"/>
        <v>9.9749999999999996</v>
      </c>
      <c r="E539" s="414"/>
      <c r="F539" s="415">
        <f t="shared" si="18"/>
        <v>-77458.018999999869</v>
      </c>
      <c r="G539" s="411"/>
      <c r="H539" s="411"/>
      <c r="I539" s="411"/>
      <c r="J539" s="411"/>
      <c r="K539" s="411"/>
      <c r="L539" s="411"/>
      <c r="M539" s="411"/>
      <c r="N539" s="411"/>
      <c r="O539" s="411"/>
      <c r="P539" s="411"/>
      <c r="Q539" s="411"/>
      <c r="R539" s="411"/>
      <c r="S539" s="411"/>
      <c r="T539" s="411"/>
    </row>
    <row r="540" spans="1:20" ht="15" thickBot="1" x14ac:dyDescent="0.4">
      <c r="A540" s="447">
        <v>99.77</v>
      </c>
      <c r="B540" s="413">
        <v>1E-3</v>
      </c>
      <c r="C540" s="413">
        <v>0.46200000000000002</v>
      </c>
      <c r="D540" s="414">
        <f t="shared" si="17"/>
        <v>9.9770000000000003</v>
      </c>
      <c r="E540" s="414"/>
      <c r="F540" s="415">
        <f t="shared" si="18"/>
        <v>-77448.04199999987</v>
      </c>
      <c r="G540" s="411"/>
      <c r="H540" s="411"/>
      <c r="I540" s="411"/>
      <c r="J540" s="411"/>
      <c r="K540" s="411"/>
      <c r="L540" s="411"/>
      <c r="M540" s="411"/>
      <c r="N540" s="411"/>
      <c r="O540" s="411"/>
      <c r="P540" s="411"/>
      <c r="Q540" s="411"/>
      <c r="R540" s="411"/>
      <c r="S540" s="411"/>
      <c r="T540" s="411"/>
    </row>
    <row r="541" spans="1:20" ht="15" thickBot="1" x14ac:dyDescent="0.4">
      <c r="A541" s="447">
        <v>100</v>
      </c>
      <c r="B541" s="413">
        <v>1E-3</v>
      </c>
      <c r="C541" s="413">
        <v>0.46100000000000002</v>
      </c>
      <c r="D541" s="414">
        <f t="shared" si="17"/>
        <v>10</v>
      </c>
      <c r="E541" s="414"/>
      <c r="F541" s="415">
        <f t="shared" si="18"/>
        <v>-77438.04199999987</v>
      </c>
      <c r="G541" s="411"/>
      <c r="H541" s="411"/>
      <c r="I541" s="411"/>
      <c r="J541" s="411"/>
      <c r="K541" s="411"/>
      <c r="L541" s="411"/>
      <c r="M541" s="411"/>
      <c r="N541" s="411"/>
      <c r="O541" s="411"/>
      <c r="P541" s="411"/>
      <c r="Q541" s="411"/>
      <c r="R541" s="411"/>
      <c r="S541" s="411"/>
      <c r="T541" s="411"/>
    </row>
    <row r="542" spans="1:20" ht="15" thickBot="1" x14ac:dyDescent="0.4">
      <c r="A542" s="447">
        <v>130.03</v>
      </c>
      <c r="B542" s="413">
        <v>1E-3</v>
      </c>
      <c r="C542" s="413">
        <v>0.46</v>
      </c>
      <c r="D542" s="414">
        <f t="shared" si="17"/>
        <v>13.003</v>
      </c>
      <c r="E542" s="414"/>
      <c r="F542" s="415">
        <f t="shared" si="18"/>
        <v>-77425.038999999873</v>
      </c>
      <c r="G542" s="411"/>
      <c r="H542" s="411"/>
      <c r="I542" s="411"/>
      <c r="J542" s="411"/>
      <c r="K542" s="411"/>
      <c r="L542" s="411"/>
      <c r="M542" s="411"/>
      <c r="N542" s="411"/>
      <c r="O542" s="411"/>
      <c r="P542" s="411"/>
      <c r="Q542" s="411"/>
      <c r="R542" s="411"/>
      <c r="S542" s="411"/>
      <c r="T542" s="411"/>
    </row>
    <row r="543" spans="1:20" ht="15" thickBot="1" x14ac:dyDescent="0.4">
      <c r="A543" s="447">
        <v>130.59</v>
      </c>
      <c r="B543" s="413">
        <v>1E-3</v>
      </c>
      <c r="C543" s="413">
        <v>0.45900000000000002</v>
      </c>
      <c r="D543" s="414">
        <f t="shared" si="17"/>
        <v>13.059000000000001</v>
      </c>
      <c r="E543" s="414"/>
      <c r="F543" s="415">
        <f t="shared" si="18"/>
        <v>-77411.97999999988</v>
      </c>
      <c r="G543" s="411"/>
      <c r="H543" s="411"/>
      <c r="I543" s="411"/>
      <c r="J543" s="411"/>
      <c r="K543" s="411"/>
      <c r="L543" s="411"/>
      <c r="M543" s="411"/>
      <c r="N543" s="411"/>
      <c r="O543" s="411"/>
      <c r="P543" s="411"/>
      <c r="Q543" s="411"/>
      <c r="R543" s="411"/>
      <c r="S543" s="411"/>
      <c r="T543" s="411"/>
    </row>
    <row r="544" spans="1:20" ht="15" thickBot="1" x14ac:dyDescent="0.4">
      <c r="A544" s="447">
        <v>131.96</v>
      </c>
      <c r="B544" s="413">
        <v>1E-3</v>
      </c>
      <c r="C544" s="413">
        <v>0.45800000000000002</v>
      </c>
      <c r="D544" s="414">
        <f t="shared" si="17"/>
        <v>13.196000000000002</v>
      </c>
      <c r="E544" s="414"/>
      <c r="F544" s="415">
        <f t="shared" si="18"/>
        <v>-77398.783999999883</v>
      </c>
      <c r="G544" s="411"/>
      <c r="H544" s="411"/>
      <c r="I544" s="411"/>
      <c r="J544" s="411"/>
      <c r="K544" s="411"/>
      <c r="L544" s="411"/>
      <c r="M544" s="411"/>
      <c r="N544" s="411"/>
      <c r="O544" s="411"/>
      <c r="P544" s="411"/>
      <c r="Q544" s="411"/>
      <c r="R544" s="411"/>
      <c r="S544" s="411"/>
      <c r="T544" s="411"/>
    </row>
    <row r="545" spans="1:20" ht="15" thickBot="1" x14ac:dyDescent="0.4">
      <c r="A545" s="447">
        <v>134.56</v>
      </c>
      <c r="B545" s="413">
        <v>1E-3</v>
      </c>
      <c r="C545" s="413">
        <v>0.45700000000000002</v>
      </c>
      <c r="D545" s="414">
        <f t="shared" si="17"/>
        <v>13.456000000000001</v>
      </c>
      <c r="E545" s="414"/>
      <c r="F545" s="415">
        <f t="shared" si="18"/>
        <v>-77385.327999999878</v>
      </c>
      <c r="G545" s="411"/>
      <c r="H545" s="411"/>
      <c r="I545" s="411"/>
      <c r="J545" s="411"/>
      <c r="K545" s="411"/>
      <c r="L545" s="411"/>
      <c r="M545" s="411"/>
      <c r="N545" s="411"/>
      <c r="O545" s="411"/>
      <c r="P545" s="411"/>
      <c r="Q545" s="411"/>
      <c r="R545" s="411"/>
      <c r="S545" s="411"/>
      <c r="T545" s="411"/>
    </row>
    <row r="546" spans="1:20" ht="15" thickBot="1" x14ac:dyDescent="0.4">
      <c r="A546" s="447">
        <v>135.19</v>
      </c>
      <c r="B546" s="413">
        <v>1E-3</v>
      </c>
      <c r="C546" s="413">
        <v>0.45600000000000002</v>
      </c>
      <c r="D546" s="414">
        <f t="shared" si="17"/>
        <v>13.519</v>
      </c>
      <c r="E546" s="414"/>
      <c r="F546" s="415">
        <f t="shared" si="18"/>
        <v>-77371.808999999877</v>
      </c>
      <c r="G546" s="411"/>
      <c r="H546" s="411"/>
      <c r="I546" s="411"/>
      <c r="J546" s="411"/>
      <c r="K546" s="411"/>
      <c r="L546" s="411"/>
      <c r="M546" s="411"/>
      <c r="N546" s="411"/>
      <c r="O546" s="411"/>
      <c r="P546" s="411"/>
      <c r="Q546" s="411"/>
      <c r="R546" s="411"/>
      <c r="S546" s="411"/>
      <c r="T546" s="411"/>
    </row>
    <row r="547" spans="1:20" ht="15" thickBot="1" x14ac:dyDescent="0.4">
      <c r="A547" s="447">
        <v>138</v>
      </c>
      <c r="B547" s="413">
        <v>1E-3</v>
      </c>
      <c r="C547" s="413">
        <v>0.45500000000000002</v>
      </c>
      <c r="D547" s="414">
        <f t="shared" si="17"/>
        <v>13.8</v>
      </c>
      <c r="E547" s="414"/>
      <c r="F547" s="415">
        <f t="shared" si="18"/>
        <v>-77358.008999999875</v>
      </c>
      <c r="G547" s="411"/>
      <c r="H547" s="411"/>
      <c r="I547" s="411"/>
      <c r="J547" s="411"/>
      <c r="K547" s="411"/>
      <c r="L547" s="411"/>
      <c r="M547" s="411"/>
      <c r="N547" s="411"/>
      <c r="O547" s="411"/>
      <c r="P547" s="411"/>
      <c r="Q547" s="411"/>
      <c r="R547" s="411"/>
      <c r="S547" s="411"/>
      <c r="T547" s="411"/>
    </row>
    <row r="548" spans="1:20" ht="15" thickBot="1" x14ac:dyDescent="0.4">
      <c r="A548" s="447">
        <v>138.18</v>
      </c>
      <c r="B548" s="413">
        <v>1E-3</v>
      </c>
      <c r="C548" s="413">
        <v>0.45400000000000001</v>
      </c>
      <c r="D548" s="414">
        <f t="shared" si="17"/>
        <v>13.818</v>
      </c>
      <c r="E548" s="414"/>
      <c r="F548" s="415">
        <f t="shared" si="18"/>
        <v>-77344.190999999875</v>
      </c>
      <c r="G548" s="411"/>
      <c r="H548" s="411"/>
      <c r="I548" s="411"/>
      <c r="J548" s="411"/>
      <c r="K548" s="411"/>
      <c r="L548" s="411"/>
      <c r="M548" s="411"/>
      <c r="N548" s="411"/>
      <c r="O548" s="411"/>
      <c r="P548" s="411"/>
      <c r="Q548" s="411"/>
      <c r="R548" s="411"/>
      <c r="S548" s="411"/>
      <c r="T548" s="411"/>
    </row>
    <row r="549" spans="1:20" ht="15" thickBot="1" x14ac:dyDescent="0.4">
      <c r="A549" s="447">
        <v>138.53</v>
      </c>
      <c r="B549" s="413">
        <v>1E-3</v>
      </c>
      <c r="C549" s="413">
        <v>0.45300000000000001</v>
      </c>
      <c r="D549" s="414">
        <f t="shared" si="17"/>
        <v>13.853000000000002</v>
      </c>
      <c r="E549" s="414"/>
      <c r="F549" s="415">
        <f t="shared" si="18"/>
        <v>-77330.337999999872</v>
      </c>
      <c r="G549" s="411"/>
      <c r="H549" s="411"/>
      <c r="I549" s="411"/>
      <c r="J549" s="411"/>
      <c r="K549" s="411"/>
      <c r="L549" s="411"/>
      <c r="M549" s="411"/>
      <c r="N549" s="411"/>
      <c r="O549" s="411"/>
      <c r="P549" s="411"/>
      <c r="Q549" s="411"/>
      <c r="R549" s="411"/>
      <c r="S549" s="411"/>
      <c r="T549" s="411"/>
    </row>
    <row r="550" spans="1:20" ht="15" thickBot="1" x14ac:dyDescent="0.4">
      <c r="A550" s="447">
        <v>138.79</v>
      </c>
      <c r="B550" s="413">
        <v>1E-3</v>
      </c>
      <c r="C550" s="413">
        <v>0.45200000000000001</v>
      </c>
      <c r="D550" s="414">
        <f t="shared" si="17"/>
        <v>13.879</v>
      </c>
      <c r="E550" s="414"/>
      <c r="F550" s="415">
        <f t="shared" si="18"/>
        <v>-77316.458999999872</v>
      </c>
      <c r="G550" s="411"/>
      <c r="H550" s="411"/>
      <c r="I550" s="411"/>
      <c r="J550" s="411"/>
      <c r="K550" s="411"/>
      <c r="L550" s="411"/>
      <c r="M550" s="411"/>
      <c r="N550" s="411"/>
      <c r="O550" s="411"/>
      <c r="P550" s="411"/>
      <c r="Q550" s="411"/>
      <c r="R550" s="411"/>
      <c r="S550" s="411"/>
      <c r="T550" s="411"/>
    </row>
    <row r="551" spans="1:20" ht="15" thickBot="1" x14ac:dyDescent="0.4">
      <c r="A551" s="447">
        <v>141.15</v>
      </c>
      <c r="B551" s="413">
        <v>1E-3</v>
      </c>
      <c r="C551" s="413">
        <v>0.45100000000000001</v>
      </c>
      <c r="D551" s="414">
        <f t="shared" si="17"/>
        <v>14.115</v>
      </c>
      <c r="E551" s="414"/>
      <c r="F551" s="415">
        <f t="shared" si="18"/>
        <v>-77302.343999999866</v>
      </c>
      <c r="G551" s="411"/>
      <c r="H551" s="411"/>
      <c r="I551" s="411"/>
      <c r="J551" s="411"/>
      <c r="K551" s="411"/>
      <c r="L551" s="411"/>
      <c r="M551" s="411"/>
      <c r="N551" s="411"/>
      <c r="O551" s="411"/>
      <c r="P551" s="411"/>
      <c r="Q551" s="411"/>
      <c r="R551" s="411"/>
      <c r="S551" s="411"/>
      <c r="T551" s="411"/>
    </row>
    <row r="552" spans="1:20" ht="15" thickBot="1" x14ac:dyDescent="0.4">
      <c r="A552" s="447">
        <v>149.44999999999999</v>
      </c>
      <c r="B552" s="413">
        <v>1E-3</v>
      </c>
      <c r="C552" s="413">
        <v>0.45</v>
      </c>
      <c r="D552" s="414">
        <f t="shared" si="17"/>
        <v>14.945</v>
      </c>
      <c r="E552" s="414"/>
      <c r="F552" s="415">
        <f t="shared" si="18"/>
        <v>-77287.398999999859</v>
      </c>
      <c r="G552" s="411"/>
      <c r="H552" s="411"/>
      <c r="I552" s="411"/>
      <c r="J552" s="411"/>
      <c r="K552" s="411"/>
      <c r="L552" s="411"/>
      <c r="M552" s="411"/>
      <c r="N552" s="411"/>
      <c r="O552" s="411"/>
      <c r="P552" s="411"/>
      <c r="Q552" s="411"/>
      <c r="R552" s="411"/>
      <c r="S552" s="411"/>
      <c r="T552" s="411"/>
    </row>
    <row r="553" spans="1:20" ht="15" thickBot="1" x14ac:dyDescent="0.4">
      <c r="A553" s="447">
        <v>150</v>
      </c>
      <c r="B553" s="413">
        <v>1E-3</v>
      </c>
      <c r="C553" s="413">
        <v>0.44900000000000001</v>
      </c>
      <c r="D553" s="414">
        <f t="shared" si="17"/>
        <v>15</v>
      </c>
      <c r="E553" s="414"/>
      <c r="F553" s="415">
        <f t="shared" si="18"/>
        <v>-77272.398999999859</v>
      </c>
      <c r="G553" s="411"/>
      <c r="H553" s="411"/>
      <c r="I553" s="411"/>
      <c r="J553" s="411"/>
      <c r="K553" s="411"/>
      <c r="L553" s="411"/>
      <c r="M553" s="411"/>
      <c r="N553" s="411"/>
      <c r="O553" s="411"/>
      <c r="P553" s="411"/>
      <c r="Q553" s="411"/>
      <c r="R553" s="411"/>
      <c r="S553" s="411"/>
      <c r="T553" s="411"/>
    </row>
    <row r="554" spans="1:20" ht="15" thickBot="1" x14ac:dyDescent="0.4">
      <c r="A554" s="447">
        <v>170.8</v>
      </c>
      <c r="B554" s="413">
        <v>1E-3</v>
      </c>
      <c r="C554" s="413">
        <v>0.44800000000000001</v>
      </c>
      <c r="D554" s="414">
        <f t="shared" si="17"/>
        <v>17.080000000000002</v>
      </c>
      <c r="E554" s="414"/>
      <c r="F554" s="415">
        <f t="shared" si="18"/>
        <v>-77255.318999999858</v>
      </c>
      <c r="G554" s="411"/>
      <c r="H554" s="411"/>
      <c r="I554" s="411"/>
      <c r="J554" s="411"/>
      <c r="K554" s="411"/>
      <c r="L554" s="411"/>
      <c r="M554" s="411"/>
      <c r="N554" s="411"/>
      <c r="O554" s="411"/>
      <c r="P554" s="411"/>
      <c r="Q554" s="411"/>
      <c r="R554" s="411"/>
      <c r="S554" s="411"/>
      <c r="T554" s="411"/>
    </row>
    <row r="555" spans="1:20" ht="15" thickBot="1" x14ac:dyDescent="0.4">
      <c r="A555" s="447">
        <v>175.01</v>
      </c>
      <c r="B555" s="413">
        <v>1E-3</v>
      </c>
      <c r="C555" s="413">
        <v>0.44700000000000001</v>
      </c>
      <c r="D555" s="414">
        <f t="shared" si="17"/>
        <v>17.501000000000001</v>
      </c>
      <c r="E555" s="414"/>
      <c r="F555" s="415">
        <f t="shared" si="18"/>
        <v>-77237.817999999854</v>
      </c>
      <c r="G555" s="411"/>
      <c r="H555" s="411"/>
      <c r="I555" s="411"/>
      <c r="J555" s="411"/>
      <c r="K555" s="411"/>
      <c r="L555" s="411"/>
      <c r="M555" s="411"/>
      <c r="N555" s="411"/>
      <c r="O555" s="411"/>
      <c r="P555" s="411"/>
      <c r="Q555" s="411"/>
      <c r="R555" s="411"/>
      <c r="S555" s="411"/>
      <c r="T555" s="411"/>
    </row>
    <row r="556" spans="1:20" ht="15" thickBot="1" x14ac:dyDescent="0.4">
      <c r="A556" s="447">
        <v>175.39</v>
      </c>
      <c r="B556" s="413">
        <v>1E-3</v>
      </c>
      <c r="C556" s="413">
        <v>0.44600000000000001</v>
      </c>
      <c r="D556" s="414">
        <f t="shared" si="17"/>
        <v>17.538999999999998</v>
      </c>
      <c r="E556" s="414"/>
      <c r="F556" s="415">
        <f t="shared" si="18"/>
        <v>-77220.278999999849</v>
      </c>
      <c r="G556" s="411"/>
      <c r="H556" s="411"/>
      <c r="I556" s="411"/>
      <c r="J556" s="411"/>
      <c r="K556" s="411"/>
      <c r="L556" s="411"/>
      <c r="M556" s="411"/>
      <c r="N556" s="411"/>
      <c r="O556" s="411"/>
      <c r="P556" s="411"/>
      <c r="Q556" s="411"/>
      <c r="R556" s="411"/>
      <c r="S556" s="411"/>
      <c r="T556" s="411"/>
    </row>
    <row r="557" spans="1:20" ht="15" thickBot="1" x14ac:dyDescent="0.4">
      <c r="A557" s="447">
        <v>177.93</v>
      </c>
      <c r="B557" s="413">
        <v>1E-3</v>
      </c>
      <c r="C557" s="413">
        <v>0.44500000000000001</v>
      </c>
      <c r="D557" s="414">
        <f t="shared" si="17"/>
        <v>17.792999999999999</v>
      </c>
      <c r="E557" s="414"/>
      <c r="F557" s="415">
        <f t="shared" si="18"/>
        <v>-77202.485999999844</v>
      </c>
      <c r="G557" s="411"/>
      <c r="H557" s="411"/>
      <c r="I557" s="411"/>
      <c r="J557" s="411"/>
      <c r="K557" s="411"/>
      <c r="L557" s="411"/>
      <c r="M557" s="411"/>
      <c r="N557" s="411"/>
      <c r="O557" s="411"/>
      <c r="P557" s="411"/>
      <c r="Q557" s="411"/>
      <c r="R557" s="411"/>
      <c r="S557" s="411"/>
      <c r="T557" s="411"/>
    </row>
    <row r="558" spans="1:20" ht="15" thickBot="1" x14ac:dyDescent="0.4">
      <c r="A558" s="447">
        <v>177.98</v>
      </c>
      <c r="B558" s="413">
        <v>1E-3</v>
      </c>
      <c r="C558" s="413">
        <v>0.44400000000000001</v>
      </c>
      <c r="D558" s="414">
        <f t="shared" si="17"/>
        <v>17.797999999999998</v>
      </c>
      <c r="E558" s="414"/>
      <c r="F558" s="415">
        <f t="shared" si="18"/>
        <v>-77184.687999999849</v>
      </c>
      <c r="G558" s="411"/>
      <c r="H558" s="411"/>
      <c r="I558" s="411"/>
      <c r="J558" s="411"/>
      <c r="K558" s="411"/>
      <c r="L558" s="411"/>
      <c r="M558" s="411"/>
      <c r="N558" s="411"/>
      <c r="O558" s="411"/>
      <c r="P558" s="411"/>
      <c r="Q558" s="411"/>
      <c r="R558" s="411"/>
      <c r="S558" s="411"/>
      <c r="T558" s="411"/>
    </row>
    <row r="559" spans="1:20" ht="15" thickBot="1" x14ac:dyDescent="0.4">
      <c r="A559" s="447">
        <v>178.23</v>
      </c>
      <c r="B559" s="413">
        <v>1E-3</v>
      </c>
      <c r="C559" s="413">
        <v>0.443</v>
      </c>
      <c r="D559" s="414">
        <f t="shared" si="17"/>
        <v>17.823</v>
      </c>
      <c r="E559" s="414"/>
      <c r="F559" s="415">
        <f t="shared" si="18"/>
        <v>-77166.864999999845</v>
      </c>
      <c r="G559" s="411"/>
      <c r="H559" s="411"/>
      <c r="I559" s="411"/>
      <c r="J559" s="411"/>
      <c r="K559" s="411"/>
      <c r="L559" s="411"/>
      <c r="M559" s="411"/>
      <c r="N559" s="411"/>
      <c r="O559" s="411"/>
      <c r="P559" s="411"/>
      <c r="Q559" s="411"/>
      <c r="R559" s="411"/>
      <c r="S559" s="411"/>
      <c r="T559" s="411"/>
    </row>
    <row r="560" spans="1:20" ht="15" thickBot="1" x14ac:dyDescent="0.4">
      <c r="A560" s="447">
        <v>179.21</v>
      </c>
      <c r="B560" s="413">
        <v>1E-3</v>
      </c>
      <c r="C560" s="413">
        <v>0.442</v>
      </c>
      <c r="D560" s="414">
        <f t="shared" si="17"/>
        <v>17.920999999999999</v>
      </c>
      <c r="E560" s="414"/>
      <c r="F560" s="415">
        <f t="shared" si="18"/>
        <v>-77148.943999999843</v>
      </c>
      <c r="G560" s="411"/>
      <c r="H560" s="411"/>
      <c r="I560" s="411"/>
      <c r="J560" s="411"/>
      <c r="K560" s="411"/>
      <c r="L560" s="411"/>
      <c r="M560" s="411"/>
      <c r="N560" s="411"/>
      <c r="O560" s="411"/>
      <c r="P560" s="411"/>
      <c r="Q560" s="411"/>
      <c r="R560" s="411"/>
      <c r="S560" s="411"/>
      <c r="T560" s="411"/>
    </row>
    <row r="561" spans="1:20" ht="15" thickBot="1" x14ac:dyDescent="0.4">
      <c r="A561" s="447">
        <v>179.34</v>
      </c>
      <c r="B561" s="413">
        <v>1E-3</v>
      </c>
      <c r="C561" s="413">
        <v>0.441</v>
      </c>
      <c r="D561" s="414">
        <f t="shared" si="17"/>
        <v>17.934000000000001</v>
      </c>
      <c r="E561" s="414"/>
      <c r="F561" s="415">
        <f t="shared" si="18"/>
        <v>-77131.009999999849</v>
      </c>
      <c r="G561" s="411"/>
      <c r="H561" s="411"/>
      <c r="I561" s="411"/>
      <c r="J561" s="411"/>
      <c r="K561" s="411"/>
      <c r="L561" s="411"/>
      <c r="M561" s="411"/>
      <c r="N561" s="411"/>
      <c r="O561" s="411"/>
      <c r="P561" s="411"/>
      <c r="Q561" s="411"/>
      <c r="R561" s="411"/>
      <c r="S561" s="411"/>
      <c r="T561" s="411"/>
    </row>
    <row r="562" spans="1:20" ht="15" thickBot="1" x14ac:dyDescent="0.4">
      <c r="A562" s="447">
        <v>180.26</v>
      </c>
      <c r="B562" s="413">
        <v>1E-3</v>
      </c>
      <c r="C562" s="413">
        <v>0.44</v>
      </c>
      <c r="D562" s="414">
        <f t="shared" si="17"/>
        <v>18.026</v>
      </c>
      <c r="E562" s="414"/>
      <c r="F562" s="415">
        <f t="shared" si="18"/>
        <v>-77112.983999999851</v>
      </c>
      <c r="G562" s="411"/>
      <c r="H562" s="411"/>
      <c r="I562" s="411"/>
      <c r="J562" s="411"/>
      <c r="K562" s="411"/>
      <c r="L562" s="411"/>
      <c r="M562" s="411"/>
      <c r="N562" s="411"/>
      <c r="O562" s="411"/>
      <c r="P562" s="411"/>
      <c r="Q562" s="411"/>
      <c r="R562" s="411"/>
      <c r="S562" s="411"/>
      <c r="T562" s="411"/>
    </row>
    <row r="563" spans="1:20" ht="15" thickBot="1" x14ac:dyDescent="0.4">
      <c r="A563" s="447">
        <v>183.42</v>
      </c>
      <c r="B563" s="413">
        <v>1E-3</v>
      </c>
      <c r="C563" s="413">
        <v>0.439</v>
      </c>
      <c r="D563" s="414">
        <f t="shared" si="17"/>
        <v>18.341999999999999</v>
      </c>
      <c r="E563" s="414"/>
      <c r="F563" s="415">
        <f t="shared" si="18"/>
        <v>-77094.641999999847</v>
      </c>
      <c r="G563" s="411"/>
      <c r="H563" s="411"/>
      <c r="I563" s="411"/>
      <c r="J563" s="411"/>
      <c r="K563" s="411"/>
      <c r="L563" s="411"/>
      <c r="M563" s="411"/>
      <c r="N563" s="411"/>
      <c r="O563" s="411"/>
      <c r="P563" s="411"/>
      <c r="Q563" s="411"/>
      <c r="R563" s="411"/>
      <c r="S563" s="411"/>
      <c r="T563" s="411"/>
    </row>
    <row r="564" spans="1:20" ht="15" thickBot="1" x14ac:dyDescent="0.4">
      <c r="A564" s="447">
        <v>184.24</v>
      </c>
      <c r="B564" s="413">
        <v>1E-3</v>
      </c>
      <c r="C564" s="413">
        <v>0.438</v>
      </c>
      <c r="D564" s="414">
        <f t="shared" si="17"/>
        <v>18.423999999999999</v>
      </c>
      <c r="E564" s="414"/>
      <c r="F564" s="415">
        <f t="shared" si="18"/>
        <v>-77076.217999999848</v>
      </c>
      <c r="G564" s="411"/>
      <c r="H564" s="411"/>
      <c r="I564" s="411"/>
      <c r="J564" s="411"/>
      <c r="K564" s="411"/>
      <c r="L564" s="411"/>
      <c r="M564" s="411"/>
      <c r="N564" s="411"/>
      <c r="O564" s="411"/>
      <c r="P564" s="411"/>
      <c r="Q564" s="411"/>
      <c r="R564" s="411"/>
      <c r="S564" s="411"/>
      <c r="T564" s="411"/>
    </row>
    <row r="565" spans="1:20" ht="15" thickBot="1" x14ac:dyDescent="0.4">
      <c r="A565" s="447">
        <v>185</v>
      </c>
      <c r="B565" s="413">
        <v>1E-3</v>
      </c>
      <c r="C565" s="413">
        <v>0.437</v>
      </c>
      <c r="D565" s="414">
        <f t="shared" si="17"/>
        <v>18.5</v>
      </c>
      <c r="E565" s="414"/>
      <c r="F565" s="415">
        <f t="shared" si="18"/>
        <v>-77057.717999999848</v>
      </c>
      <c r="G565" s="411"/>
      <c r="H565" s="411"/>
      <c r="I565" s="411"/>
      <c r="J565" s="411"/>
      <c r="K565" s="411"/>
      <c r="L565" s="411"/>
      <c r="M565" s="411"/>
      <c r="N565" s="411"/>
      <c r="O565" s="411"/>
      <c r="P565" s="411"/>
      <c r="Q565" s="411"/>
      <c r="R565" s="411"/>
      <c r="S565" s="411"/>
      <c r="T565" s="411"/>
    </row>
    <row r="566" spans="1:20" ht="15" thickBot="1" x14ac:dyDescent="0.4">
      <c r="A566" s="447">
        <v>194.84</v>
      </c>
      <c r="B566" s="413">
        <v>1E-3</v>
      </c>
      <c r="C566" s="413">
        <v>0.436</v>
      </c>
      <c r="D566" s="414">
        <f t="shared" si="17"/>
        <v>19.484000000000002</v>
      </c>
      <c r="E566" s="414"/>
      <c r="F566" s="415">
        <f t="shared" si="18"/>
        <v>-77038.233999999851</v>
      </c>
      <c r="G566" s="411"/>
      <c r="H566" s="411"/>
      <c r="I566" s="411"/>
      <c r="J566" s="411"/>
      <c r="K566" s="411"/>
      <c r="L566" s="411"/>
      <c r="M566" s="411"/>
      <c r="N566" s="411"/>
      <c r="O566" s="411"/>
      <c r="P566" s="411"/>
      <c r="Q566" s="411"/>
      <c r="R566" s="411"/>
      <c r="S566" s="411"/>
      <c r="T566" s="411"/>
    </row>
    <row r="567" spans="1:20" ht="15" thickBot="1" x14ac:dyDescent="0.4">
      <c r="A567" s="447">
        <v>197.84</v>
      </c>
      <c r="B567" s="413">
        <v>1E-3</v>
      </c>
      <c r="C567" s="413">
        <v>0.435</v>
      </c>
      <c r="D567" s="414">
        <f t="shared" si="17"/>
        <v>19.784000000000002</v>
      </c>
      <c r="E567" s="414"/>
      <c r="F567" s="415">
        <f t="shared" si="18"/>
        <v>-77018.449999999852</v>
      </c>
      <c r="G567" s="411"/>
      <c r="H567" s="411"/>
      <c r="I567" s="411"/>
      <c r="J567" s="411"/>
      <c r="K567" s="411"/>
      <c r="L567" s="411"/>
      <c r="M567" s="411"/>
      <c r="N567" s="411"/>
      <c r="O567" s="411"/>
      <c r="P567" s="411"/>
      <c r="Q567" s="411"/>
      <c r="R567" s="411"/>
      <c r="S567" s="411"/>
      <c r="T567" s="411"/>
    </row>
    <row r="568" spans="1:20" ht="15" thickBot="1" x14ac:dyDescent="0.4">
      <c r="A568" s="447">
        <v>198.95</v>
      </c>
      <c r="B568" s="413">
        <v>1E-3</v>
      </c>
      <c r="C568" s="413">
        <v>0.434</v>
      </c>
      <c r="D568" s="414">
        <f t="shared" si="17"/>
        <v>19.895</v>
      </c>
      <c r="E568" s="414"/>
      <c r="F568" s="415">
        <f t="shared" si="18"/>
        <v>-76998.554999999847</v>
      </c>
      <c r="G568" s="411"/>
      <c r="H568" s="411"/>
      <c r="I568" s="411"/>
      <c r="J568" s="411"/>
      <c r="K568" s="411"/>
      <c r="L568" s="411"/>
      <c r="M568" s="411"/>
      <c r="N568" s="411"/>
      <c r="O568" s="411"/>
      <c r="P568" s="411"/>
      <c r="Q568" s="411"/>
      <c r="R568" s="411"/>
      <c r="S568" s="411"/>
      <c r="T568" s="411"/>
    </row>
    <row r="569" spans="1:20" ht="15" thickBot="1" x14ac:dyDescent="0.4">
      <c r="A569" s="447">
        <v>199.81</v>
      </c>
      <c r="B569" s="413">
        <v>1E-3</v>
      </c>
      <c r="C569" s="413">
        <v>0.433</v>
      </c>
      <c r="D569" s="414">
        <f t="shared" si="17"/>
        <v>19.981000000000002</v>
      </c>
      <c r="E569" s="414"/>
      <c r="F569" s="415">
        <f t="shared" si="18"/>
        <v>-76978.573999999848</v>
      </c>
      <c r="G569" s="411"/>
      <c r="H569" s="411"/>
      <c r="I569" s="411"/>
      <c r="J569" s="411"/>
      <c r="K569" s="411"/>
      <c r="L569" s="411"/>
      <c r="M569" s="411"/>
      <c r="N569" s="411"/>
      <c r="O569" s="411"/>
      <c r="P569" s="411"/>
      <c r="Q569" s="411"/>
      <c r="R569" s="411"/>
      <c r="S569" s="411"/>
      <c r="T569" s="411"/>
    </row>
    <row r="570" spans="1:20" ht="15" thickBot="1" x14ac:dyDescent="0.4">
      <c r="A570" s="447">
        <v>200.18</v>
      </c>
      <c r="B570" s="413">
        <v>1E-3</v>
      </c>
      <c r="C570" s="413">
        <v>0.432</v>
      </c>
      <c r="D570" s="414">
        <f t="shared" si="17"/>
        <v>20.018000000000001</v>
      </c>
      <c r="E570" s="414"/>
      <c r="F570" s="415">
        <f t="shared" si="18"/>
        <v>-76958.555999999851</v>
      </c>
      <c r="G570" s="411"/>
      <c r="H570" s="411"/>
      <c r="I570" s="411"/>
      <c r="J570" s="411"/>
      <c r="K570" s="411"/>
      <c r="L570" s="411"/>
      <c r="M570" s="411"/>
      <c r="N570" s="411"/>
      <c r="O570" s="411"/>
      <c r="P570" s="411"/>
      <c r="Q570" s="411"/>
      <c r="R570" s="411"/>
      <c r="S570" s="411"/>
      <c r="T570" s="411"/>
    </row>
    <row r="571" spans="1:20" ht="15" thickBot="1" x14ac:dyDescent="0.4">
      <c r="A571" s="447">
        <v>217.99</v>
      </c>
      <c r="B571" s="413">
        <v>1E-3</v>
      </c>
      <c r="C571" s="413">
        <v>0.43099999999999999</v>
      </c>
      <c r="D571" s="414">
        <f t="shared" si="17"/>
        <v>21.798999999999999</v>
      </c>
      <c r="E571" s="414"/>
      <c r="F571" s="415">
        <f t="shared" si="18"/>
        <v>-76936.756999999852</v>
      </c>
      <c r="G571" s="411"/>
      <c r="H571" s="411"/>
      <c r="I571" s="411"/>
      <c r="J571" s="411"/>
      <c r="K571" s="411"/>
      <c r="L571" s="411"/>
      <c r="M571" s="411"/>
      <c r="N571" s="411"/>
      <c r="O571" s="411"/>
      <c r="P571" s="411"/>
      <c r="Q571" s="411"/>
      <c r="R571" s="411"/>
      <c r="S571" s="411"/>
      <c r="T571" s="411"/>
    </row>
    <row r="572" spans="1:20" ht="15" thickBot="1" x14ac:dyDescent="0.4">
      <c r="A572" s="447">
        <v>221.05</v>
      </c>
      <c r="B572" s="413">
        <v>1E-3</v>
      </c>
      <c r="C572" s="413">
        <v>0.43</v>
      </c>
      <c r="D572" s="414">
        <f t="shared" si="17"/>
        <v>22.105</v>
      </c>
      <c r="E572" s="414"/>
      <c r="F572" s="415">
        <f t="shared" si="18"/>
        <v>-76914.651999999856</v>
      </c>
      <c r="G572" s="411"/>
      <c r="H572" s="411"/>
      <c r="I572" s="411"/>
      <c r="J572" s="411"/>
      <c r="K572" s="411"/>
      <c r="L572" s="411"/>
      <c r="M572" s="411"/>
      <c r="N572" s="411"/>
      <c r="O572" s="411"/>
      <c r="P572" s="411"/>
      <c r="Q572" s="411"/>
      <c r="R572" s="411"/>
      <c r="S572" s="411"/>
      <c r="T572" s="411"/>
    </row>
    <row r="573" spans="1:20" ht="15" thickBot="1" x14ac:dyDescent="0.4">
      <c r="A573" s="447">
        <v>223.18</v>
      </c>
      <c r="B573" s="413">
        <v>1E-3</v>
      </c>
      <c r="C573" s="413">
        <v>0.42899999999999999</v>
      </c>
      <c r="D573" s="414">
        <f t="shared" si="17"/>
        <v>22.318000000000001</v>
      </c>
      <c r="E573" s="414"/>
      <c r="F573" s="415">
        <f t="shared" si="18"/>
        <v>-76892.333999999857</v>
      </c>
      <c r="G573" s="411"/>
      <c r="H573" s="411"/>
      <c r="I573" s="411"/>
      <c r="J573" s="411"/>
      <c r="K573" s="411"/>
      <c r="L573" s="411"/>
      <c r="M573" s="411"/>
      <c r="N573" s="411"/>
      <c r="O573" s="411"/>
      <c r="P573" s="411"/>
      <c r="Q573" s="411"/>
      <c r="R573" s="411"/>
      <c r="S573" s="411"/>
      <c r="T573" s="411"/>
    </row>
    <row r="574" spans="1:20" ht="15" thickBot="1" x14ac:dyDescent="0.4">
      <c r="A574" s="447">
        <v>223.45</v>
      </c>
      <c r="B574" s="413">
        <v>1E-3</v>
      </c>
      <c r="C574" s="413">
        <v>0.42799999999999999</v>
      </c>
      <c r="D574" s="414">
        <f t="shared" si="17"/>
        <v>22.344999999999999</v>
      </c>
      <c r="E574" s="414"/>
      <c r="F574" s="415">
        <f t="shared" si="18"/>
        <v>-76869.988999999856</v>
      </c>
      <c r="G574" s="411"/>
      <c r="H574" s="411"/>
      <c r="I574" s="411"/>
      <c r="J574" s="411"/>
      <c r="K574" s="411"/>
      <c r="L574" s="411"/>
      <c r="M574" s="411"/>
      <c r="N574" s="411"/>
      <c r="O574" s="411"/>
      <c r="P574" s="411"/>
      <c r="Q574" s="411"/>
      <c r="R574" s="411"/>
      <c r="S574" s="411"/>
      <c r="T574" s="411"/>
    </row>
    <row r="575" spans="1:20" ht="15" thickBot="1" x14ac:dyDescent="0.4">
      <c r="A575" s="447">
        <v>226.16</v>
      </c>
      <c r="B575" s="413">
        <v>1E-3</v>
      </c>
      <c r="C575" s="413">
        <v>0.42699999999999999</v>
      </c>
      <c r="D575" s="414">
        <f t="shared" si="17"/>
        <v>22.616</v>
      </c>
      <c r="E575" s="414"/>
      <c r="F575" s="415">
        <f t="shared" si="18"/>
        <v>-76847.372999999861</v>
      </c>
      <c r="G575" s="411"/>
      <c r="H575" s="411"/>
      <c r="I575" s="411"/>
      <c r="J575" s="411"/>
      <c r="K575" s="411"/>
      <c r="L575" s="411"/>
      <c r="M575" s="411"/>
      <c r="N575" s="411"/>
      <c r="O575" s="411"/>
      <c r="P575" s="411"/>
      <c r="Q575" s="411"/>
      <c r="R575" s="411"/>
      <c r="S575" s="411"/>
      <c r="T575" s="411"/>
    </row>
    <row r="576" spans="1:20" ht="15" thickBot="1" x14ac:dyDescent="0.4">
      <c r="A576" s="447">
        <v>228</v>
      </c>
      <c r="B576" s="413">
        <v>1E-3</v>
      </c>
      <c r="C576" s="413">
        <v>0.42599999999999999</v>
      </c>
      <c r="D576" s="414">
        <f t="shared" si="17"/>
        <v>22.8</v>
      </c>
      <c r="E576" s="414"/>
      <c r="F576" s="415">
        <f t="shared" si="18"/>
        <v>-76824.572999999858</v>
      </c>
      <c r="G576" s="411"/>
      <c r="H576" s="411"/>
      <c r="I576" s="411"/>
      <c r="J576" s="411"/>
      <c r="K576" s="411"/>
      <c r="L576" s="411"/>
      <c r="M576" s="411"/>
      <c r="N576" s="411"/>
      <c r="O576" s="411"/>
      <c r="P576" s="411"/>
      <c r="Q576" s="411"/>
      <c r="R576" s="411"/>
      <c r="S576" s="411"/>
      <c r="T576" s="411"/>
    </row>
    <row r="577" spans="1:20" ht="15" thickBot="1" x14ac:dyDescent="0.4">
      <c r="A577" s="447">
        <v>231.26</v>
      </c>
      <c r="B577" s="413">
        <v>1E-3</v>
      </c>
      <c r="C577" s="413">
        <v>0.42499999999999999</v>
      </c>
      <c r="D577" s="414">
        <f t="shared" si="17"/>
        <v>23.125999999999998</v>
      </c>
      <c r="E577" s="414"/>
      <c r="F577" s="415">
        <f t="shared" si="18"/>
        <v>-76801.446999999855</v>
      </c>
      <c r="G577" s="411"/>
      <c r="H577" s="411"/>
      <c r="I577" s="411"/>
      <c r="J577" s="411"/>
      <c r="K577" s="411"/>
      <c r="L577" s="411"/>
      <c r="M577" s="411"/>
      <c r="N577" s="411"/>
      <c r="O577" s="411"/>
      <c r="P577" s="411"/>
      <c r="Q577" s="411"/>
      <c r="R577" s="411"/>
      <c r="S577" s="411"/>
      <c r="T577" s="411"/>
    </row>
    <row r="578" spans="1:20" ht="15" thickBot="1" x14ac:dyDescent="0.4">
      <c r="A578" s="447">
        <v>232.76</v>
      </c>
      <c r="B578" s="413">
        <v>1E-3</v>
      </c>
      <c r="C578" s="413">
        <v>0.42399999999999999</v>
      </c>
      <c r="D578" s="414">
        <f t="shared" ref="D578:D641" si="19">A578*B578/1%</f>
        <v>23.276</v>
      </c>
      <c r="E578" s="414"/>
      <c r="F578" s="415">
        <f t="shared" si="18"/>
        <v>-76778.170999999857</v>
      </c>
      <c r="G578" s="411"/>
      <c r="H578" s="411"/>
      <c r="I578" s="411"/>
      <c r="J578" s="411"/>
      <c r="K578" s="411"/>
      <c r="L578" s="411"/>
      <c r="M578" s="411"/>
      <c r="N578" s="411"/>
      <c r="O578" s="411"/>
      <c r="P578" s="411"/>
      <c r="Q578" s="411"/>
      <c r="R578" s="411"/>
      <c r="S578" s="411"/>
      <c r="T578" s="411"/>
    </row>
    <row r="579" spans="1:20" ht="15" thickBot="1" x14ac:dyDescent="0.4">
      <c r="A579" s="447">
        <v>233.23</v>
      </c>
      <c r="B579" s="413">
        <v>1E-3</v>
      </c>
      <c r="C579" s="413">
        <v>0.42299999999999999</v>
      </c>
      <c r="D579" s="414">
        <f t="shared" si="19"/>
        <v>23.323</v>
      </c>
      <c r="E579" s="414"/>
      <c r="F579" s="415">
        <f t="shared" ref="F579:F642" si="20">F578+D579</f>
        <v>-76754.847999999853</v>
      </c>
      <c r="G579" s="411"/>
      <c r="H579" s="411"/>
      <c r="I579" s="411"/>
      <c r="J579" s="411"/>
      <c r="K579" s="411"/>
      <c r="L579" s="411"/>
      <c r="M579" s="411"/>
      <c r="N579" s="411"/>
      <c r="O579" s="411"/>
      <c r="P579" s="411"/>
      <c r="Q579" s="411"/>
      <c r="R579" s="411"/>
      <c r="S579" s="411"/>
      <c r="T579" s="411"/>
    </row>
    <row r="580" spans="1:20" ht="15" thickBot="1" x14ac:dyDescent="0.4">
      <c r="A580" s="447">
        <v>234.29</v>
      </c>
      <c r="B580" s="413">
        <v>1E-3</v>
      </c>
      <c r="C580" s="413">
        <v>0.42199999999999999</v>
      </c>
      <c r="D580" s="414">
        <f t="shared" si="19"/>
        <v>23.428999999999998</v>
      </c>
      <c r="E580" s="414"/>
      <c r="F580" s="415">
        <f t="shared" si="20"/>
        <v>-76731.418999999849</v>
      </c>
      <c r="G580" s="411"/>
      <c r="H580" s="411"/>
      <c r="I580" s="411"/>
      <c r="J580" s="411"/>
      <c r="K580" s="411"/>
      <c r="L580" s="411"/>
      <c r="M580" s="411"/>
      <c r="N580" s="411"/>
      <c r="O580" s="411"/>
      <c r="P580" s="411"/>
      <c r="Q580" s="411"/>
      <c r="R580" s="411"/>
      <c r="S580" s="411"/>
      <c r="T580" s="411"/>
    </row>
    <row r="581" spans="1:20" ht="15" thickBot="1" x14ac:dyDescent="0.4">
      <c r="A581" s="447">
        <v>249.28</v>
      </c>
      <c r="B581" s="413">
        <v>1E-3</v>
      </c>
      <c r="C581" s="413">
        <v>0.42099999999999999</v>
      </c>
      <c r="D581" s="414">
        <f t="shared" si="19"/>
        <v>24.928000000000001</v>
      </c>
      <c r="E581" s="414"/>
      <c r="F581" s="415">
        <f t="shared" si="20"/>
        <v>-76706.490999999849</v>
      </c>
      <c r="G581" s="411"/>
      <c r="H581" s="411"/>
      <c r="I581" s="411"/>
      <c r="J581" s="411"/>
      <c r="K581" s="411"/>
      <c r="L581" s="411"/>
      <c r="M581" s="411"/>
      <c r="N581" s="411"/>
      <c r="O581" s="411"/>
      <c r="P581" s="411"/>
      <c r="Q581" s="411"/>
      <c r="R581" s="411"/>
      <c r="S581" s="411"/>
      <c r="T581" s="411"/>
    </row>
    <row r="582" spans="1:20" ht="15" thickBot="1" x14ac:dyDescent="0.4">
      <c r="A582" s="447">
        <v>250.61</v>
      </c>
      <c r="B582" s="413">
        <v>1E-3</v>
      </c>
      <c r="C582" s="413">
        <v>0.42</v>
      </c>
      <c r="D582" s="414">
        <f t="shared" si="19"/>
        <v>25.061</v>
      </c>
      <c r="E582" s="414"/>
      <c r="F582" s="415">
        <f t="shared" si="20"/>
        <v>-76681.429999999847</v>
      </c>
      <c r="G582" s="411"/>
      <c r="H582" s="411"/>
      <c r="I582" s="411"/>
      <c r="J582" s="411"/>
      <c r="K582" s="411"/>
      <c r="L582" s="411"/>
      <c r="M582" s="411"/>
      <c r="N582" s="411"/>
      <c r="O582" s="411"/>
      <c r="P582" s="411"/>
      <c r="Q582" s="411"/>
      <c r="R582" s="411"/>
      <c r="S582" s="411"/>
      <c r="T582" s="411"/>
    </row>
    <row r="583" spans="1:20" ht="15" thickBot="1" x14ac:dyDescent="0.4">
      <c r="A583" s="447">
        <v>256.61</v>
      </c>
      <c r="B583" s="413">
        <v>1E-3</v>
      </c>
      <c r="C583" s="413">
        <v>0.41899999999999998</v>
      </c>
      <c r="D583" s="414">
        <f t="shared" si="19"/>
        <v>25.661000000000001</v>
      </c>
      <c r="E583" s="414"/>
      <c r="F583" s="415">
        <f t="shared" si="20"/>
        <v>-76655.768999999855</v>
      </c>
      <c r="G583" s="411"/>
      <c r="H583" s="411"/>
      <c r="I583" s="411"/>
      <c r="J583" s="411"/>
      <c r="K583" s="411"/>
      <c r="L583" s="411"/>
      <c r="M583" s="411"/>
      <c r="N583" s="411"/>
      <c r="O583" s="411"/>
      <c r="P583" s="411"/>
      <c r="Q583" s="411"/>
      <c r="R583" s="411"/>
      <c r="S583" s="411"/>
      <c r="T583" s="411"/>
    </row>
    <row r="584" spans="1:20" ht="15" thickBot="1" x14ac:dyDescent="0.4">
      <c r="A584" s="447">
        <v>257.45</v>
      </c>
      <c r="B584" s="413">
        <v>1E-3</v>
      </c>
      <c r="C584" s="413">
        <v>0.41799999999999998</v>
      </c>
      <c r="D584" s="414">
        <f t="shared" si="19"/>
        <v>25.745000000000001</v>
      </c>
      <c r="E584" s="414"/>
      <c r="F584" s="415">
        <f t="shared" si="20"/>
        <v>-76630.023999999859</v>
      </c>
      <c r="G584" s="411"/>
      <c r="H584" s="411"/>
      <c r="I584" s="411"/>
      <c r="J584" s="411"/>
      <c r="K584" s="411"/>
      <c r="L584" s="411"/>
      <c r="M584" s="411"/>
      <c r="N584" s="411"/>
      <c r="O584" s="411"/>
      <c r="P584" s="411"/>
      <c r="Q584" s="411"/>
      <c r="R584" s="411"/>
      <c r="S584" s="411"/>
      <c r="T584" s="411"/>
    </row>
    <row r="585" spans="1:20" ht="15" thickBot="1" x14ac:dyDescent="0.4">
      <c r="A585" s="447">
        <v>258.83999999999997</v>
      </c>
      <c r="B585" s="413">
        <v>1E-3</v>
      </c>
      <c r="C585" s="413">
        <v>0.41699999999999998</v>
      </c>
      <c r="D585" s="414">
        <f t="shared" si="19"/>
        <v>25.883999999999997</v>
      </c>
      <c r="E585" s="414"/>
      <c r="F585" s="415">
        <f t="shared" si="20"/>
        <v>-76604.139999999854</v>
      </c>
      <c r="G585" s="411"/>
      <c r="H585" s="411"/>
      <c r="I585" s="411"/>
      <c r="J585" s="411"/>
      <c r="K585" s="411"/>
      <c r="L585" s="411"/>
      <c r="M585" s="411"/>
      <c r="N585" s="411"/>
      <c r="O585" s="411"/>
      <c r="P585" s="411"/>
      <c r="Q585" s="411"/>
      <c r="R585" s="411"/>
      <c r="S585" s="411"/>
      <c r="T585" s="411"/>
    </row>
    <row r="586" spans="1:20" ht="15" thickBot="1" x14ac:dyDescent="0.4">
      <c r="A586" s="447">
        <v>266.70999999999998</v>
      </c>
      <c r="B586" s="413">
        <v>1E-3</v>
      </c>
      <c r="C586" s="413">
        <v>0.41599999999999998</v>
      </c>
      <c r="D586" s="414">
        <f t="shared" si="19"/>
        <v>26.670999999999999</v>
      </c>
      <c r="E586" s="414"/>
      <c r="F586" s="415">
        <f t="shared" si="20"/>
        <v>-76577.468999999852</v>
      </c>
      <c r="G586" s="411"/>
      <c r="H586" s="411"/>
      <c r="I586" s="411"/>
      <c r="J586" s="411"/>
      <c r="K586" s="411"/>
      <c r="L586" s="411"/>
      <c r="M586" s="411"/>
      <c r="N586" s="411"/>
      <c r="O586" s="411"/>
      <c r="P586" s="411"/>
      <c r="Q586" s="411"/>
      <c r="R586" s="411"/>
      <c r="S586" s="411"/>
      <c r="T586" s="411"/>
    </row>
    <row r="587" spans="1:20" ht="15" thickBot="1" x14ac:dyDescent="0.4">
      <c r="A587" s="447">
        <v>267.89</v>
      </c>
      <c r="B587" s="413">
        <v>1E-3</v>
      </c>
      <c r="C587" s="413">
        <v>0.41499999999999998</v>
      </c>
      <c r="D587" s="414">
        <f t="shared" si="19"/>
        <v>26.789000000000001</v>
      </c>
      <c r="E587" s="414"/>
      <c r="F587" s="415">
        <f t="shared" si="20"/>
        <v>-76550.679999999847</v>
      </c>
      <c r="G587" s="411"/>
      <c r="H587" s="411"/>
      <c r="I587" s="411"/>
      <c r="J587" s="411"/>
      <c r="K587" s="411"/>
      <c r="L587" s="411"/>
      <c r="M587" s="411"/>
      <c r="N587" s="411"/>
      <c r="O587" s="411"/>
      <c r="P587" s="411"/>
      <c r="Q587" s="411"/>
      <c r="R587" s="411"/>
      <c r="S587" s="411"/>
      <c r="T587" s="411"/>
    </row>
    <row r="588" spans="1:20" ht="15" thickBot="1" x14ac:dyDescent="0.4">
      <c r="A588" s="447">
        <v>268.05</v>
      </c>
      <c r="B588" s="413">
        <v>1E-3</v>
      </c>
      <c r="C588" s="413">
        <v>0.41399999999999998</v>
      </c>
      <c r="D588" s="414">
        <f t="shared" si="19"/>
        <v>26.805</v>
      </c>
      <c r="E588" s="414"/>
      <c r="F588" s="415">
        <f t="shared" si="20"/>
        <v>-76523.874999999854</v>
      </c>
      <c r="G588" s="411"/>
      <c r="H588" s="411"/>
      <c r="I588" s="411"/>
      <c r="J588" s="411"/>
      <c r="K588" s="411"/>
      <c r="L588" s="411"/>
      <c r="M588" s="411"/>
      <c r="N588" s="411"/>
      <c r="O588" s="411"/>
      <c r="P588" s="411"/>
      <c r="Q588" s="411"/>
      <c r="R588" s="411"/>
      <c r="S588" s="411"/>
      <c r="T588" s="411"/>
    </row>
    <row r="589" spans="1:20" ht="15" thickBot="1" x14ac:dyDescent="0.4">
      <c r="A589" s="447">
        <v>268.43</v>
      </c>
      <c r="B589" s="413">
        <v>1E-3</v>
      </c>
      <c r="C589" s="413">
        <v>0.41299999999999998</v>
      </c>
      <c r="D589" s="414">
        <f t="shared" si="19"/>
        <v>26.843</v>
      </c>
      <c r="E589" s="414"/>
      <c r="F589" s="415">
        <f t="shared" si="20"/>
        <v>-76497.031999999861</v>
      </c>
      <c r="G589" s="411"/>
      <c r="H589" s="411"/>
      <c r="I589" s="411"/>
      <c r="J589" s="411"/>
      <c r="K589" s="411"/>
      <c r="L589" s="411"/>
      <c r="M589" s="411"/>
      <c r="N589" s="411"/>
      <c r="O589" s="411"/>
      <c r="P589" s="411"/>
      <c r="Q589" s="411"/>
      <c r="R589" s="411"/>
      <c r="S589" s="411"/>
      <c r="T589" s="411"/>
    </row>
    <row r="590" spans="1:20" ht="15" thickBot="1" x14ac:dyDescent="0.4">
      <c r="A590" s="447">
        <v>268.55</v>
      </c>
      <c r="B590" s="413">
        <v>1E-3</v>
      </c>
      <c r="C590" s="413">
        <v>0.41199999999999998</v>
      </c>
      <c r="D590" s="414">
        <f t="shared" si="19"/>
        <v>26.855</v>
      </c>
      <c r="E590" s="414"/>
      <c r="F590" s="415">
        <f t="shared" si="20"/>
        <v>-76470.176999999865</v>
      </c>
      <c r="G590" s="411"/>
      <c r="H590" s="411"/>
      <c r="I590" s="411"/>
      <c r="J590" s="411"/>
      <c r="K590" s="411"/>
      <c r="L590" s="411"/>
      <c r="M590" s="411"/>
      <c r="N590" s="411"/>
      <c r="O590" s="411"/>
      <c r="P590" s="411"/>
      <c r="Q590" s="411"/>
      <c r="R590" s="411"/>
      <c r="S590" s="411"/>
      <c r="T590" s="411"/>
    </row>
    <row r="591" spans="1:20" ht="15" thickBot="1" x14ac:dyDescent="0.4">
      <c r="A591" s="447">
        <v>268.57</v>
      </c>
      <c r="B591" s="413">
        <v>1E-3</v>
      </c>
      <c r="C591" s="413">
        <v>0.41099999999999998</v>
      </c>
      <c r="D591" s="414">
        <f t="shared" si="19"/>
        <v>26.856999999999996</v>
      </c>
      <c r="E591" s="414"/>
      <c r="F591" s="415">
        <f t="shared" si="20"/>
        <v>-76443.319999999861</v>
      </c>
      <c r="G591" s="411"/>
      <c r="H591" s="411"/>
      <c r="I591" s="411"/>
      <c r="J591" s="411"/>
      <c r="K591" s="411"/>
      <c r="L591" s="411"/>
      <c r="M591" s="411"/>
      <c r="N591" s="411"/>
      <c r="O591" s="411"/>
      <c r="P591" s="411"/>
      <c r="Q591" s="411"/>
      <c r="R591" s="411"/>
      <c r="S591" s="411"/>
      <c r="T591" s="411"/>
    </row>
    <row r="592" spans="1:20" ht="15" thickBot="1" x14ac:dyDescent="0.4">
      <c r="A592" s="447">
        <v>272.85000000000002</v>
      </c>
      <c r="B592" s="413">
        <v>1E-3</v>
      </c>
      <c r="C592" s="413">
        <v>0.41</v>
      </c>
      <c r="D592" s="414">
        <f t="shared" si="19"/>
        <v>27.285000000000004</v>
      </c>
      <c r="E592" s="414"/>
      <c r="F592" s="415">
        <f t="shared" si="20"/>
        <v>-76416.034999999858</v>
      </c>
      <c r="G592" s="411"/>
      <c r="H592" s="411"/>
      <c r="I592" s="411"/>
      <c r="J592" s="411"/>
      <c r="K592" s="411"/>
      <c r="L592" s="411"/>
      <c r="M592" s="411"/>
      <c r="N592" s="411"/>
      <c r="O592" s="411"/>
      <c r="P592" s="411"/>
      <c r="Q592" s="411"/>
      <c r="R592" s="411"/>
      <c r="S592" s="411"/>
      <c r="T592" s="411"/>
    </row>
    <row r="593" spans="1:20" ht="15" thickBot="1" x14ac:dyDescent="0.4">
      <c r="A593" s="447">
        <v>277.61</v>
      </c>
      <c r="B593" s="413">
        <v>1E-3</v>
      </c>
      <c r="C593" s="413">
        <v>0.40899999999999997</v>
      </c>
      <c r="D593" s="414">
        <f t="shared" si="19"/>
        <v>27.761000000000003</v>
      </c>
      <c r="E593" s="414"/>
      <c r="F593" s="415">
        <f t="shared" si="20"/>
        <v>-76388.273999999859</v>
      </c>
      <c r="G593" s="411"/>
      <c r="H593" s="411"/>
      <c r="I593" s="411"/>
      <c r="J593" s="411"/>
      <c r="K593" s="411"/>
      <c r="L593" s="411"/>
      <c r="M593" s="411"/>
      <c r="N593" s="411"/>
      <c r="O593" s="411"/>
      <c r="P593" s="411"/>
      <c r="Q593" s="411"/>
      <c r="R593" s="411"/>
      <c r="S593" s="411"/>
      <c r="T593" s="411"/>
    </row>
    <row r="594" spans="1:20" ht="15" thickBot="1" x14ac:dyDescent="0.4">
      <c r="A594" s="447">
        <v>277.72000000000003</v>
      </c>
      <c r="B594" s="413">
        <v>1E-3</v>
      </c>
      <c r="C594" s="413">
        <v>0.40799999999999997</v>
      </c>
      <c r="D594" s="414">
        <f t="shared" si="19"/>
        <v>27.772000000000002</v>
      </c>
      <c r="E594" s="414"/>
      <c r="F594" s="415">
        <f t="shared" si="20"/>
        <v>-76360.501999999862</v>
      </c>
      <c r="G594" s="411"/>
      <c r="H594" s="411"/>
      <c r="I594" s="411"/>
      <c r="J594" s="411"/>
      <c r="K594" s="411"/>
      <c r="L594" s="411"/>
      <c r="M594" s="411"/>
      <c r="N594" s="411"/>
      <c r="O594" s="411"/>
      <c r="P594" s="411"/>
      <c r="Q594" s="411"/>
      <c r="R594" s="411"/>
      <c r="S594" s="411"/>
      <c r="T594" s="411"/>
    </row>
    <row r="595" spans="1:20" ht="15" thickBot="1" x14ac:dyDescent="0.4">
      <c r="A595" s="447">
        <v>278.45999999999998</v>
      </c>
      <c r="B595" s="413">
        <v>1E-3</v>
      </c>
      <c r="C595" s="413">
        <v>0.40699999999999997</v>
      </c>
      <c r="D595" s="414">
        <f t="shared" si="19"/>
        <v>27.845999999999997</v>
      </c>
      <c r="E595" s="414"/>
      <c r="F595" s="415">
        <f t="shared" si="20"/>
        <v>-76332.655999999857</v>
      </c>
      <c r="G595" s="411"/>
      <c r="H595" s="411"/>
      <c r="I595" s="411"/>
      <c r="J595" s="411"/>
      <c r="K595" s="411"/>
      <c r="L595" s="411"/>
      <c r="M595" s="411"/>
      <c r="N595" s="411"/>
      <c r="O595" s="411"/>
      <c r="P595" s="411"/>
      <c r="Q595" s="411"/>
      <c r="R595" s="411"/>
      <c r="S595" s="411"/>
      <c r="T595" s="411"/>
    </row>
    <row r="596" spans="1:20" ht="15" thickBot="1" x14ac:dyDescent="0.4">
      <c r="A596" s="447">
        <v>279</v>
      </c>
      <c r="B596" s="413">
        <v>1E-3</v>
      </c>
      <c r="C596" s="413">
        <v>0.40600000000000003</v>
      </c>
      <c r="D596" s="414">
        <f t="shared" si="19"/>
        <v>27.900000000000002</v>
      </c>
      <c r="E596" s="414"/>
      <c r="F596" s="415">
        <f t="shared" si="20"/>
        <v>-76304.755999999863</v>
      </c>
      <c r="G596" s="411"/>
      <c r="H596" s="411"/>
      <c r="I596" s="411"/>
      <c r="J596" s="411"/>
      <c r="K596" s="411"/>
      <c r="L596" s="411"/>
      <c r="M596" s="411"/>
      <c r="N596" s="411"/>
      <c r="O596" s="411"/>
      <c r="P596" s="411"/>
      <c r="Q596" s="411"/>
      <c r="R596" s="411"/>
      <c r="S596" s="411"/>
      <c r="T596" s="411"/>
    </row>
    <row r="597" spans="1:20" ht="15" thickBot="1" x14ac:dyDescent="0.4">
      <c r="A597" s="447">
        <v>279.95</v>
      </c>
      <c r="B597" s="413">
        <v>1E-3</v>
      </c>
      <c r="C597" s="413">
        <v>0.40500000000000003</v>
      </c>
      <c r="D597" s="414">
        <f t="shared" si="19"/>
        <v>27.994999999999997</v>
      </c>
      <c r="E597" s="414"/>
      <c r="F597" s="415">
        <f t="shared" si="20"/>
        <v>-76276.760999999868</v>
      </c>
      <c r="G597" s="411"/>
      <c r="H597" s="411"/>
      <c r="I597" s="411"/>
      <c r="J597" s="411"/>
      <c r="K597" s="411"/>
      <c r="L597" s="411"/>
      <c r="M597" s="411"/>
      <c r="N597" s="411"/>
      <c r="O597" s="411"/>
      <c r="P597" s="411"/>
      <c r="Q597" s="411"/>
      <c r="R597" s="411"/>
      <c r="S597" s="411"/>
      <c r="T597" s="411"/>
    </row>
    <row r="598" spans="1:20" ht="15" thickBot="1" x14ac:dyDescent="0.4">
      <c r="A598" s="447">
        <v>287.94</v>
      </c>
      <c r="B598" s="413">
        <v>1E-3</v>
      </c>
      <c r="C598" s="413">
        <v>0.40400000000000003</v>
      </c>
      <c r="D598" s="414">
        <f t="shared" si="19"/>
        <v>28.794000000000004</v>
      </c>
      <c r="E598" s="414"/>
      <c r="F598" s="415">
        <f t="shared" si="20"/>
        <v>-76247.966999999873</v>
      </c>
      <c r="G598" s="411"/>
      <c r="H598" s="411"/>
      <c r="I598" s="411"/>
      <c r="J598" s="411"/>
      <c r="K598" s="411"/>
      <c r="L598" s="411"/>
      <c r="M598" s="411"/>
      <c r="N598" s="411"/>
      <c r="O598" s="411"/>
      <c r="P598" s="411"/>
      <c r="Q598" s="411"/>
      <c r="R598" s="411"/>
      <c r="S598" s="411"/>
      <c r="T598" s="411"/>
    </row>
    <row r="599" spans="1:20" ht="15" thickBot="1" x14ac:dyDescent="0.4">
      <c r="A599" s="447">
        <v>288.48</v>
      </c>
      <c r="B599" s="413">
        <v>1E-3</v>
      </c>
      <c r="C599" s="413">
        <v>0.40300000000000002</v>
      </c>
      <c r="D599" s="414">
        <f t="shared" si="19"/>
        <v>28.848000000000003</v>
      </c>
      <c r="E599" s="414"/>
      <c r="F599" s="415">
        <f t="shared" si="20"/>
        <v>-76219.118999999875</v>
      </c>
      <c r="G599" s="411"/>
      <c r="H599" s="411"/>
      <c r="I599" s="411"/>
      <c r="J599" s="411"/>
      <c r="K599" s="411"/>
      <c r="L599" s="411"/>
      <c r="M599" s="411"/>
      <c r="N599" s="411"/>
      <c r="O599" s="411"/>
      <c r="P599" s="411"/>
      <c r="Q599" s="411"/>
      <c r="R599" s="411"/>
      <c r="S599" s="411"/>
      <c r="T599" s="411"/>
    </row>
    <row r="600" spans="1:20" ht="15" thickBot="1" x14ac:dyDescent="0.4">
      <c r="A600" s="447">
        <v>291</v>
      </c>
      <c r="B600" s="413">
        <v>1E-3</v>
      </c>
      <c r="C600" s="413">
        <v>0.40200000000000002</v>
      </c>
      <c r="D600" s="414">
        <f t="shared" si="19"/>
        <v>29.099999999999998</v>
      </c>
      <c r="E600" s="414"/>
      <c r="F600" s="415">
        <f t="shared" si="20"/>
        <v>-76190.018999999869</v>
      </c>
      <c r="G600" s="411"/>
      <c r="H600" s="411"/>
      <c r="I600" s="411"/>
      <c r="J600" s="411"/>
      <c r="K600" s="411"/>
      <c r="L600" s="411"/>
      <c r="M600" s="411"/>
      <c r="N600" s="411"/>
      <c r="O600" s="411"/>
      <c r="P600" s="411"/>
      <c r="Q600" s="411"/>
      <c r="R600" s="411"/>
      <c r="S600" s="411"/>
      <c r="T600" s="411"/>
    </row>
    <row r="601" spans="1:20" ht="15" thickBot="1" x14ac:dyDescent="0.4">
      <c r="A601" s="447">
        <v>296.85000000000002</v>
      </c>
      <c r="B601" s="413">
        <v>1E-3</v>
      </c>
      <c r="C601" s="413">
        <v>0.40100000000000002</v>
      </c>
      <c r="D601" s="414">
        <f t="shared" si="19"/>
        <v>29.684999999999999</v>
      </c>
      <c r="E601" s="414"/>
      <c r="F601" s="415">
        <f t="shared" si="20"/>
        <v>-76160.333999999872</v>
      </c>
      <c r="G601" s="411"/>
      <c r="H601" s="411"/>
      <c r="I601" s="411"/>
      <c r="J601" s="411"/>
      <c r="K601" s="411"/>
      <c r="L601" s="411"/>
      <c r="M601" s="411"/>
      <c r="N601" s="411"/>
      <c r="O601" s="411"/>
      <c r="P601" s="411"/>
      <c r="Q601" s="411"/>
      <c r="R601" s="411"/>
      <c r="S601" s="411"/>
      <c r="T601" s="411"/>
    </row>
    <row r="602" spans="1:20" ht="15" thickBot="1" x14ac:dyDescent="0.4">
      <c r="A602" s="447">
        <v>299.11</v>
      </c>
      <c r="B602" s="413">
        <v>1E-3</v>
      </c>
      <c r="C602" s="413">
        <v>0.4</v>
      </c>
      <c r="D602" s="414">
        <f t="shared" si="19"/>
        <v>29.911000000000005</v>
      </c>
      <c r="E602" s="414"/>
      <c r="F602" s="415">
        <f t="shared" si="20"/>
        <v>-76130.422999999879</v>
      </c>
      <c r="G602" s="411"/>
      <c r="H602" s="411"/>
      <c r="I602" s="411"/>
      <c r="J602" s="411"/>
      <c r="K602" s="411"/>
      <c r="L602" s="411"/>
      <c r="M602" s="411"/>
      <c r="N602" s="411"/>
      <c r="O602" s="411"/>
      <c r="P602" s="411"/>
      <c r="Q602" s="411"/>
      <c r="R602" s="411"/>
      <c r="S602" s="411"/>
      <c r="T602" s="411"/>
    </row>
    <row r="603" spans="1:20" ht="15" thickBot="1" x14ac:dyDescent="0.4">
      <c r="A603" s="447">
        <v>300</v>
      </c>
      <c r="B603" s="413">
        <v>1E-3</v>
      </c>
      <c r="C603" s="413">
        <v>0.39900000000000002</v>
      </c>
      <c r="D603" s="414">
        <f t="shared" si="19"/>
        <v>30</v>
      </c>
      <c r="E603" s="414"/>
      <c r="F603" s="415">
        <f t="shared" si="20"/>
        <v>-76100.422999999879</v>
      </c>
      <c r="G603" s="411"/>
      <c r="H603" s="411"/>
      <c r="I603" s="411"/>
      <c r="J603" s="411"/>
      <c r="K603" s="411"/>
      <c r="L603" s="411"/>
      <c r="M603" s="411"/>
      <c r="N603" s="411"/>
      <c r="O603" s="411"/>
      <c r="P603" s="411"/>
      <c r="Q603" s="411"/>
      <c r="R603" s="411"/>
      <c r="S603" s="411"/>
      <c r="T603" s="411"/>
    </row>
    <row r="604" spans="1:20" ht="15" thickBot="1" x14ac:dyDescent="0.4">
      <c r="A604" s="447">
        <v>300</v>
      </c>
      <c r="B604" s="413">
        <v>1E-3</v>
      </c>
      <c r="C604" s="413">
        <v>0.39800000000000002</v>
      </c>
      <c r="D604" s="414">
        <f t="shared" si="19"/>
        <v>30</v>
      </c>
      <c r="E604" s="414"/>
      <c r="F604" s="415">
        <f t="shared" si="20"/>
        <v>-76070.422999999879</v>
      </c>
      <c r="G604" s="411"/>
      <c r="H604" s="411"/>
      <c r="I604" s="411"/>
      <c r="J604" s="411"/>
      <c r="K604" s="411"/>
      <c r="L604" s="411"/>
      <c r="M604" s="411"/>
      <c r="N604" s="411"/>
      <c r="O604" s="411"/>
      <c r="P604" s="411"/>
      <c r="Q604" s="411"/>
      <c r="R604" s="411"/>
      <c r="S604" s="411"/>
      <c r="T604" s="411"/>
    </row>
    <row r="605" spans="1:20" ht="15" thickBot="1" x14ac:dyDescent="0.4">
      <c r="A605" s="447">
        <v>300</v>
      </c>
      <c r="B605" s="413">
        <v>1E-3</v>
      </c>
      <c r="C605" s="413">
        <v>0.39700000000000002</v>
      </c>
      <c r="D605" s="414">
        <f t="shared" si="19"/>
        <v>30</v>
      </c>
      <c r="E605" s="414"/>
      <c r="F605" s="415">
        <f t="shared" si="20"/>
        <v>-76040.422999999879</v>
      </c>
      <c r="G605" s="411"/>
      <c r="H605" s="411"/>
      <c r="I605" s="411"/>
      <c r="J605" s="411"/>
      <c r="K605" s="411"/>
      <c r="L605" s="411"/>
      <c r="M605" s="411"/>
      <c r="N605" s="411"/>
      <c r="O605" s="411"/>
      <c r="P605" s="411"/>
      <c r="Q605" s="411"/>
      <c r="R605" s="411"/>
      <c r="S605" s="411"/>
      <c r="T605" s="411"/>
    </row>
    <row r="606" spans="1:20" ht="15" thickBot="1" x14ac:dyDescent="0.4">
      <c r="A606" s="447">
        <v>300</v>
      </c>
      <c r="B606" s="413">
        <v>1E-3</v>
      </c>
      <c r="C606" s="413">
        <v>0.39600000000000002</v>
      </c>
      <c r="D606" s="414">
        <f t="shared" si="19"/>
        <v>30</v>
      </c>
      <c r="E606" s="414"/>
      <c r="F606" s="415">
        <f t="shared" si="20"/>
        <v>-76010.422999999879</v>
      </c>
      <c r="G606" s="411"/>
      <c r="H606" s="411"/>
      <c r="I606" s="411"/>
      <c r="J606" s="411"/>
      <c r="K606" s="411"/>
      <c r="L606" s="411"/>
      <c r="M606" s="411"/>
      <c r="N606" s="411"/>
      <c r="O606" s="411"/>
      <c r="P606" s="411"/>
      <c r="Q606" s="411"/>
      <c r="R606" s="411"/>
      <c r="S606" s="411"/>
      <c r="T606" s="411"/>
    </row>
    <row r="607" spans="1:20" ht="15" thickBot="1" x14ac:dyDescent="0.4">
      <c r="A607" s="447">
        <v>300.58999999999997</v>
      </c>
      <c r="B607" s="413">
        <v>1E-3</v>
      </c>
      <c r="C607" s="413">
        <v>0.39500000000000002</v>
      </c>
      <c r="D607" s="414">
        <f t="shared" si="19"/>
        <v>30.058999999999997</v>
      </c>
      <c r="E607" s="414"/>
      <c r="F607" s="415">
        <f t="shared" si="20"/>
        <v>-75980.363999999885</v>
      </c>
      <c r="G607" s="411"/>
      <c r="H607" s="411"/>
      <c r="I607" s="411"/>
      <c r="J607" s="411"/>
      <c r="K607" s="411"/>
      <c r="L607" s="411"/>
      <c r="M607" s="411"/>
      <c r="N607" s="411"/>
      <c r="O607" s="411"/>
      <c r="P607" s="411"/>
      <c r="Q607" s="411"/>
      <c r="R607" s="411"/>
      <c r="S607" s="411"/>
      <c r="T607" s="411"/>
    </row>
    <row r="608" spans="1:20" ht="15" thickBot="1" x14ac:dyDescent="0.4">
      <c r="A608" s="447">
        <v>300.72000000000003</v>
      </c>
      <c r="B608" s="413">
        <v>1E-3</v>
      </c>
      <c r="C608" s="413">
        <v>0.39400000000000002</v>
      </c>
      <c r="D608" s="414">
        <f t="shared" si="19"/>
        <v>30.072000000000003</v>
      </c>
      <c r="E608" s="414"/>
      <c r="F608" s="415">
        <f t="shared" si="20"/>
        <v>-75950.291999999885</v>
      </c>
      <c r="G608" s="411"/>
      <c r="H608" s="411"/>
      <c r="I608" s="411"/>
      <c r="J608" s="411"/>
      <c r="K608" s="411"/>
      <c r="L608" s="411"/>
      <c r="M608" s="411"/>
      <c r="N608" s="411"/>
      <c r="O608" s="411"/>
      <c r="P608" s="411"/>
      <c r="Q608" s="411"/>
      <c r="R608" s="411"/>
      <c r="S608" s="411"/>
      <c r="T608" s="411"/>
    </row>
    <row r="609" spans="1:20" ht="15" thickBot="1" x14ac:dyDescent="0.4">
      <c r="A609" s="447">
        <v>311.68</v>
      </c>
      <c r="B609" s="413">
        <v>1E-3</v>
      </c>
      <c r="C609" s="413">
        <v>0.39300000000000002</v>
      </c>
      <c r="D609" s="414">
        <f t="shared" si="19"/>
        <v>31.167999999999999</v>
      </c>
      <c r="E609" s="414"/>
      <c r="F609" s="415">
        <f t="shared" si="20"/>
        <v>-75919.12399999988</v>
      </c>
      <c r="G609" s="411"/>
      <c r="H609" s="411"/>
      <c r="I609" s="411"/>
      <c r="J609" s="411"/>
      <c r="K609" s="411"/>
      <c r="L609" s="411"/>
      <c r="M609" s="411"/>
      <c r="N609" s="411"/>
      <c r="O609" s="411"/>
      <c r="P609" s="411"/>
      <c r="Q609" s="411"/>
      <c r="R609" s="411"/>
      <c r="S609" s="411"/>
      <c r="T609" s="411"/>
    </row>
    <row r="610" spans="1:20" ht="15" thickBot="1" x14ac:dyDescent="0.4">
      <c r="A610" s="447">
        <v>313.95999999999998</v>
      </c>
      <c r="B610" s="413">
        <v>1E-3</v>
      </c>
      <c r="C610" s="413">
        <v>0.39200000000000002</v>
      </c>
      <c r="D610" s="414">
        <f t="shared" si="19"/>
        <v>31.395999999999997</v>
      </c>
      <c r="E610" s="414"/>
      <c r="F610" s="415">
        <f t="shared" si="20"/>
        <v>-75887.727999999886</v>
      </c>
      <c r="G610" s="411"/>
      <c r="H610" s="411"/>
      <c r="I610" s="411"/>
      <c r="J610" s="411"/>
      <c r="K610" s="411"/>
      <c r="L610" s="411"/>
      <c r="M610" s="411"/>
      <c r="N610" s="411"/>
      <c r="O610" s="411"/>
      <c r="P610" s="411"/>
      <c r="Q610" s="411"/>
      <c r="R610" s="411"/>
      <c r="S610" s="411"/>
      <c r="T610" s="411"/>
    </row>
    <row r="611" spans="1:20" ht="15" thickBot="1" x14ac:dyDescent="0.4">
      <c r="A611" s="447">
        <v>314.14</v>
      </c>
      <c r="B611" s="413">
        <v>1E-3</v>
      </c>
      <c r="C611" s="413">
        <v>0.39100000000000001</v>
      </c>
      <c r="D611" s="414">
        <f t="shared" si="19"/>
        <v>31.413999999999998</v>
      </c>
      <c r="E611" s="414"/>
      <c r="F611" s="415">
        <f t="shared" si="20"/>
        <v>-75856.313999999882</v>
      </c>
      <c r="G611" s="411"/>
      <c r="H611" s="411"/>
      <c r="I611" s="411"/>
      <c r="J611" s="411"/>
      <c r="K611" s="411"/>
      <c r="L611" s="411"/>
      <c r="M611" s="411"/>
      <c r="N611" s="411"/>
      <c r="O611" s="411"/>
      <c r="P611" s="411"/>
      <c r="Q611" s="411"/>
      <c r="R611" s="411"/>
      <c r="S611" s="411"/>
      <c r="T611" s="411"/>
    </row>
    <row r="612" spans="1:20" ht="15" thickBot="1" x14ac:dyDescent="0.4">
      <c r="A612" s="447">
        <v>322.89</v>
      </c>
      <c r="B612" s="413">
        <v>1E-3</v>
      </c>
      <c r="C612" s="413">
        <v>0.39</v>
      </c>
      <c r="D612" s="414">
        <f t="shared" si="19"/>
        <v>32.289000000000001</v>
      </c>
      <c r="E612" s="414"/>
      <c r="F612" s="415">
        <f t="shared" si="20"/>
        <v>-75824.024999999878</v>
      </c>
      <c r="G612" s="411"/>
      <c r="H612" s="411"/>
      <c r="I612" s="411"/>
      <c r="J612" s="411"/>
      <c r="K612" s="411"/>
      <c r="L612" s="411"/>
      <c r="M612" s="411"/>
      <c r="N612" s="411"/>
      <c r="O612" s="411"/>
      <c r="P612" s="411"/>
      <c r="Q612" s="411"/>
      <c r="R612" s="411"/>
      <c r="S612" s="411"/>
      <c r="T612" s="411"/>
    </row>
    <row r="613" spans="1:20" ht="15" thickBot="1" x14ac:dyDescent="0.4">
      <c r="A613" s="447">
        <v>323.81</v>
      </c>
      <c r="B613" s="413">
        <v>1E-3</v>
      </c>
      <c r="C613" s="413">
        <v>0.38900000000000001</v>
      </c>
      <c r="D613" s="414">
        <f t="shared" si="19"/>
        <v>32.381</v>
      </c>
      <c r="E613" s="414"/>
      <c r="F613" s="415">
        <f t="shared" si="20"/>
        <v>-75791.643999999884</v>
      </c>
      <c r="G613" s="411"/>
      <c r="H613" s="411"/>
      <c r="I613" s="411"/>
      <c r="J613" s="411"/>
      <c r="K613" s="411"/>
      <c r="L613" s="411"/>
      <c r="M613" s="411"/>
      <c r="N613" s="411"/>
      <c r="O613" s="411"/>
      <c r="P613" s="411"/>
      <c r="Q613" s="411"/>
      <c r="R613" s="411"/>
      <c r="S613" s="411"/>
      <c r="T613" s="411"/>
    </row>
    <row r="614" spans="1:20" ht="15" thickBot="1" x14ac:dyDescent="0.4">
      <c r="A614" s="447">
        <v>345.52</v>
      </c>
      <c r="B614" s="413">
        <v>1E-3</v>
      </c>
      <c r="C614" s="413">
        <v>0.38800000000000001</v>
      </c>
      <c r="D614" s="414">
        <f t="shared" si="19"/>
        <v>34.552</v>
      </c>
      <c r="E614" s="414"/>
      <c r="F614" s="415">
        <f t="shared" si="20"/>
        <v>-75757.091999999888</v>
      </c>
      <c r="G614" s="411"/>
      <c r="H614" s="411"/>
      <c r="I614" s="411"/>
      <c r="J614" s="411"/>
      <c r="K614" s="411"/>
      <c r="L614" s="411"/>
      <c r="M614" s="411"/>
      <c r="N614" s="411"/>
      <c r="O614" s="411"/>
      <c r="P614" s="411"/>
      <c r="Q614" s="411"/>
      <c r="R614" s="411"/>
      <c r="S614" s="411"/>
      <c r="T614" s="411"/>
    </row>
    <row r="615" spans="1:20" ht="15" thickBot="1" x14ac:dyDescent="0.4">
      <c r="A615" s="447">
        <v>348.32</v>
      </c>
      <c r="B615" s="413">
        <v>1E-3</v>
      </c>
      <c r="C615" s="413">
        <v>0.38700000000000001</v>
      </c>
      <c r="D615" s="414">
        <f t="shared" si="19"/>
        <v>34.832000000000001</v>
      </c>
      <c r="E615" s="414"/>
      <c r="F615" s="415">
        <f t="shared" si="20"/>
        <v>-75722.259999999893</v>
      </c>
      <c r="G615" s="411"/>
      <c r="H615" s="411"/>
      <c r="I615" s="411"/>
      <c r="J615" s="411"/>
      <c r="K615" s="411"/>
      <c r="L615" s="411"/>
      <c r="M615" s="411"/>
      <c r="N615" s="411"/>
      <c r="O615" s="411"/>
      <c r="P615" s="411"/>
      <c r="Q615" s="411"/>
      <c r="R615" s="411"/>
      <c r="S615" s="411"/>
      <c r="T615" s="411"/>
    </row>
    <row r="616" spans="1:20" ht="15" thickBot="1" x14ac:dyDescent="0.4">
      <c r="A616" s="447">
        <v>350.4</v>
      </c>
      <c r="B616" s="413">
        <v>1E-3</v>
      </c>
      <c r="C616" s="413">
        <v>0.38600000000000001</v>
      </c>
      <c r="D616" s="414">
        <f t="shared" si="19"/>
        <v>35.04</v>
      </c>
      <c r="E616" s="414"/>
      <c r="F616" s="415">
        <f t="shared" si="20"/>
        <v>-75687.219999999899</v>
      </c>
      <c r="G616" s="411"/>
      <c r="H616" s="411"/>
      <c r="I616" s="411"/>
      <c r="J616" s="411"/>
      <c r="K616" s="411"/>
      <c r="L616" s="411"/>
      <c r="M616" s="411"/>
      <c r="N616" s="411"/>
      <c r="O616" s="411"/>
      <c r="P616" s="411"/>
      <c r="Q616" s="411"/>
      <c r="R616" s="411"/>
      <c r="S616" s="411"/>
      <c r="T616" s="411"/>
    </row>
    <row r="617" spans="1:20" ht="15" thickBot="1" x14ac:dyDescent="0.4">
      <c r="A617" s="447">
        <v>351.32</v>
      </c>
      <c r="B617" s="413">
        <v>1E-3</v>
      </c>
      <c r="C617" s="413">
        <v>0.38500000000000001</v>
      </c>
      <c r="D617" s="414">
        <f t="shared" si="19"/>
        <v>35.131999999999998</v>
      </c>
      <c r="E617" s="414"/>
      <c r="F617" s="415">
        <f t="shared" si="20"/>
        <v>-75652.087999999902</v>
      </c>
      <c r="G617" s="411"/>
      <c r="H617" s="411"/>
      <c r="I617" s="411"/>
      <c r="J617" s="411"/>
      <c r="K617" s="411"/>
      <c r="L617" s="411"/>
      <c r="M617" s="411"/>
      <c r="N617" s="411"/>
      <c r="O617" s="411"/>
      <c r="P617" s="411"/>
      <c r="Q617" s="411"/>
      <c r="R617" s="411"/>
      <c r="S617" s="411"/>
      <c r="T617" s="411"/>
    </row>
    <row r="618" spans="1:20" ht="15" thickBot="1" x14ac:dyDescent="0.4">
      <c r="A618" s="447">
        <v>362.74</v>
      </c>
      <c r="B618" s="413">
        <v>1E-3</v>
      </c>
      <c r="C618" s="413">
        <v>0.38400000000000001</v>
      </c>
      <c r="D618" s="414">
        <f t="shared" si="19"/>
        <v>36.274000000000001</v>
      </c>
      <c r="E618" s="414"/>
      <c r="F618" s="415">
        <f t="shared" si="20"/>
        <v>-75615.813999999897</v>
      </c>
      <c r="G618" s="411"/>
      <c r="H618" s="411"/>
      <c r="I618" s="411"/>
      <c r="J618" s="411"/>
      <c r="K618" s="411"/>
      <c r="L618" s="411"/>
      <c r="M618" s="411"/>
      <c r="N618" s="411"/>
      <c r="O618" s="411"/>
      <c r="P618" s="411"/>
      <c r="Q618" s="411"/>
      <c r="R618" s="411"/>
      <c r="S618" s="411"/>
      <c r="T618" s="411"/>
    </row>
    <row r="619" spans="1:20" ht="15" thickBot="1" x14ac:dyDescent="0.4">
      <c r="A619" s="447">
        <v>364.91</v>
      </c>
      <c r="B619" s="413">
        <v>1E-3</v>
      </c>
      <c r="C619" s="413">
        <v>0.38300000000000001</v>
      </c>
      <c r="D619" s="414">
        <f t="shared" si="19"/>
        <v>36.491</v>
      </c>
      <c r="E619" s="414"/>
      <c r="F619" s="415">
        <f t="shared" si="20"/>
        <v>-75579.322999999902</v>
      </c>
      <c r="G619" s="411"/>
      <c r="H619" s="411"/>
      <c r="I619" s="411"/>
      <c r="J619" s="411"/>
      <c r="K619" s="411"/>
      <c r="L619" s="411"/>
      <c r="M619" s="411"/>
      <c r="N619" s="411"/>
      <c r="O619" s="411"/>
      <c r="P619" s="411"/>
      <c r="Q619" s="411"/>
      <c r="R619" s="411"/>
      <c r="S619" s="411"/>
      <c r="T619" s="411"/>
    </row>
    <row r="620" spans="1:20" ht="15" thickBot="1" x14ac:dyDescent="0.4">
      <c r="A620" s="447">
        <v>367.25</v>
      </c>
      <c r="B620" s="413">
        <v>1E-3</v>
      </c>
      <c r="C620" s="413">
        <v>0.38200000000000001</v>
      </c>
      <c r="D620" s="414">
        <f t="shared" si="19"/>
        <v>36.725000000000001</v>
      </c>
      <c r="E620" s="414"/>
      <c r="F620" s="415">
        <f t="shared" si="20"/>
        <v>-75542.597999999896</v>
      </c>
      <c r="G620" s="411"/>
      <c r="H620" s="411"/>
      <c r="I620" s="411"/>
      <c r="J620" s="411"/>
      <c r="K620" s="411"/>
      <c r="L620" s="411"/>
      <c r="M620" s="411"/>
      <c r="N620" s="411"/>
      <c r="O620" s="411"/>
      <c r="P620" s="411"/>
      <c r="Q620" s="411"/>
      <c r="R620" s="411"/>
      <c r="S620" s="411"/>
      <c r="T620" s="411"/>
    </row>
    <row r="621" spans="1:20" ht="15" thickBot="1" x14ac:dyDescent="0.4">
      <c r="A621" s="447">
        <v>367.5</v>
      </c>
      <c r="B621" s="413">
        <v>1E-3</v>
      </c>
      <c r="C621" s="413">
        <v>0.38100000000000001</v>
      </c>
      <c r="D621" s="414">
        <f t="shared" si="19"/>
        <v>36.75</v>
      </c>
      <c r="E621" s="414"/>
      <c r="F621" s="415">
        <f t="shared" si="20"/>
        <v>-75505.847999999896</v>
      </c>
      <c r="G621" s="411"/>
      <c r="H621" s="411"/>
      <c r="I621" s="411"/>
      <c r="J621" s="411"/>
      <c r="K621" s="411"/>
      <c r="L621" s="411"/>
      <c r="M621" s="411"/>
      <c r="N621" s="411"/>
      <c r="O621" s="411"/>
      <c r="P621" s="411"/>
      <c r="Q621" s="411"/>
      <c r="R621" s="411"/>
      <c r="S621" s="411"/>
      <c r="T621" s="411"/>
    </row>
    <row r="622" spans="1:20" ht="15" thickBot="1" x14ac:dyDescent="0.4">
      <c r="A622" s="447">
        <v>372.01</v>
      </c>
      <c r="B622" s="413">
        <v>1E-3</v>
      </c>
      <c r="C622" s="413">
        <v>0.38</v>
      </c>
      <c r="D622" s="414">
        <f t="shared" si="19"/>
        <v>37.201000000000001</v>
      </c>
      <c r="E622" s="414"/>
      <c r="F622" s="415">
        <f t="shared" si="20"/>
        <v>-75468.646999999895</v>
      </c>
      <c r="G622" s="411"/>
      <c r="H622" s="411"/>
      <c r="I622" s="411"/>
      <c r="J622" s="411"/>
      <c r="K622" s="411"/>
      <c r="L622" s="411"/>
      <c r="M622" s="411"/>
      <c r="N622" s="411"/>
      <c r="O622" s="411"/>
      <c r="P622" s="411"/>
      <c r="Q622" s="411"/>
      <c r="R622" s="411"/>
      <c r="S622" s="411"/>
      <c r="T622" s="411"/>
    </row>
    <row r="623" spans="1:20" ht="15" thickBot="1" x14ac:dyDescent="0.4">
      <c r="A623" s="447">
        <v>376.29</v>
      </c>
      <c r="B623" s="413">
        <v>1E-3</v>
      </c>
      <c r="C623" s="413">
        <v>0.379</v>
      </c>
      <c r="D623" s="414">
        <f t="shared" si="19"/>
        <v>37.628999999999998</v>
      </c>
      <c r="E623" s="414"/>
      <c r="F623" s="415">
        <f t="shared" si="20"/>
        <v>-75431.017999999895</v>
      </c>
      <c r="G623" s="411"/>
      <c r="H623" s="411"/>
      <c r="I623" s="411"/>
      <c r="J623" s="411"/>
      <c r="K623" s="411"/>
      <c r="L623" s="411"/>
      <c r="M623" s="411"/>
      <c r="N623" s="411"/>
      <c r="O623" s="411"/>
      <c r="P623" s="411"/>
      <c r="Q623" s="411"/>
      <c r="R623" s="411"/>
      <c r="S623" s="411"/>
      <c r="T623" s="411"/>
    </row>
    <row r="624" spans="1:20" ht="15" thickBot="1" x14ac:dyDescent="0.4">
      <c r="A624" s="447">
        <v>383.43</v>
      </c>
      <c r="B624" s="413">
        <v>1E-3</v>
      </c>
      <c r="C624" s="413">
        <v>0.378</v>
      </c>
      <c r="D624" s="414">
        <f t="shared" si="19"/>
        <v>38.342999999999996</v>
      </c>
      <c r="E624" s="414"/>
      <c r="F624" s="415">
        <f t="shared" si="20"/>
        <v>-75392.674999999901</v>
      </c>
      <c r="G624" s="411"/>
      <c r="H624" s="411"/>
      <c r="I624" s="411"/>
      <c r="J624" s="411"/>
      <c r="K624" s="411"/>
      <c r="L624" s="411"/>
      <c r="M624" s="411"/>
      <c r="N624" s="411"/>
      <c r="O624" s="411"/>
      <c r="P624" s="411"/>
      <c r="Q624" s="411"/>
      <c r="R624" s="411"/>
      <c r="S624" s="411"/>
      <c r="T624" s="411"/>
    </row>
    <row r="625" spans="1:20" ht="15" thickBot="1" x14ac:dyDescent="0.4">
      <c r="A625" s="447">
        <v>387.39</v>
      </c>
      <c r="B625" s="413">
        <v>1E-3</v>
      </c>
      <c r="C625" s="413">
        <v>0.377</v>
      </c>
      <c r="D625" s="414">
        <f t="shared" si="19"/>
        <v>38.738999999999997</v>
      </c>
      <c r="E625" s="414"/>
      <c r="F625" s="415">
        <f t="shared" si="20"/>
        <v>-75353.9359999999</v>
      </c>
      <c r="G625" s="411"/>
      <c r="H625" s="411"/>
      <c r="I625" s="411"/>
      <c r="J625" s="411"/>
      <c r="K625" s="411"/>
      <c r="L625" s="411"/>
      <c r="M625" s="411"/>
      <c r="N625" s="411"/>
      <c r="O625" s="411"/>
      <c r="P625" s="411"/>
      <c r="Q625" s="411"/>
      <c r="R625" s="411"/>
      <c r="S625" s="411"/>
      <c r="T625" s="411"/>
    </row>
    <row r="626" spans="1:20" ht="15" thickBot="1" x14ac:dyDescent="0.4">
      <c r="A626" s="447">
        <v>388.79</v>
      </c>
      <c r="B626" s="413">
        <v>1E-3</v>
      </c>
      <c r="C626" s="413">
        <v>0.376</v>
      </c>
      <c r="D626" s="414">
        <f t="shared" si="19"/>
        <v>38.879000000000005</v>
      </c>
      <c r="E626" s="414"/>
      <c r="F626" s="415">
        <f t="shared" si="20"/>
        <v>-75315.056999999899</v>
      </c>
      <c r="G626" s="411"/>
      <c r="H626" s="411"/>
      <c r="I626" s="411"/>
      <c r="J626" s="411"/>
      <c r="K626" s="411"/>
      <c r="L626" s="411"/>
      <c r="M626" s="411"/>
      <c r="N626" s="411"/>
      <c r="O626" s="411"/>
      <c r="P626" s="411"/>
      <c r="Q626" s="411"/>
      <c r="R626" s="411"/>
      <c r="S626" s="411"/>
      <c r="T626" s="411"/>
    </row>
    <row r="627" spans="1:20" ht="15" thickBot="1" x14ac:dyDescent="0.4">
      <c r="A627" s="447">
        <v>397.03</v>
      </c>
      <c r="B627" s="413">
        <v>1E-3</v>
      </c>
      <c r="C627" s="413">
        <v>0.375</v>
      </c>
      <c r="D627" s="414">
        <f t="shared" si="19"/>
        <v>39.702999999999996</v>
      </c>
      <c r="E627" s="414"/>
      <c r="F627" s="415">
        <f t="shared" si="20"/>
        <v>-75275.353999999905</v>
      </c>
      <c r="G627" s="411"/>
      <c r="H627" s="411"/>
      <c r="I627" s="411"/>
      <c r="J627" s="411"/>
      <c r="K627" s="411"/>
      <c r="L627" s="411"/>
      <c r="M627" s="411"/>
      <c r="N627" s="411"/>
      <c r="O627" s="411"/>
      <c r="P627" s="411"/>
      <c r="Q627" s="411"/>
      <c r="R627" s="411"/>
      <c r="S627" s="411"/>
      <c r="T627" s="411"/>
    </row>
    <row r="628" spans="1:20" ht="15" thickBot="1" x14ac:dyDescent="0.4">
      <c r="A628" s="447">
        <v>400.04</v>
      </c>
      <c r="B628" s="413">
        <v>1E-3</v>
      </c>
      <c r="C628" s="413">
        <v>0.374</v>
      </c>
      <c r="D628" s="414">
        <f t="shared" si="19"/>
        <v>40.003999999999998</v>
      </c>
      <c r="E628" s="414"/>
      <c r="F628" s="415">
        <f t="shared" si="20"/>
        <v>-75235.349999999904</v>
      </c>
      <c r="G628" s="411"/>
      <c r="H628" s="411"/>
      <c r="I628" s="411"/>
      <c r="J628" s="411"/>
      <c r="K628" s="411"/>
      <c r="L628" s="411"/>
      <c r="M628" s="411"/>
      <c r="N628" s="411"/>
      <c r="O628" s="411"/>
      <c r="P628" s="411"/>
      <c r="Q628" s="411"/>
      <c r="R628" s="411"/>
      <c r="S628" s="411"/>
      <c r="T628" s="411"/>
    </row>
    <row r="629" spans="1:20" ht="15" thickBot="1" x14ac:dyDescent="0.4">
      <c r="A629" s="447">
        <v>400.77</v>
      </c>
      <c r="B629" s="413">
        <v>1E-3</v>
      </c>
      <c r="C629" s="413">
        <v>0.373</v>
      </c>
      <c r="D629" s="414">
        <f t="shared" si="19"/>
        <v>40.076999999999998</v>
      </c>
      <c r="E629" s="414"/>
      <c r="F629" s="415">
        <f t="shared" si="20"/>
        <v>-75195.272999999899</v>
      </c>
      <c r="G629" s="411"/>
      <c r="H629" s="411"/>
      <c r="I629" s="411"/>
      <c r="J629" s="411"/>
      <c r="K629" s="411"/>
      <c r="L629" s="411"/>
      <c r="M629" s="411"/>
      <c r="N629" s="411"/>
      <c r="O629" s="411"/>
      <c r="P629" s="411"/>
      <c r="Q629" s="411"/>
      <c r="R629" s="411"/>
      <c r="S629" s="411"/>
      <c r="T629" s="411"/>
    </row>
    <row r="630" spans="1:20" ht="15" thickBot="1" x14ac:dyDescent="0.4">
      <c r="A630" s="447">
        <v>400.77</v>
      </c>
      <c r="B630" s="413">
        <v>1E-3</v>
      </c>
      <c r="C630" s="413">
        <v>0.372</v>
      </c>
      <c r="D630" s="414">
        <f t="shared" si="19"/>
        <v>40.076999999999998</v>
      </c>
      <c r="E630" s="414"/>
      <c r="F630" s="415">
        <f t="shared" si="20"/>
        <v>-75155.195999999894</v>
      </c>
      <c r="G630" s="411"/>
      <c r="H630" s="411"/>
      <c r="I630" s="411"/>
      <c r="J630" s="411"/>
      <c r="K630" s="411"/>
      <c r="L630" s="411"/>
      <c r="M630" s="411"/>
      <c r="N630" s="411"/>
      <c r="O630" s="411"/>
      <c r="P630" s="411"/>
      <c r="Q630" s="411"/>
      <c r="R630" s="411"/>
      <c r="S630" s="411"/>
      <c r="T630" s="411"/>
    </row>
    <row r="631" spans="1:20" ht="15" thickBot="1" x14ac:dyDescent="0.4">
      <c r="A631" s="447">
        <v>400.8</v>
      </c>
      <c r="B631" s="413">
        <v>1E-3</v>
      </c>
      <c r="C631" s="413">
        <v>0.371</v>
      </c>
      <c r="D631" s="414">
        <f t="shared" si="19"/>
        <v>40.080000000000005</v>
      </c>
      <c r="E631" s="414"/>
      <c r="F631" s="415">
        <f t="shared" si="20"/>
        <v>-75115.115999999893</v>
      </c>
      <c r="G631" s="411"/>
      <c r="H631" s="411"/>
      <c r="I631" s="411"/>
      <c r="J631" s="411"/>
      <c r="K631" s="411"/>
      <c r="L631" s="411"/>
      <c r="M631" s="411"/>
      <c r="N631" s="411"/>
      <c r="O631" s="411"/>
      <c r="P631" s="411"/>
      <c r="Q631" s="411"/>
      <c r="R631" s="411"/>
      <c r="S631" s="411"/>
      <c r="T631" s="411"/>
    </row>
    <row r="632" spans="1:20" ht="15" thickBot="1" x14ac:dyDescent="0.4">
      <c r="A632" s="447">
        <v>402</v>
      </c>
      <c r="B632" s="413">
        <v>1E-3</v>
      </c>
      <c r="C632" s="413">
        <v>0.37</v>
      </c>
      <c r="D632" s="414">
        <f t="shared" si="19"/>
        <v>40.200000000000003</v>
      </c>
      <c r="E632" s="414"/>
      <c r="F632" s="415">
        <f t="shared" si="20"/>
        <v>-75074.915999999896</v>
      </c>
      <c r="G632" s="411"/>
      <c r="H632" s="411"/>
      <c r="I632" s="411"/>
      <c r="J632" s="411"/>
      <c r="K632" s="411"/>
      <c r="L632" s="411"/>
      <c r="M632" s="411"/>
      <c r="N632" s="411"/>
      <c r="O632" s="411"/>
      <c r="P632" s="411"/>
      <c r="Q632" s="411"/>
      <c r="R632" s="411"/>
      <c r="S632" s="411"/>
      <c r="T632" s="411"/>
    </row>
    <row r="633" spans="1:20" ht="15" thickBot="1" x14ac:dyDescent="0.4">
      <c r="A633" s="447">
        <v>404.19</v>
      </c>
      <c r="B633" s="413">
        <v>1E-3</v>
      </c>
      <c r="C633" s="413">
        <v>0.36899999999999999</v>
      </c>
      <c r="D633" s="414">
        <f t="shared" si="19"/>
        <v>40.418999999999997</v>
      </c>
      <c r="E633" s="414"/>
      <c r="F633" s="415">
        <f t="shared" si="20"/>
        <v>-75034.496999999901</v>
      </c>
      <c r="G633" s="411"/>
      <c r="H633" s="411"/>
      <c r="I633" s="411"/>
      <c r="J633" s="411"/>
      <c r="K633" s="411"/>
      <c r="L633" s="411"/>
      <c r="M633" s="411"/>
      <c r="N633" s="411"/>
      <c r="O633" s="411"/>
      <c r="P633" s="411"/>
      <c r="Q633" s="411"/>
      <c r="R633" s="411"/>
      <c r="S633" s="411"/>
      <c r="T633" s="411"/>
    </row>
    <row r="634" spans="1:20" ht="15" thickBot="1" x14ac:dyDescent="0.4">
      <c r="A634" s="447">
        <v>405.87</v>
      </c>
      <c r="B634" s="413">
        <v>1E-3</v>
      </c>
      <c r="C634" s="413">
        <v>0.36799999999999999</v>
      </c>
      <c r="D634" s="414">
        <f t="shared" si="19"/>
        <v>40.587000000000003</v>
      </c>
      <c r="E634" s="414"/>
      <c r="F634" s="415">
        <f t="shared" si="20"/>
        <v>-74993.909999999902</v>
      </c>
      <c r="G634" s="411"/>
      <c r="H634" s="411"/>
      <c r="I634" s="411"/>
      <c r="J634" s="411"/>
      <c r="K634" s="411"/>
      <c r="L634" s="411"/>
      <c r="M634" s="411"/>
      <c r="N634" s="411"/>
      <c r="O634" s="411"/>
      <c r="P634" s="411"/>
      <c r="Q634" s="411"/>
      <c r="R634" s="411"/>
      <c r="S634" s="411"/>
      <c r="T634" s="411"/>
    </row>
    <row r="635" spans="1:20" ht="15" thickBot="1" x14ac:dyDescent="0.4">
      <c r="A635" s="447">
        <v>411.17</v>
      </c>
      <c r="B635" s="413">
        <v>1E-3</v>
      </c>
      <c r="C635" s="413">
        <v>0.36699999999999999</v>
      </c>
      <c r="D635" s="414">
        <f t="shared" si="19"/>
        <v>41.117000000000004</v>
      </c>
      <c r="E635" s="414"/>
      <c r="F635" s="415">
        <f t="shared" si="20"/>
        <v>-74952.792999999903</v>
      </c>
      <c r="G635" s="411"/>
      <c r="H635" s="411"/>
      <c r="I635" s="411"/>
      <c r="J635" s="411"/>
      <c r="K635" s="411"/>
      <c r="L635" s="411"/>
      <c r="M635" s="411"/>
      <c r="N635" s="411"/>
      <c r="O635" s="411"/>
      <c r="P635" s="411"/>
      <c r="Q635" s="411"/>
      <c r="R635" s="411"/>
      <c r="S635" s="411"/>
      <c r="T635" s="411"/>
    </row>
    <row r="636" spans="1:20" ht="15" thickBot="1" x14ac:dyDescent="0.4">
      <c r="A636" s="447">
        <v>413.42</v>
      </c>
      <c r="B636" s="413">
        <v>1E-3</v>
      </c>
      <c r="C636" s="413">
        <v>0.36599999999999999</v>
      </c>
      <c r="D636" s="414">
        <f t="shared" si="19"/>
        <v>41.341999999999999</v>
      </c>
      <c r="E636" s="414"/>
      <c r="F636" s="415">
        <f t="shared" si="20"/>
        <v>-74911.450999999899</v>
      </c>
      <c r="G636" s="411"/>
      <c r="H636" s="411"/>
      <c r="I636" s="411"/>
      <c r="J636" s="411"/>
      <c r="K636" s="411"/>
      <c r="L636" s="411"/>
      <c r="M636" s="411"/>
      <c r="N636" s="411"/>
      <c r="O636" s="411"/>
      <c r="P636" s="411"/>
      <c r="Q636" s="411"/>
      <c r="R636" s="411"/>
      <c r="S636" s="411"/>
      <c r="T636" s="411"/>
    </row>
    <row r="637" spans="1:20" ht="15" thickBot="1" x14ac:dyDescent="0.4">
      <c r="A637" s="447">
        <v>423.28</v>
      </c>
      <c r="B637" s="413">
        <v>1E-3</v>
      </c>
      <c r="C637" s="413">
        <v>0.36499999999999999</v>
      </c>
      <c r="D637" s="414">
        <f t="shared" si="19"/>
        <v>42.327999999999996</v>
      </c>
      <c r="E637" s="414"/>
      <c r="F637" s="415">
        <f t="shared" si="20"/>
        <v>-74869.122999999905</v>
      </c>
      <c r="G637" s="411"/>
      <c r="H637" s="411"/>
      <c r="I637" s="411"/>
      <c r="J637" s="411"/>
      <c r="K637" s="411"/>
      <c r="L637" s="411"/>
      <c r="M637" s="411"/>
      <c r="N637" s="411"/>
      <c r="O637" s="411"/>
      <c r="P637" s="411"/>
      <c r="Q637" s="411"/>
      <c r="R637" s="411"/>
      <c r="S637" s="411"/>
      <c r="T637" s="411"/>
    </row>
    <row r="638" spans="1:20" ht="15" thickBot="1" x14ac:dyDescent="0.4">
      <c r="A638" s="447">
        <v>426.56</v>
      </c>
      <c r="B638" s="413">
        <v>1E-3</v>
      </c>
      <c r="C638" s="413">
        <v>0.36399999999999999</v>
      </c>
      <c r="D638" s="414">
        <f t="shared" si="19"/>
        <v>42.655999999999999</v>
      </c>
      <c r="E638" s="414"/>
      <c r="F638" s="415">
        <f t="shared" si="20"/>
        <v>-74826.466999999902</v>
      </c>
      <c r="G638" s="411"/>
      <c r="H638" s="411"/>
      <c r="I638" s="411"/>
      <c r="J638" s="411"/>
      <c r="K638" s="411"/>
      <c r="L638" s="411"/>
      <c r="M638" s="411"/>
      <c r="N638" s="411"/>
      <c r="O638" s="411"/>
      <c r="P638" s="411"/>
      <c r="Q638" s="411"/>
      <c r="R638" s="411"/>
      <c r="S638" s="411"/>
      <c r="T638" s="411"/>
    </row>
    <row r="639" spans="1:20" ht="15" thickBot="1" x14ac:dyDescent="0.4">
      <c r="A639" s="447">
        <v>430.72</v>
      </c>
      <c r="B639" s="413">
        <v>1E-3</v>
      </c>
      <c r="C639" s="413">
        <v>0.36299999999999999</v>
      </c>
      <c r="D639" s="414">
        <f t="shared" si="19"/>
        <v>43.072000000000003</v>
      </c>
      <c r="E639" s="414"/>
      <c r="F639" s="415">
        <f t="shared" si="20"/>
        <v>-74783.394999999902</v>
      </c>
      <c r="G639" s="411"/>
      <c r="H639" s="411"/>
      <c r="I639" s="411"/>
      <c r="J639" s="411"/>
      <c r="K639" s="411"/>
      <c r="L639" s="411"/>
      <c r="M639" s="411"/>
      <c r="N639" s="411"/>
      <c r="O639" s="411"/>
      <c r="P639" s="411"/>
      <c r="Q639" s="411"/>
      <c r="R639" s="411"/>
      <c r="S639" s="411"/>
      <c r="T639" s="411"/>
    </row>
    <row r="640" spans="1:20" ht="15" thickBot="1" x14ac:dyDescent="0.4">
      <c r="A640" s="447">
        <v>434.7</v>
      </c>
      <c r="B640" s="413">
        <v>1E-3</v>
      </c>
      <c r="C640" s="413">
        <v>0.36199999999999999</v>
      </c>
      <c r="D640" s="414">
        <f t="shared" si="19"/>
        <v>43.47</v>
      </c>
      <c r="E640" s="414"/>
      <c r="F640" s="415">
        <f t="shared" si="20"/>
        <v>-74739.924999999901</v>
      </c>
      <c r="G640" s="411"/>
      <c r="H640" s="411"/>
      <c r="I640" s="411"/>
      <c r="J640" s="411"/>
      <c r="K640" s="411"/>
      <c r="L640" s="411"/>
      <c r="M640" s="411"/>
      <c r="N640" s="411"/>
      <c r="O640" s="411"/>
      <c r="P640" s="411"/>
      <c r="Q640" s="411"/>
      <c r="R640" s="411"/>
      <c r="S640" s="411"/>
      <c r="T640" s="411"/>
    </row>
    <row r="641" spans="1:20" ht="15" thickBot="1" x14ac:dyDescent="0.4">
      <c r="A641" s="447">
        <v>435.4</v>
      </c>
      <c r="B641" s="413">
        <v>1E-3</v>
      </c>
      <c r="C641" s="413">
        <v>0.36099999999999999</v>
      </c>
      <c r="D641" s="414">
        <f t="shared" si="19"/>
        <v>43.54</v>
      </c>
      <c r="E641" s="414"/>
      <c r="F641" s="415">
        <f t="shared" si="20"/>
        <v>-74696.384999999907</v>
      </c>
      <c r="G641" s="411"/>
      <c r="H641" s="411"/>
      <c r="I641" s="411"/>
      <c r="J641" s="411"/>
      <c r="K641" s="411"/>
      <c r="L641" s="411"/>
      <c r="M641" s="411"/>
      <c r="N641" s="411"/>
      <c r="O641" s="411"/>
      <c r="P641" s="411"/>
      <c r="Q641" s="411"/>
      <c r="R641" s="411"/>
      <c r="S641" s="411"/>
      <c r="T641" s="411"/>
    </row>
    <row r="642" spans="1:20" ht="15" thickBot="1" x14ac:dyDescent="0.4">
      <c r="A642" s="447">
        <v>437.12</v>
      </c>
      <c r="B642" s="413">
        <v>1E-3</v>
      </c>
      <c r="C642" s="413">
        <v>0.36</v>
      </c>
      <c r="D642" s="414">
        <f t="shared" ref="D642:D705" si="21">A642*B642/1%</f>
        <v>43.712000000000003</v>
      </c>
      <c r="E642" s="414"/>
      <c r="F642" s="415">
        <f t="shared" si="20"/>
        <v>-74652.672999999908</v>
      </c>
      <c r="G642" s="411"/>
      <c r="H642" s="411"/>
      <c r="I642" s="411"/>
      <c r="J642" s="411"/>
      <c r="K642" s="411"/>
      <c r="L642" s="411"/>
      <c r="M642" s="411"/>
      <c r="N642" s="411"/>
      <c r="O642" s="411"/>
      <c r="P642" s="411"/>
      <c r="Q642" s="411"/>
      <c r="R642" s="411"/>
      <c r="S642" s="411"/>
      <c r="T642" s="411"/>
    </row>
    <row r="643" spans="1:20" ht="15" thickBot="1" x14ac:dyDescent="0.4">
      <c r="A643" s="447">
        <v>441.77</v>
      </c>
      <c r="B643" s="413">
        <v>1E-3</v>
      </c>
      <c r="C643" s="413">
        <v>0.35899999999999999</v>
      </c>
      <c r="D643" s="414">
        <f t="shared" si="21"/>
        <v>44.177</v>
      </c>
      <c r="E643" s="414"/>
      <c r="F643" s="415">
        <f t="shared" ref="F643:F706" si="22">F642+D643</f>
        <v>-74608.495999999912</v>
      </c>
      <c r="G643" s="411"/>
      <c r="H643" s="411"/>
      <c r="I643" s="411"/>
      <c r="J643" s="411"/>
      <c r="K643" s="411"/>
      <c r="L643" s="411"/>
      <c r="M643" s="411"/>
      <c r="N643" s="411"/>
      <c r="O643" s="411"/>
      <c r="P643" s="411"/>
      <c r="Q643" s="411"/>
      <c r="R643" s="411"/>
      <c r="S643" s="411"/>
      <c r="T643" s="411"/>
    </row>
    <row r="644" spans="1:20" ht="15" thickBot="1" x14ac:dyDescent="0.4">
      <c r="A644" s="447">
        <v>443.6</v>
      </c>
      <c r="B644" s="413">
        <v>1E-3</v>
      </c>
      <c r="C644" s="413">
        <v>0.35799999999999998</v>
      </c>
      <c r="D644" s="414">
        <f t="shared" si="21"/>
        <v>44.360000000000007</v>
      </c>
      <c r="E644" s="414"/>
      <c r="F644" s="415">
        <f t="shared" si="22"/>
        <v>-74564.135999999911</v>
      </c>
      <c r="G644" s="411"/>
      <c r="H644" s="411"/>
      <c r="I644" s="411"/>
      <c r="J644" s="411"/>
      <c r="K644" s="411"/>
      <c r="L644" s="411"/>
      <c r="M644" s="411"/>
      <c r="N644" s="411"/>
      <c r="O644" s="411"/>
      <c r="P644" s="411"/>
      <c r="Q644" s="411"/>
      <c r="R644" s="411"/>
      <c r="S644" s="411"/>
      <c r="T644" s="411"/>
    </row>
    <row r="645" spans="1:20" ht="15" thickBot="1" x14ac:dyDescent="0.4">
      <c r="A645" s="447">
        <v>445.02</v>
      </c>
      <c r="B645" s="413">
        <v>1E-3</v>
      </c>
      <c r="C645" s="413">
        <v>0.35699999999999998</v>
      </c>
      <c r="D645" s="414">
        <f t="shared" si="21"/>
        <v>44.501999999999995</v>
      </c>
      <c r="E645" s="414"/>
      <c r="F645" s="415">
        <f t="shared" si="22"/>
        <v>-74519.633999999918</v>
      </c>
      <c r="G645" s="411"/>
      <c r="H645" s="411"/>
      <c r="I645" s="411"/>
      <c r="J645" s="411"/>
      <c r="K645" s="411"/>
      <c r="L645" s="411"/>
      <c r="M645" s="411"/>
      <c r="N645" s="411"/>
      <c r="O645" s="411"/>
      <c r="P645" s="411"/>
      <c r="Q645" s="411"/>
      <c r="R645" s="411"/>
      <c r="S645" s="411"/>
      <c r="T645" s="411"/>
    </row>
    <row r="646" spans="1:20" ht="15" thickBot="1" x14ac:dyDescent="0.4">
      <c r="A646" s="447">
        <v>447.77</v>
      </c>
      <c r="B646" s="413">
        <v>1E-3</v>
      </c>
      <c r="C646" s="413">
        <v>0.35599999999999998</v>
      </c>
      <c r="D646" s="414">
        <f t="shared" si="21"/>
        <v>44.777000000000001</v>
      </c>
      <c r="E646" s="414"/>
      <c r="F646" s="415">
        <f t="shared" si="22"/>
        <v>-74474.856999999916</v>
      </c>
      <c r="G646" s="411"/>
      <c r="H646" s="411"/>
      <c r="I646" s="411"/>
      <c r="J646" s="411"/>
      <c r="K646" s="411"/>
      <c r="L646" s="411"/>
      <c r="M646" s="411"/>
      <c r="N646" s="411"/>
      <c r="O646" s="411"/>
      <c r="P646" s="411"/>
      <c r="Q646" s="411"/>
      <c r="R646" s="411"/>
      <c r="S646" s="411"/>
      <c r="T646" s="411"/>
    </row>
    <row r="647" spans="1:20" ht="15" thickBot="1" x14ac:dyDescent="0.4">
      <c r="A647" s="447">
        <v>448.84</v>
      </c>
      <c r="B647" s="413">
        <v>1E-3</v>
      </c>
      <c r="C647" s="413">
        <v>0.35499999999999998</v>
      </c>
      <c r="D647" s="414">
        <f t="shared" si="21"/>
        <v>44.883999999999993</v>
      </c>
      <c r="E647" s="414"/>
      <c r="F647" s="415">
        <f t="shared" si="22"/>
        <v>-74429.972999999911</v>
      </c>
      <c r="G647" s="411"/>
      <c r="H647" s="411"/>
      <c r="I647" s="411"/>
      <c r="J647" s="411"/>
      <c r="K647" s="411"/>
      <c r="L647" s="411"/>
      <c r="M647" s="411"/>
      <c r="N647" s="411"/>
      <c r="O647" s="411"/>
      <c r="P647" s="411"/>
      <c r="Q647" s="411"/>
      <c r="R647" s="411"/>
      <c r="S647" s="411"/>
      <c r="T647" s="411"/>
    </row>
    <row r="648" spans="1:20" ht="15" thickBot="1" x14ac:dyDescent="0.4">
      <c r="A648" s="447">
        <v>449.7</v>
      </c>
      <c r="B648" s="413">
        <v>1E-3</v>
      </c>
      <c r="C648" s="413">
        <v>0.35399999999999998</v>
      </c>
      <c r="D648" s="414">
        <f t="shared" si="21"/>
        <v>44.97</v>
      </c>
      <c r="E648" s="414"/>
      <c r="F648" s="415">
        <f t="shared" si="22"/>
        <v>-74385.00299999991</v>
      </c>
      <c r="G648" s="411"/>
      <c r="H648" s="411"/>
      <c r="I648" s="411"/>
      <c r="J648" s="411"/>
      <c r="K648" s="411"/>
      <c r="L648" s="411"/>
      <c r="M648" s="411"/>
      <c r="N648" s="411"/>
      <c r="O648" s="411"/>
      <c r="P648" s="411"/>
      <c r="Q648" s="411"/>
      <c r="R648" s="411"/>
      <c r="S648" s="411"/>
      <c r="T648" s="411"/>
    </row>
    <row r="649" spans="1:20" ht="15" thickBot="1" x14ac:dyDescent="0.4">
      <c r="A649" s="447">
        <v>458.73</v>
      </c>
      <c r="B649" s="413">
        <v>1E-3</v>
      </c>
      <c r="C649" s="413">
        <v>0.35299999999999998</v>
      </c>
      <c r="D649" s="414">
        <f t="shared" si="21"/>
        <v>45.873000000000005</v>
      </c>
      <c r="E649" s="414"/>
      <c r="F649" s="415">
        <f t="shared" si="22"/>
        <v>-74339.129999999903</v>
      </c>
      <c r="G649" s="411"/>
      <c r="H649" s="411"/>
      <c r="I649" s="411"/>
      <c r="J649" s="411"/>
      <c r="K649" s="411"/>
      <c r="L649" s="411"/>
      <c r="M649" s="411"/>
      <c r="N649" s="411"/>
      <c r="O649" s="411"/>
      <c r="P649" s="411"/>
      <c r="Q649" s="411"/>
      <c r="R649" s="411"/>
      <c r="S649" s="411"/>
      <c r="T649" s="411"/>
    </row>
    <row r="650" spans="1:20" ht="15" thickBot="1" x14ac:dyDescent="0.4">
      <c r="A650" s="447">
        <v>460.94</v>
      </c>
      <c r="B650" s="413">
        <v>1E-3</v>
      </c>
      <c r="C650" s="413">
        <v>0.35199999999999998</v>
      </c>
      <c r="D650" s="414">
        <f t="shared" si="21"/>
        <v>46.094000000000001</v>
      </c>
      <c r="E650" s="414"/>
      <c r="F650" s="415">
        <f t="shared" si="22"/>
        <v>-74293.035999999905</v>
      </c>
      <c r="G650" s="411"/>
      <c r="H650" s="411"/>
      <c r="I650" s="411"/>
      <c r="J650" s="411"/>
      <c r="K650" s="411"/>
      <c r="L650" s="411"/>
      <c r="M650" s="411"/>
      <c r="N650" s="411"/>
      <c r="O650" s="411"/>
      <c r="P650" s="411"/>
      <c r="Q650" s="411"/>
      <c r="R650" s="411"/>
      <c r="S650" s="411"/>
      <c r="T650" s="411"/>
    </row>
    <row r="651" spans="1:20" ht="15" thickBot="1" x14ac:dyDescent="0.4">
      <c r="A651" s="447">
        <v>462.4</v>
      </c>
      <c r="B651" s="413">
        <v>1E-3</v>
      </c>
      <c r="C651" s="413">
        <v>0.35099999999999998</v>
      </c>
      <c r="D651" s="414">
        <f t="shared" si="21"/>
        <v>46.239999999999995</v>
      </c>
      <c r="E651" s="414"/>
      <c r="F651" s="415">
        <f t="shared" si="22"/>
        <v>-74246.7959999999</v>
      </c>
      <c r="G651" s="411"/>
      <c r="H651" s="411"/>
      <c r="I651" s="411"/>
      <c r="J651" s="411"/>
      <c r="K651" s="411"/>
      <c r="L651" s="411"/>
      <c r="M651" s="411"/>
      <c r="N651" s="411"/>
      <c r="O651" s="411"/>
      <c r="P651" s="411"/>
      <c r="Q651" s="411"/>
      <c r="R651" s="411"/>
      <c r="S651" s="411"/>
      <c r="T651" s="411"/>
    </row>
    <row r="652" spans="1:20" ht="15" thickBot="1" x14ac:dyDescent="0.4">
      <c r="A652" s="447">
        <v>464.62</v>
      </c>
      <c r="B652" s="413">
        <v>1E-3</v>
      </c>
      <c r="C652" s="413">
        <v>0.35</v>
      </c>
      <c r="D652" s="414">
        <f t="shared" si="21"/>
        <v>46.462000000000003</v>
      </c>
      <c r="E652" s="414"/>
      <c r="F652" s="415">
        <f t="shared" si="22"/>
        <v>-74200.333999999901</v>
      </c>
      <c r="G652" s="411"/>
      <c r="H652" s="411"/>
      <c r="I652" s="411"/>
      <c r="J652" s="411"/>
      <c r="K652" s="411"/>
      <c r="L652" s="411"/>
      <c r="M652" s="411"/>
      <c r="N652" s="411"/>
      <c r="O652" s="411"/>
      <c r="P652" s="411"/>
      <c r="Q652" s="411"/>
      <c r="R652" s="411"/>
      <c r="S652" s="411"/>
      <c r="T652" s="411"/>
    </row>
    <row r="653" spans="1:20" ht="15" thickBot="1" x14ac:dyDescent="0.4">
      <c r="A653" s="447">
        <v>490.44</v>
      </c>
      <c r="B653" s="413">
        <v>1E-3</v>
      </c>
      <c r="C653" s="413">
        <v>0.34899999999999998</v>
      </c>
      <c r="D653" s="414">
        <f t="shared" si="21"/>
        <v>49.043999999999997</v>
      </c>
      <c r="E653" s="414"/>
      <c r="F653" s="415">
        <f t="shared" si="22"/>
        <v>-74151.289999999906</v>
      </c>
      <c r="G653" s="411"/>
      <c r="H653" s="411"/>
      <c r="I653" s="411"/>
      <c r="J653" s="411"/>
      <c r="K653" s="411"/>
      <c r="L653" s="411"/>
      <c r="M653" s="411"/>
      <c r="N653" s="411"/>
      <c r="O653" s="411"/>
      <c r="P653" s="411"/>
      <c r="Q653" s="411"/>
      <c r="R653" s="411"/>
      <c r="S653" s="411"/>
      <c r="T653" s="411"/>
    </row>
    <row r="654" spans="1:20" ht="15" thickBot="1" x14ac:dyDescent="0.4">
      <c r="A654" s="447">
        <v>491.27</v>
      </c>
      <c r="B654" s="413">
        <v>1E-3</v>
      </c>
      <c r="C654" s="413">
        <v>0.34799999999999998</v>
      </c>
      <c r="D654" s="414">
        <f t="shared" si="21"/>
        <v>49.126999999999995</v>
      </c>
      <c r="E654" s="414"/>
      <c r="F654" s="415">
        <f t="shared" si="22"/>
        <v>-74102.162999999913</v>
      </c>
      <c r="G654" s="411"/>
      <c r="H654" s="411"/>
      <c r="I654" s="411"/>
      <c r="J654" s="411"/>
      <c r="K654" s="411"/>
      <c r="L654" s="411"/>
      <c r="M654" s="411"/>
      <c r="N654" s="411"/>
      <c r="O654" s="411"/>
      <c r="P654" s="411"/>
      <c r="Q654" s="411"/>
      <c r="R654" s="411"/>
      <c r="S654" s="411"/>
      <c r="T654" s="411"/>
    </row>
    <row r="655" spans="1:20" ht="15" thickBot="1" x14ac:dyDescent="0.4">
      <c r="A655" s="447">
        <v>494</v>
      </c>
      <c r="B655" s="413">
        <v>1E-3</v>
      </c>
      <c r="C655" s="413">
        <v>0.34699999999999998</v>
      </c>
      <c r="D655" s="414">
        <f t="shared" si="21"/>
        <v>49.4</v>
      </c>
      <c r="E655" s="414"/>
      <c r="F655" s="415">
        <f t="shared" si="22"/>
        <v>-74052.762999999919</v>
      </c>
      <c r="G655" s="411"/>
      <c r="H655" s="411"/>
      <c r="I655" s="411"/>
      <c r="J655" s="411"/>
      <c r="K655" s="411"/>
      <c r="L655" s="411"/>
      <c r="M655" s="411"/>
      <c r="N655" s="411"/>
      <c r="O655" s="411"/>
      <c r="P655" s="411"/>
      <c r="Q655" s="411"/>
      <c r="R655" s="411"/>
      <c r="S655" s="411"/>
      <c r="T655" s="411"/>
    </row>
    <row r="656" spans="1:20" ht="15" thickBot="1" x14ac:dyDescent="0.4">
      <c r="A656" s="447">
        <v>494.18</v>
      </c>
      <c r="B656" s="413">
        <v>1E-3</v>
      </c>
      <c r="C656" s="413">
        <v>0.34599999999999997</v>
      </c>
      <c r="D656" s="414">
        <f t="shared" si="21"/>
        <v>49.417999999999999</v>
      </c>
      <c r="E656" s="414"/>
      <c r="F656" s="415">
        <f t="shared" si="22"/>
        <v>-74003.344999999914</v>
      </c>
      <c r="G656" s="411"/>
      <c r="H656" s="411"/>
      <c r="I656" s="411"/>
      <c r="J656" s="411"/>
      <c r="K656" s="411"/>
      <c r="L656" s="411"/>
      <c r="M656" s="411"/>
      <c r="N656" s="411"/>
      <c r="O656" s="411"/>
      <c r="P656" s="411"/>
      <c r="Q656" s="411"/>
      <c r="R656" s="411"/>
      <c r="S656" s="411"/>
      <c r="T656" s="411"/>
    </row>
    <row r="657" spans="1:20" ht="15" thickBot="1" x14ac:dyDescent="0.4">
      <c r="A657" s="447">
        <v>494.95</v>
      </c>
      <c r="B657" s="413">
        <v>1E-3</v>
      </c>
      <c r="C657" s="413">
        <v>0.34499999999999997</v>
      </c>
      <c r="D657" s="414">
        <f t="shared" si="21"/>
        <v>49.494999999999997</v>
      </c>
      <c r="E657" s="414"/>
      <c r="F657" s="415">
        <f t="shared" si="22"/>
        <v>-73953.849999999919</v>
      </c>
      <c r="G657" s="411"/>
      <c r="H657" s="411"/>
      <c r="I657" s="411"/>
      <c r="J657" s="411"/>
      <c r="K657" s="411"/>
      <c r="L657" s="411"/>
      <c r="M657" s="411"/>
      <c r="N657" s="411"/>
      <c r="O657" s="411"/>
      <c r="P657" s="411"/>
      <c r="Q657" s="411"/>
      <c r="R657" s="411"/>
      <c r="S657" s="411"/>
      <c r="T657" s="411"/>
    </row>
    <row r="658" spans="1:20" ht="15" thickBot="1" x14ac:dyDescent="0.4">
      <c r="A658" s="447">
        <v>495.05</v>
      </c>
      <c r="B658" s="413">
        <v>1E-3</v>
      </c>
      <c r="C658" s="413">
        <v>0.34399999999999997</v>
      </c>
      <c r="D658" s="414">
        <f t="shared" si="21"/>
        <v>49.505000000000003</v>
      </c>
      <c r="E658" s="414"/>
      <c r="F658" s="415">
        <f t="shared" si="22"/>
        <v>-73904.344999999914</v>
      </c>
      <c r="G658" s="411"/>
      <c r="H658" s="411"/>
      <c r="I658" s="411"/>
      <c r="J658" s="411"/>
      <c r="K658" s="411"/>
      <c r="L658" s="411"/>
      <c r="M658" s="411"/>
      <c r="N658" s="411"/>
      <c r="O658" s="411"/>
      <c r="P658" s="411"/>
      <c r="Q658" s="411"/>
      <c r="R658" s="411"/>
      <c r="S658" s="411"/>
      <c r="T658" s="411"/>
    </row>
    <row r="659" spans="1:20" ht="15" thickBot="1" x14ac:dyDescent="0.4">
      <c r="A659" s="447">
        <v>495.11</v>
      </c>
      <c r="B659" s="413">
        <v>1E-3</v>
      </c>
      <c r="C659" s="413">
        <v>0.34300000000000003</v>
      </c>
      <c r="D659" s="414">
        <f t="shared" si="21"/>
        <v>49.511000000000003</v>
      </c>
      <c r="E659" s="414"/>
      <c r="F659" s="415">
        <f t="shared" si="22"/>
        <v>-73854.833999999915</v>
      </c>
      <c r="G659" s="411"/>
      <c r="H659" s="411"/>
      <c r="I659" s="411"/>
      <c r="J659" s="411"/>
      <c r="K659" s="411"/>
      <c r="L659" s="411"/>
      <c r="M659" s="411"/>
      <c r="N659" s="411"/>
      <c r="O659" s="411"/>
      <c r="P659" s="411"/>
      <c r="Q659" s="411"/>
      <c r="R659" s="411"/>
      <c r="S659" s="411"/>
      <c r="T659" s="411"/>
    </row>
    <row r="660" spans="1:20" ht="15" thickBot="1" x14ac:dyDescent="0.4">
      <c r="A660" s="447">
        <v>495.15</v>
      </c>
      <c r="B660" s="413">
        <v>1E-3</v>
      </c>
      <c r="C660" s="413">
        <v>0.34200000000000003</v>
      </c>
      <c r="D660" s="414">
        <f t="shared" si="21"/>
        <v>49.514999999999993</v>
      </c>
      <c r="E660" s="414"/>
      <c r="F660" s="415">
        <f t="shared" si="22"/>
        <v>-73805.318999999916</v>
      </c>
      <c r="G660" s="411"/>
      <c r="H660" s="411"/>
      <c r="I660" s="411"/>
      <c r="J660" s="411"/>
      <c r="K660" s="411"/>
      <c r="L660" s="411"/>
      <c r="M660" s="411"/>
      <c r="N660" s="411"/>
      <c r="O660" s="411"/>
      <c r="P660" s="411"/>
      <c r="Q660" s="411"/>
      <c r="R660" s="411"/>
      <c r="S660" s="411"/>
      <c r="T660" s="411"/>
    </row>
    <row r="661" spans="1:20" ht="15" thickBot="1" x14ac:dyDescent="0.4">
      <c r="A661" s="447">
        <v>495.23</v>
      </c>
      <c r="B661" s="413">
        <v>1E-3</v>
      </c>
      <c r="C661" s="413">
        <v>0.34100000000000003</v>
      </c>
      <c r="D661" s="414">
        <f t="shared" si="21"/>
        <v>49.522999999999996</v>
      </c>
      <c r="E661" s="414"/>
      <c r="F661" s="415">
        <f t="shared" si="22"/>
        <v>-73755.795999999915</v>
      </c>
      <c r="G661" s="411"/>
      <c r="H661" s="411"/>
      <c r="I661" s="411"/>
      <c r="J661" s="411"/>
      <c r="K661" s="411"/>
      <c r="L661" s="411"/>
      <c r="M661" s="411"/>
      <c r="N661" s="411"/>
      <c r="O661" s="411"/>
      <c r="P661" s="411"/>
      <c r="Q661" s="411"/>
      <c r="R661" s="411"/>
      <c r="S661" s="411"/>
      <c r="T661" s="411"/>
    </row>
    <row r="662" spans="1:20" ht="15" thickBot="1" x14ac:dyDescent="0.4">
      <c r="A662" s="447">
        <v>498.42</v>
      </c>
      <c r="B662" s="413">
        <v>1E-3</v>
      </c>
      <c r="C662" s="413">
        <v>0.34</v>
      </c>
      <c r="D662" s="414">
        <f t="shared" si="21"/>
        <v>49.841999999999999</v>
      </c>
      <c r="E662" s="414"/>
      <c r="F662" s="415">
        <f t="shared" si="22"/>
        <v>-73705.953999999911</v>
      </c>
      <c r="G662" s="411"/>
      <c r="H662" s="411"/>
      <c r="I662" s="411"/>
      <c r="J662" s="411"/>
      <c r="K662" s="411"/>
      <c r="L662" s="411"/>
      <c r="M662" s="411"/>
      <c r="N662" s="411"/>
      <c r="O662" s="411"/>
      <c r="P662" s="411"/>
      <c r="Q662" s="411"/>
      <c r="R662" s="411"/>
      <c r="S662" s="411"/>
      <c r="T662" s="411"/>
    </row>
    <row r="663" spans="1:20" ht="15" thickBot="1" x14ac:dyDescent="0.4">
      <c r="A663" s="447">
        <v>499.48</v>
      </c>
      <c r="B663" s="413">
        <v>1E-3</v>
      </c>
      <c r="C663" s="413">
        <v>0.33900000000000002</v>
      </c>
      <c r="D663" s="414">
        <f t="shared" si="21"/>
        <v>49.948</v>
      </c>
      <c r="E663" s="414"/>
      <c r="F663" s="415">
        <f t="shared" si="22"/>
        <v>-73656.005999999907</v>
      </c>
      <c r="G663" s="411"/>
      <c r="H663" s="411"/>
      <c r="I663" s="411"/>
      <c r="J663" s="411"/>
      <c r="K663" s="411"/>
      <c r="L663" s="411"/>
      <c r="M663" s="411"/>
      <c r="N663" s="411"/>
      <c r="O663" s="411"/>
      <c r="P663" s="411"/>
      <c r="Q663" s="411"/>
      <c r="R663" s="411"/>
      <c r="S663" s="411"/>
      <c r="T663" s="411"/>
    </row>
    <row r="664" spans="1:20" ht="15" thickBot="1" x14ac:dyDescent="0.4">
      <c r="A664" s="447">
        <v>500.61</v>
      </c>
      <c r="B664" s="413">
        <v>1E-3</v>
      </c>
      <c r="C664" s="413">
        <v>0.33800000000000002</v>
      </c>
      <c r="D664" s="414">
        <f t="shared" si="21"/>
        <v>50.061</v>
      </c>
      <c r="E664" s="414"/>
      <c r="F664" s="415">
        <f t="shared" si="22"/>
        <v>-73605.944999999905</v>
      </c>
      <c r="G664" s="411"/>
      <c r="H664" s="411"/>
      <c r="I664" s="411"/>
      <c r="J664" s="411"/>
      <c r="K664" s="411"/>
      <c r="L664" s="411"/>
      <c r="M664" s="411"/>
      <c r="N664" s="411"/>
      <c r="O664" s="411"/>
      <c r="P664" s="411"/>
      <c r="Q664" s="411"/>
      <c r="R664" s="411"/>
      <c r="S664" s="411"/>
      <c r="T664" s="411"/>
    </row>
    <row r="665" spans="1:20" ht="15" thickBot="1" x14ac:dyDescent="0.4">
      <c r="A665" s="447">
        <v>501.28</v>
      </c>
      <c r="B665" s="413">
        <v>1E-3</v>
      </c>
      <c r="C665" s="413">
        <v>0.33700000000000002</v>
      </c>
      <c r="D665" s="414">
        <f t="shared" si="21"/>
        <v>50.127999999999993</v>
      </c>
      <c r="E665" s="414"/>
      <c r="F665" s="415">
        <f t="shared" si="22"/>
        <v>-73555.816999999908</v>
      </c>
      <c r="G665" s="411"/>
      <c r="H665" s="411"/>
      <c r="I665" s="411"/>
      <c r="J665" s="411"/>
      <c r="K665" s="411"/>
      <c r="L665" s="411"/>
      <c r="M665" s="411"/>
      <c r="N665" s="411"/>
      <c r="O665" s="411"/>
      <c r="P665" s="411"/>
      <c r="Q665" s="411"/>
      <c r="R665" s="411"/>
      <c r="S665" s="411"/>
      <c r="T665" s="411"/>
    </row>
    <row r="666" spans="1:20" ht="15" thickBot="1" x14ac:dyDescent="0.4">
      <c r="A666" s="447">
        <v>508.12</v>
      </c>
      <c r="B666" s="413">
        <v>1E-3</v>
      </c>
      <c r="C666" s="413">
        <v>0.33600000000000002</v>
      </c>
      <c r="D666" s="414">
        <f t="shared" si="21"/>
        <v>50.811999999999998</v>
      </c>
      <c r="E666" s="414"/>
      <c r="F666" s="415">
        <f t="shared" si="22"/>
        <v>-73505.004999999903</v>
      </c>
      <c r="G666" s="411"/>
      <c r="H666" s="411"/>
      <c r="I666" s="411"/>
      <c r="J666" s="411"/>
      <c r="K666" s="411"/>
      <c r="L666" s="411"/>
      <c r="M666" s="411"/>
      <c r="N666" s="411"/>
      <c r="O666" s="411"/>
      <c r="P666" s="411"/>
      <c r="Q666" s="411"/>
      <c r="R666" s="411"/>
      <c r="S666" s="411"/>
      <c r="T666" s="411"/>
    </row>
    <row r="667" spans="1:20" ht="15" thickBot="1" x14ac:dyDescent="0.4">
      <c r="A667" s="447">
        <v>536.14</v>
      </c>
      <c r="B667" s="413">
        <v>1E-3</v>
      </c>
      <c r="C667" s="413">
        <v>0.33500000000000002</v>
      </c>
      <c r="D667" s="414">
        <f t="shared" si="21"/>
        <v>53.613999999999997</v>
      </c>
      <c r="E667" s="414"/>
      <c r="F667" s="415">
        <f t="shared" si="22"/>
        <v>-73451.390999999901</v>
      </c>
      <c r="G667" s="411"/>
      <c r="H667" s="411"/>
      <c r="I667" s="411"/>
      <c r="J667" s="411"/>
      <c r="K667" s="411"/>
      <c r="L667" s="411"/>
      <c r="M667" s="411"/>
      <c r="N667" s="411"/>
      <c r="O667" s="411"/>
      <c r="P667" s="411"/>
      <c r="Q667" s="411"/>
      <c r="R667" s="411"/>
      <c r="S667" s="411"/>
      <c r="T667" s="411"/>
    </row>
    <row r="668" spans="1:20" ht="15" thickBot="1" x14ac:dyDescent="0.4">
      <c r="A668" s="447">
        <v>540.11</v>
      </c>
      <c r="B668" s="413">
        <v>1E-3</v>
      </c>
      <c r="C668" s="413">
        <v>0.33400000000000002</v>
      </c>
      <c r="D668" s="414">
        <f t="shared" si="21"/>
        <v>54.010999999999996</v>
      </c>
      <c r="E668" s="414"/>
      <c r="F668" s="415">
        <f t="shared" si="22"/>
        <v>-73397.379999999903</v>
      </c>
      <c r="G668" s="411"/>
      <c r="H668" s="411"/>
      <c r="I668" s="411"/>
      <c r="J668" s="411"/>
      <c r="K668" s="411"/>
      <c r="L668" s="411"/>
      <c r="M668" s="411"/>
      <c r="N668" s="411"/>
      <c r="O668" s="411"/>
      <c r="P668" s="411"/>
      <c r="Q668" s="411"/>
      <c r="R668" s="411"/>
      <c r="S668" s="411"/>
      <c r="T668" s="411"/>
    </row>
    <row r="669" spans="1:20" ht="15" thickBot="1" x14ac:dyDescent="0.4">
      <c r="A669" s="447">
        <v>548.5</v>
      </c>
      <c r="B669" s="413">
        <v>1E-3</v>
      </c>
      <c r="C669" s="413">
        <v>0.33300000000000002</v>
      </c>
      <c r="D669" s="414">
        <f t="shared" si="21"/>
        <v>54.849999999999994</v>
      </c>
      <c r="E669" s="414"/>
      <c r="F669" s="415">
        <f t="shared" si="22"/>
        <v>-73342.529999999897</v>
      </c>
      <c r="G669" s="411"/>
      <c r="H669" s="411"/>
      <c r="I669" s="411"/>
      <c r="J669" s="411"/>
      <c r="K669" s="411"/>
      <c r="L669" s="411"/>
      <c r="M669" s="411"/>
      <c r="N669" s="411"/>
      <c r="O669" s="411"/>
      <c r="P669" s="411"/>
      <c r="Q669" s="411"/>
      <c r="R669" s="411"/>
      <c r="S669" s="411"/>
      <c r="T669" s="411"/>
    </row>
    <row r="670" spans="1:20" ht="15" thickBot="1" x14ac:dyDescent="0.4">
      <c r="A670" s="447">
        <v>554.65</v>
      </c>
      <c r="B670" s="413">
        <v>1E-3</v>
      </c>
      <c r="C670" s="413">
        <v>0.33200000000000002</v>
      </c>
      <c r="D670" s="414">
        <f t="shared" si="21"/>
        <v>55.464999999999996</v>
      </c>
      <c r="E670" s="414"/>
      <c r="F670" s="415">
        <f t="shared" si="22"/>
        <v>-73287.0649999999</v>
      </c>
      <c r="G670" s="411"/>
      <c r="H670" s="411"/>
      <c r="I670" s="411"/>
      <c r="J670" s="411"/>
      <c r="K670" s="411"/>
      <c r="L670" s="411"/>
      <c r="M670" s="411"/>
      <c r="N670" s="411"/>
      <c r="O670" s="411"/>
      <c r="P670" s="411"/>
      <c r="Q670" s="411"/>
      <c r="R670" s="411"/>
      <c r="S670" s="411"/>
      <c r="T670" s="411"/>
    </row>
    <row r="671" spans="1:20" ht="15" thickBot="1" x14ac:dyDescent="0.4">
      <c r="A671" s="447">
        <v>557.94000000000005</v>
      </c>
      <c r="B671" s="413">
        <v>1E-3</v>
      </c>
      <c r="C671" s="413">
        <v>0.33100000000000002</v>
      </c>
      <c r="D671" s="414">
        <f t="shared" si="21"/>
        <v>55.794000000000011</v>
      </c>
      <c r="E671" s="414"/>
      <c r="F671" s="415">
        <f t="shared" si="22"/>
        <v>-73231.270999999906</v>
      </c>
      <c r="G671" s="411"/>
      <c r="H671" s="411"/>
      <c r="I671" s="411"/>
      <c r="J671" s="411"/>
      <c r="K671" s="411"/>
      <c r="L671" s="411"/>
      <c r="M671" s="411"/>
      <c r="N671" s="411"/>
      <c r="O671" s="411"/>
      <c r="P671" s="411"/>
      <c r="Q671" s="411"/>
      <c r="R671" s="411"/>
      <c r="S671" s="411"/>
      <c r="T671" s="411"/>
    </row>
    <row r="672" spans="1:20" ht="15" thickBot="1" x14ac:dyDescent="0.4">
      <c r="A672" s="447">
        <v>559.58000000000004</v>
      </c>
      <c r="B672" s="413">
        <v>1E-3</v>
      </c>
      <c r="C672" s="413">
        <v>0.33</v>
      </c>
      <c r="D672" s="414">
        <f t="shared" si="21"/>
        <v>55.958000000000006</v>
      </c>
      <c r="E672" s="414"/>
      <c r="F672" s="415">
        <f t="shared" si="22"/>
        <v>-73175.312999999907</v>
      </c>
      <c r="G672" s="411"/>
      <c r="H672" s="411"/>
      <c r="I672" s="411"/>
      <c r="J672" s="411"/>
      <c r="K672" s="411"/>
      <c r="L672" s="411"/>
      <c r="M672" s="411"/>
      <c r="N672" s="411"/>
      <c r="O672" s="411"/>
      <c r="P672" s="411"/>
      <c r="Q672" s="411"/>
      <c r="R672" s="411"/>
      <c r="S672" s="411"/>
      <c r="T672" s="411"/>
    </row>
    <row r="673" spans="1:20" ht="15" thickBot="1" x14ac:dyDescent="0.4">
      <c r="A673" s="447">
        <v>575.47</v>
      </c>
      <c r="B673" s="413">
        <v>1E-3</v>
      </c>
      <c r="C673" s="413">
        <v>0.32900000000000001</v>
      </c>
      <c r="D673" s="414">
        <f t="shared" si="21"/>
        <v>57.547000000000004</v>
      </c>
      <c r="E673" s="414"/>
      <c r="F673" s="415">
        <f t="shared" si="22"/>
        <v>-73117.765999999901</v>
      </c>
      <c r="G673" s="411"/>
      <c r="H673" s="411"/>
      <c r="I673" s="411"/>
      <c r="J673" s="411"/>
      <c r="K673" s="411"/>
      <c r="L673" s="411"/>
      <c r="M673" s="411"/>
      <c r="N673" s="411"/>
      <c r="O673" s="411"/>
      <c r="P673" s="411"/>
      <c r="Q673" s="411"/>
      <c r="R673" s="411"/>
      <c r="S673" s="411"/>
      <c r="T673" s="411"/>
    </row>
    <row r="674" spans="1:20" ht="15" thickBot="1" x14ac:dyDescent="0.4">
      <c r="A674" s="447">
        <v>575.87</v>
      </c>
      <c r="B674" s="413">
        <v>1E-3</v>
      </c>
      <c r="C674" s="413">
        <v>0.32800000000000001</v>
      </c>
      <c r="D674" s="414">
        <f t="shared" si="21"/>
        <v>57.586999999999996</v>
      </c>
      <c r="E674" s="414"/>
      <c r="F674" s="415">
        <f t="shared" si="22"/>
        <v>-73060.178999999902</v>
      </c>
      <c r="G674" s="411"/>
      <c r="H674" s="411"/>
      <c r="I674" s="411"/>
      <c r="J674" s="411"/>
      <c r="K674" s="411"/>
      <c r="L674" s="411"/>
      <c r="M674" s="411"/>
      <c r="N674" s="411"/>
      <c r="O674" s="411"/>
      <c r="P674" s="411"/>
      <c r="Q674" s="411"/>
      <c r="R674" s="411"/>
      <c r="S674" s="411"/>
      <c r="T674" s="411"/>
    </row>
    <row r="675" spans="1:20" ht="15" thickBot="1" x14ac:dyDescent="0.4">
      <c r="A675" s="447">
        <v>580.08000000000004</v>
      </c>
      <c r="B675" s="413">
        <v>1E-3</v>
      </c>
      <c r="C675" s="413">
        <v>0.32700000000000001</v>
      </c>
      <c r="D675" s="414">
        <f t="shared" si="21"/>
        <v>58.008000000000003</v>
      </c>
      <c r="E675" s="414"/>
      <c r="F675" s="415">
        <f t="shared" si="22"/>
        <v>-73002.1709999999</v>
      </c>
      <c r="G675" s="411"/>
      <c r="H675" s="411"/>
      <c r="I675" s="411"/>
      <c r="J675" s="411"/>
      <c r="K675" s="411"/>
      <c r="L675" s="411"/>
      <c r="M675" s="411"/>
      <c r="N675" s="411"/>
      <c r="O675" s="411"/>
      <c r="P675" s="411"/>
      <c r="Q675" s="411"/>
      <c r="R675" s="411"/>
      <c r="S675" s="411"/>
      <c r="T675" s="411"/>
    </row>
    <row r="676" spans="1:20" ht="15" thickBot="1" x14ac:dyDescent="0.4">
      <c r="A676" s="447">
        <v>583.76</v>
      </c>
      <c r="B676" s="413">
        <v>1E-3</v>
      </c>
      <c r="C676" s="413">
        <v>0.32600000000000001</v>
      </c>
      <c r="D676" s="414">
        <f t="shared" si="21"/>
        <v>58.376000000000005</v>
      </c>
      <c r="E676" s="414"/>
      <c r="F676" s="415">
        <f t="shared" si="22"/>
        <v>-72943.794999999896</v>
      </c>
      <c r="G676" s="411"/>
      <c r="H676" s="411"/>
      <c r="I676" s="411"/>
      <c r="J676" s="411"/>
      <c r="K676" s="411"/>
      <c r="L676" s="411"/>
      <c r="M676" s="411"/>
      <c r="N676" s="411"/>
      <c r="O676" s="411"/>
      <c r="P676" s="411"/>
      <c r="Q676" s="411"/>
      <c r="R676" s="411"/>
      <c r="S676" s="411"/>
      <c r="T676" s="411"/>
    </row>
    <row r="677" spans="1:20" ht="15" thickBot="1" x14ac:dyDescent="0.4">
      <c r="A677" s="447">
        <v>583.79999999999995</v>
      </c>
      <c r="B677" s="413">
        <v>1E-3</v>
      </c>
      <c r="C677" s="413">
        <v>0.32500000000000001</v>
      </c>
      <c r="D677" s="414">
        <f t="shared" si="21"/>
        <v>58.379999999999995</v>
      </c>
      <c r="E677" s="414"/>
      <c r="F677" s="415">
        <f t="shared" si="22"/>
        <v>-72885.414999999892</v>
      </c>
      <c r="G677" s="411"/>
      <c r="H677" s="411"/>
      <c r="I677" s="411"/>
      <c r="J677" s="411"/>
      <c r="K677" s="411"/>
      <c r="L677" s="411"/>
      <c r="M677" s="411"/>
      <c r="N677" s="411"/>
      <c r="O677" s="411"/>
      <c r="P677" s="411"/>
      <c r="Q677" s="411"/>
      <c r="R677" s="411"/>
      <c r="S677" s="411"/>
      <c r="T677" s="411"/>
    </row>
    <row r="678" spans="1:20" ht="15" thickBot="1" x14ac:dyDescent="0.4">
      <c r="A678" s="447">
        <v>585.88</v>
      </c>
      <c r="B678" s="413">
        <v>1E-3</v>
      </c>
      <c r="C678" s="413">
        <v>0.32400000000000001</v>
      </c>
      <c r="D678" s="414">
        <f t="shared" si="21"/>
        <v>58.587999999999994</v>
      </c>
      <c r="E678" s="414"/>
      <c r="F678" s="415">
        <f t="shared" si="22"/>
        <v>-72826.826999999888</v>
      </c>
      <c r="G678" s="411"/>
      <c r="H678" s="411"/>
      <c r="I678" s="411"/>
      <c r="J678" s="411"/>
      <c r="K678" s="411"/>
      <c r="L678" s="411"/>
      <c r="M678" s="411"/>
      <c r="N678" s="411"/>
      <c r="O678" s="411"/>
      <c r="P678" s="411"/>
      <c r="Q678" s="411"/>
      <c r="R678" s="411"/>
      <c r="S678" s="411"/>
      <c r="T678" s="411"/>
    </row>
    <row r="679" spans="1:20" ht="15" thickBot="1" x14ac:dyDescent="0.4">
      <c r="A679" s="447">
        <v>587.84</v>
      </c>
      <c r="B679" s="413">
        <v>1E-3</v>
      </c>
      <c r="C679" s="413">
        <v>0.32300000000000001</v>
      </c>
      <c r="D679" s="414">
        <f t="shared" si="21"/>
        <v>58.783999999999999</v>
      </c>
      <c r="E679" s="414"/>
      <c r="F679" s="415">
        <f t="shared" si="22"/>
        <v>-72768.042999999889</v>
      </c>
      <c r="G679" s="411"/>
      <c r="H679" s="411"/>
      <c r="I679" s="411"/>
      <c r="J679" s="411"/>
      <c r="K679" s="411"/>
      <c r="L679" s="411"/>
      <c r="M679" s="411"/>
      <c r="N679" s="411"/>
      <c r="O679" s="411"/>
      <c r="P679" s="411"/>
      <c r="Q679" s="411"/>
      <c r="R679" s="411"/>
      <c r="S679" s="411"/>
      <c r="T679" s="411"/>
    </row>
    <row r="680" spans="1:20" ht="15" thickBot="1" x14ac:dyDescent="0.4">
      <c r="A680" s="447">
        <v>593.67999999999995</v>
      </c>
      <c r="B680" s="413">
        <v>1E-3</v>
      </c>
      <c r="C680" s="413">
        <v>0.32200000000000001</v>
      </c>
      <c r="D680" s="414">
        <f t="shared" si="21"/>
        <v>59.367999999999995</v>
      </c>
      <c r="E680" s="414"/>
      <c r="F680" s="415">
        <f t="shared" si="22"/>
        <v>-72708.674999999886</v>
      </c>
      <c r="G680" s="411"/>
      <c r="H680" s="411"/>
      <c r="I680" s="411"/>
      <c r="J680" s="411"/>
      <c r="K680" s="411"/>
      <c r="L680" s="411"/>
      <c r="M680" s="411"/>
      <c r="N680" s="411"/>
      <c r="O680" s="411"/>
      <c r="P680" s="411"/>
      <c r="Q680" s="411"/>
      <c r="R680" s="411"/>
      <c r="S680" s="411"/>
      <c r="T680" s="411"/>
    </row>
    <row r="681" spans="1:20" ht="15" thickBot="1" x14ac:dyDescent="0.4">
      <c r="A681" s="447">
        <v>597.07000000000005</v>
      </c>
      <c r="B681" s="413">
        <v>1E-3</v>
      </c>
      <c r="C681" s="413">
        <v>0.32100000000000001</v>
      </c>
      <c r="D681" s="414">
        <f t="shared" si="21"/>
        <v>59.707000000000008</v>
      </c>
      <c r="E681" s="414"/>
      <c r="F681" s="415">
        <f t="shared" si="22"/>
        <v>-72648.967999999892</v>
      </c>
      <c r="G681" s="411"/>
      <c r="H681" s="411"/>
      <c r="I681" s="411"/>
      <c r="J681" s="411"/>
      <c r="K681" s="411"/>
      <c r="L681" s="411"/>
      <c r="M681" s="411"/>
      <c r="N681" s="411"/>
      <c r="O681" s="411"/>
      <c r="P681" s="411"/>
      <c r="Q681" s="411"/>
      <c r="R681" s="411"/>
      <c r="S681" s="411"/>
      <c r="T681" s="411"/>
    </row>
    <row r="682" spans="1:20" ht="15" thickBot="1" x14ac:dyDescent="0.4">
      <c r="A682" s="447">
        <v>600.01</v>
      </c>
      <c r="B682" s="413">
        <v>1E-3</v>
      </c>
      <c r="C682" s="413">
        <v>0.32</v>
      </c>
      <c r="D682" s="414">
        <f t="shared" si="21"/>
        <v>60.001000000000005</v>
      </c>
      <c r="E682" s="414"/>
      <c r="F682" s="415">
        <f t="shared" si="22"/>
        <v>-72588.966999999888</v>
      </c>
      <c r="G682" s="411"/>
      <c r="H682" s="411"/>
      <c r="I682" s="411"/>
      <c r="J682" s="411"/>
      <c r="K682" s="411"/>
      <c r="L682" s="411"/>
      <c r="M682" s="411"/>
      <c r="N682" s="411"/>
      <c r="O682" s="411"/>
      <c r="P682" s="411"/>
      <c r="Q682" s="411"/>
      <c r="R682" s="411"/>
      <c r="S682" s="411"/>
      <c r="T682" s="411"/>
    </row>
    <row r="683" spans="1:20" ht="15" thickBot="1" x14ac:dyDescent="0.4">
      <c r="A683" s="447">
        <v>602.37</v>
      </c>
      <c r="B683" s="413">
        <v>1E-3</v>
      </c>
      <c r="C683" s="413">
        <v>0.31900000000000001</v>
      </c>
      <c r="D683" s="414">
        <f t="shared" si="21"/>
        <v>60.237000000000009</v>
      </c>
      <c r="E683" s="414"/>
      <c r="F683" s="415">
        <f t="shared" si="22"/>
        <v>-72528.729999999894</v>
      </c>
      <c r="G683" s="411"/>
      <c r="H683" s="411"/>
      <c r="I683" s="411"/>
      <c r="J683" s="411"/>
      <c r="K683" s="411"/>
      <c r="L683" s="411"/>
      <c r="M683" s="411"/>
      <c r="N683" s="411"/>
      <c r="O683" s="411"/>
      <c r="P683" s="411"/>
      <c r="Q683" s="411"/>
      <c r="R683" s="411"/>
      <c r="S683" s="411"/>
      <c r="T683" s="411"/>
    </row>
    <row r="684" spans="1:20" ht="15" thickBot="1" x14ac:dyDescent="0.4">
      <c r="A684" s="447">
        <v>609.59</v>
      </c>
      <c r="B684" s="413">
        <v>1E-3</v>
      </c>
      <c r="C684" s="413">
        <v>0.318</v>
      </c>
      <c r="D684" s="414">
        <f t="shared" si="21"/>
        <v>60.959000000000003</v>
      </c>
      <c r="E684" s="414"/>
      <c r="F684" s="415">
        <f t="shared" si="22"/>
        <v>-72467.770999999892</v>
      </c>
      <c r="G684" s="411"/>
      <c r="H684" s="411"/>
      <c r="I684" s="411"/>
      <c r="J684" s="411"/>
      <c r="K684" s="411"/>
      <c r="L684" s="411"/>
      <c r="M684" s="411"/>
      <c r="N684" s="411"/>
      <c r="O684" s="411"/>
      <c r="P684" s="411"/>
      <c r="Q684" s="411"/>
      <c r="R684" s="411"/>
      <c r="S684" s="411"/>
      <c r="T684" s="411"/>
    </row>
    <row r="685" spans="1:20" ht="15" thickBot="1" x14ac:dyDescent="0.4">
      <c r="A685" s="447">
        <v>619.04</v>
      </c>
      <c r="B685" s="413">
        <v>1E-3</v>
      </c>
      <c r="C685" s="413">
        <v>0.317</v>
      </c>
      <c r="D685" s="414">
        <f t="shared" si="21"/>
        <v>61.903999999999989</v>
      </c>
      <c r="E685" s="414"/>
      <c r="F685" s="415">
        <f t="shared" si="22"/>
        <v>-72405.866999999897</v>
      </c>
      <c r="G685" s="411"/>
      <c r="H685" s="411"/>
      <c r="I685" s="411"/>
      <c r="J685" s="411"/>
      <c r="K685" s="411"/>
      <c r="L685" s="411"/>
      <c r="M685" s="411"/>
      <c r="N685" s="411"/>
      <c r="O685" s="411"/>
      <c r="P685" s="411"/>
      <c r="Q685" s="411"/>
      <c r="R685" s="411"/>
      <c r="S685" s="411"/>
      <c r="T685" s="411"/>
    </row>
    <row r="686" spans="1:20" ht="15" thickBot="1" x14ac:dyDescent="0.4">
      <c r="A686" s="447">
        <v>624.54999999999995</v>
      </c>
      <c r="B686" s="413">
        <v>1E-3</v>
      </c>
      <c r="C686" s="413">
        <v>0.316</v>
      </c>
      <c r="D686" s="414">
        <f t="shared" si="21"/>
        <v>62.454999999999991</v>
      </c>
      <c r="E686" s="414"/>
      <c r="F686" s="415">
        <f t="shared" si="22"/>
        <v>-72343.411999999895</v>
      </c>
      <c r="G686" s="411"/>
      <c r="H686" s="411"/>
      <c r="I686" s="411"/>
      <c r="J686" s="411"/>
      <c r="K686" s="411"/>
      <c r="L686" s="411"/>
      <c r="M686" s="411"/>
      <c r="N686" s="411"/>
      <c r="O686" s="411"/>
      <c r="P686" s="411"/>
      <c r="Q686" s="411"/>
      <c r="R686" s="411"/>
      <c r="S686" s="411"/>
      <c r="T686" s="411"/>
    </row>
    <row r="687" spans="1:20" ht="15" thickBot="1" x14ac:dyDescent="0.4">
      <c r="A687" s="447">
        <v>631.45000000000005</v>
      </c>
      <c r="B687" s="413">
        <v>1E-3</v>
      </c>
      <c r="C687" s="413">
        <v>0.315</v>
      </c>
      <c r="D687" s="414">
        <f t="shared" si="21"/>
        <v>63.145000000000003</v>
      </c>
      <c r="E687" s="414"/>
      <c r="F687" s="415">
        <f t="shared" si="22"/>
        <v>-72280.266999999891</v>
      </c>
      <c r="G687" s="411"/>
      <c r="H687" s="411"/>
      <c r="I687" s="411"/>
      <c r="J687" s="411"/>
      <c r="K687" s="411"/>
      <c r="L687" s="411"/>
      <c r="M687" s="411"/>
      <c r="N687" s="411"/>
      <c r="O687" s="411"/>
      <c r="P687" s="411"/>
      <c r="Q687" s="411"/>
      <c r="R687" s="411"/>
      <c r="S687" s="411"/>
      <c r="T687" s="411"/>
    </row>
    <row r="688" spans="1:20" ht="15" thickBot="1" x14ac:dyDescent="0.4">
      <c r="A688" s="447">
        <v>640.78</v>
      </c>
      <c r="B688" s="413">
        <v>1E-3</v>
      </c>
      <c r="C688" s="413">
        <v>0.314</v>
      </c>
      <c r="D688" s="414">
        <f t="shared" si="21"/>
        <v>64.078000000000003</v>
      </c>
      <c r="E688" s="414"/>
      <c r="F688" s="415">
        <f t="shared" si="22"/>
        <v>-72216.188999999897</v>
      </c>
      <c r="G688" s="411"/>
      <c r="H688" s="411"/>
      <c r="I688" s="411"/>
      <c r="J688" s="411"/>
      <c r="K688" s="411"/>
      <c r="L688" s="411"/>
      <c r="M688" s="411"/>
      <c r="N688" s="411"/>
      <c r="O688" s="411"/>
      <c r="P688" s="411"/>
      <c r="Q688" s="411"/>
      <c r="R688" s="411"/>
      <c r="S688" s="411"/>
      <c r="T688" s="411"/>
    </row>
    <row r="689" spans="1:20" ht="15" thickBot="1" x14ac:dyDescent="0.4">
      <c r="A689" s="447">
        <v>642.59</v>
      </c>
      <c r="B689" s="413">
        <v>1E-3</v>
      </c>
      <c r="C689" s="413">
        <v>0.313</v>
      </c>
      <c r="D689" s="414">
        <f t="shared" si="21"/>
        <v>64.259</v>
      </c>
      <c r="E689" s="414"/>
      <c r="F689" s="415">
        <f t="shared" si="22"/>
        <v>-72151.929999999891</v>
      </c>
      <c r="G689" s="411"/>
      <c r="H689" s="411"/>
      <c r="I689" s="411"/>
      <c r="J689" s="411"/>
      <c r="K689" s="411"/>
      <c r="L689" s="411"/>
      <c r="M689" s="411"/>
      <c r="N689" s="411"/>
      <c r="O689" s="411"/>
      <c r="P689" s="411"/>
      <c r="Q689" s="411"/>
      <c r="R689" s="411"/>
      <c r="S689" s="411"/>
      <c r="T689" s="411"/>
    </row>
    <row r="690" spans="1:20" ht="15" thickBot="1" x14ac:dyDescent="0.4">
      <c r="A690" s="447">
        <v>646.51</v>
      </c>
      <c r="B690" s="413">
        <v>1E-3</v>
      </c>
      <c r="C690" s="413">
        <v>0.312</v>
      </c>
      <c r="D690" s="414">
        <f t="shared" si="21"/>
        <v>64.650999999999996</v>
      </c>
      <c r="E690" s="414"/>
      <c r="F690" s="415">
        <f t="shared" si="22"/>
        <v>-72087.278999999893</v>
      </c>
      <c r="G690" s="411"/>
      <c r="H690" s="411"/>
      <c r="I690" s="411"/>
      <c r="J690" s="411"/>
      <c r="K690" s="411"/>
      <c r="L690" s="411"/>
      <c r="M690" s="411"/>
      <c r="N690" s="411"/>
      <c r="O690" s="411"/>
      <c r="P690" s="411"/>
      <c r="Q690" s="411"/>
      <c r="R690" s="411"/>
      <c r="S690" s="411"/>
      <c r="T690" s="411"/>
    </row>
    <row r="691" spans="1:20" ht="15" thickBot="1" x14ac:dyDescent="0.4">
      <c r="A691" s="447">
        <v>646.88</v>
      </c>
      <c r="B691" s="413">
        <v>1E-3</v>
      </c>
      <c r="C691" s="413">
        <v>0.311</v>
      </c>
      <c r="D691" s="414">
        <f t="shared" si="21"/>
        <v>64.688000000000002</v>
      </c>
      <c r="E691" s="414"/>
      <c r="F691" s="415">
        <f t="shared" si="22"/>
        <v>-72022.590999999898</v>
      </c>
      <c r="G691" s="411"/>
      <c r="H691" s="411"/>
      <c r="I691" s="411"/>
      <c r="J691" s="411"/>
      <c r="K691" s="411"/>
      <c r="L691" s="411"/>
      <c r="M691" s="411"/>
      <c r="N691" s="411"/>
      <c r="O691" s="411"/>
      <c r="P691" s="411"/>
      <c r="Q691" s="411"/>
      <c r="R691" s="411"/>
      <c r="S691" s="411"/>
      <c r="T691" s="411"/>
    </row>
    <row r="692" spans="1:20" ht="15" thickBot="1" x14ac:dyDescent="0.4">
      <c r="A692" s="447">
        <v>649.75</v>
      </c>
      <c r="B692" s="413">
        <v>1E-3</v>
      </c>
      <c r="C692" s="413">
        <v>0.31</v>
      </c>
      <c r="D692" s="414">
        <f t="shared" si="21"/>
        <v>64.975000000000009</v>
      </c>
      <c r="E692" s="414"/>
      <c r="F692" s="415">
        <f t="shared" si="22"/>
        <v>-71957.615999999893</v>
      </c>
      <c r="G692" s="411"/>
      <c r="H692" s="411"/>
      <c r="I692" s="411"/>
      <c r="J692" s="411"/>
      <c r="K692" s="411"/>
      <c r="L692" s="411"/>
      <c r="M692" s="411"/>
      <c r="N692" s="411"/>
      <c r="O692" s="411"/>
      <c r="P692" s="411"/>
      <c r="Q692" s="411"/>
      <c r="R692" s="411"/>
      <c r="S692" s="411"/>
      <c r="T692" s="411"/>
    </row>
    <row r="693" spans="1:20" ht="15" thickBot="1" x14ac:dyDescent="0.4">
      <c r="A693" s="447">
        <v>653.77</v>
      </c>
      <c r="B693" s="413">
        <v>1E-3</v>
      </c>
      <c r="C693" s="413">
        <v>0.309</v>
      </c>
      <c r="D693" s="414">
        <f t="shared" si="21"/>
        <v>65.376999999999995</v>
      </c>
      <c r="E693" s="414"/>
      <c r="F693" s="415">
        <f t="shared" si="22"/>
        <v>-71892.2389999999</v>
      </c>
      <c r="G693" s="411"/>
      <c r="H693" s="411"/>
      <c r="I693" s="411"/>
      <c r="J693" s="411"/>
      <c r="K693" s="411"/>
      <c r="L693" s="411"/>
      <c r="M693" s="411"/>
      <c r="N693" s="411"/>
      <c r="O693" s="411"/>
      <c r="P693" s="411"/>
      <c r="Q693" s="411"/>
      <c r="R693" s="411"/>
      <c r="S693" s="411"/>
      <c r="T693" s="411"/>
    </row>
    <row r="694" spans="1:20" ht="15" thickBot="1" x14ac:dyDescent="0.4">
      <c r="A694" s="447">
        <v>676.94</v>
      </c>
      <c r="B694" s="413">
        <v>1E-3</v>
      </c>
      <c r="C694" s="413">
        <v>0.308</v>
      </c>
      <c r="D694" s="414">
        <f t="shared" si="21"/>
        <v>67.694000000000003</v>
      </c>
      <c r="E694" s="414"/>
      <c r="F694" s="415">
        <f t="shared" si="22"/>
        <v>-71824.544999999896</v>
      </c>
      <c r="G694" s="411"/>
      <c r="H694" s="411"/>
      <c r="I694" s="411"/>
      <c r="J694" s="411"/>
      <c r="K694" s="411"/>
      <c r="L694" s="411"/>
      <c r="M694" s="411"/>
      <c r="N694" s="411"/>
      <c r="O694" s="411"/>
      <c r="P694" s="411"/>
      <c r="Q694" s="411"/>
      <c r="R694" s="411"/>
      <c r="S694" s="411"/>
      <c r="T694" s="411"/>
    </row>
    <row r="695" spans="1:20" ht="15" thickBot="1" x14ac:dyDescent="0.4">
      <c r="A695" s="447">
        <v>678.51</v>
      </c>
      <c r="B695" s="413">
        <v>1E-3</v>
      </c>
      <c r="C695" s="413">
        <v>0.307</v>
      </c>
      <c r="D695" s="414">
        <f t="shared" si="21"/>
        <v>67.850999999999999</v>
      </c>
      <c r="E695" s="414"/>
      <c r="F695" s="415">
        <f t="shared" si="22"/>
        <v>-71756.693999999901</v>
      </c>
      <c r="G695" s="411"/>
      <c r="H695" s="411"/>
      <c r="I695" s="411"/>
      <c r="J695" s="411"/>
      <c r="K695" s="411"/>
      <c r="L695" s="411"/>
      <c r="M695" s="411"/>
      <c r="N695" s="411"/>
      <c r="O695" s="411"/>
      <c r="P695" s="411"/>
      <c r="Q695" s="411"/>
      <c r="R695" s="411"/>
      <c r="S695" s="411"/>
      <c r="T695" s="411"/>
    </row>
    <row r="696" spans="1:20" ht="15" thickBot="1" x14ac:dyDescent="0.4">
      <c r="A696" s="447">
        <v>681.79</v>
      </c>
      <c r="B696" s="413">
        <v>1E-3</v>
      </c>
      <c r="C696" s="413">
        <v>0.30599999999999999</v>
      </c>
      <c r="D696" s="414">
        <f t="shared" si="21"/>
        <v>68.179000000000002</v>
      </c>
      <c r="E696" s="414"/>
      <c r="F696" s="415">
        <f t="shared" si="22"/>
        <v>-71688.514999999898</v>
      </c>
      <c r="G696" s="411"/>
      <c r="H696" s="411"/>
      <c r="I696" s="411"/>
      <c r="J696" s="411"/>
      <c r="K696" s="411"/>
      <c r="L696" s="411"/>
      <c r="M696" s="411"/>
      <c r="N696" s="411"/>
      <c r="O696" s="411"/>
      <c r="P696" s="411"/>
      <c r="Q696" s="411"/>
      <c r="R696" s="411"/>
      <c r="S696" s="411"/>
      <c r="T696" s="411"/>
    </row>
    <row r="697" spans="1:20" ht="15" thickBot="1" x14ac:dyDescent="0.4">
      <c r="A697" s="447">
        <v>694.48</v>
      </c>
      <c r="B697" s="413">
        <v>1E-3</v>
      </c>
      <c r="C697" s="413">
        <v>0.30499999999999999</v>
      </c>
      <c r="D697" s="414">
        <f t="shared" si="21"/>
        <v>69.447999999999993</v>
      </c>
      <c r="E697" s="414"/>
      <c r="F697" s="415">
        <f t="shared" si="22"/>
        <v>-71619.066999999894</v>
      </c>
      <c r="G697" s="411"/>
      <c r="H697" s="411"/>
      <c r="I697" s="411"/>
      <c r="J697" s="411"/>
      <c r="K697" s="411"/>
      <c r="L697" s="411"/>
      <c r="M697" s="411"/>
      <c r="N697" s="411"/>
      <c r="O697" s="411"/>
      <c r="P697" s="411"/>
      <c r="Q697" s="411"/>
      <c r="R697" s="411"/>
      <c r="S697" s="411"/>
      <c r="T697" s="411"/>
    </row>
    <row r="698" spans="1:20" ht="15" thickBot="1" x14ac:dyDescent="0.4">
      <c r="A698" s="447">
        <v>695.36</v>
      </c>
      <c r="B698" s="413">
        <v>1E-3</v>
      </c>
      <c r="C698" s="413">
        <v>0.30399999999999999</v>
      </c>
      <c r="D698" s="414">
        <f t="shared" si="21"/>
        <v>69.536000000000001</v>
      </c>
      <c r="E698" s="414"/>
      <c r="F698" s="415">
        <f t="shared" si="22"/>
        <v>-71549.530999999901</v>
      </c>
      <c r="G698" s="411"/>
      <c r="H698" s="411"/>
      <c r="I698" s="411"/>
      <c r="J698" s="411"/>
      <c r="K698" s="411"/>
      <c r="L698" s="411"/>
      <c r="M698" s="411"/>
      <c r="N698" s="411"/>
      <c r="O698" s="411"/>
      <c r="P698" s="411"/>
      <c r="Q698" s="411"/>
      <c r="R698" s="411"/>
      <c r="S698" s="411"/>
      <c r="T698" s="411"/>
    </row>
    <row r="699" spans="1:20" ht="15" thickBot="1" x14ac:dyDescent="0.4">
      <c r="A699" s="447">
        <v>698.75</v>
      </c>
      <c r="B699" s="413">
        <v>1E-3</v>
      </c>
      <c r="C699" s="413">
        <v>0.30299999999999999</v>
      </c>
      <c r="D699" s="414">
        <f t="shared" si="21"/>
        <v>69.875</v>
      </c>
      <c r="E699" s="414"/>
      <c r="F699" s="415">
        <f t="shared" si="22"/>
        <v>-71479.655999999901</v>
      </c>
      <c r="G699" s="411"/>
      <c r="H699" s="411"/>
      <c r="I699" s="411"/>
      <c r="J699" s="411"/>
      <c r="K699" s="411"/>
      <c r="L699" s="411"/>
      <c r="M699" s="411"/>
      <c r="N699" s="411"/>
      <c r="O699" s="411"/>
      <c r="P699" s="411"/>
      <c r="Q699" s="411"/>
      <c r="R699" s="411"/>
      <c r="S699" s="411"/>
      <c r="T699" s="411"/>
    </row>
    <row r="700" spans="1:20" ht="15" thickBot="1" x14ac:dyDescent="0.4">
      <c r="A700" s="447">
        <v>702.86</v>
      </c>
      <c r="B700" s="413">
        <v>1E-3</v>
      </c>
      <c r="C700" s="413">
        <v>0.30199999999999999</v>
      </c>
      <c r="D700" s="414">
        <f t="shared" si="21"/>
        <v>70.286000000000001</v>
      </c>
      <c r="E700" s="414"/>
      <c r="F700" s="415">
        <f t="shared" si="22"/>
        <v>-71409.369999999908</v>
      </c>
      <c r="G700" s="411"/>
      <c r="H700" s="411"/>
      <c r="I700" s="411"/>
      <c r="J700" s="411"/>
      <c r="K700" s="411"/>
      <c r="L700" s="411"/>
      <c r="M700" s="411"/>
      <c r="N700" s="411"/>
      <c r="O700" s="411"/>
      <c r="P700" s="411"/>
      <c r="Q700" s="411"/>
      <c r="R700" s="411"/>
      <c r="S700" s="411"/>
      <c r="T700" s="411"/>
    </row>
    <row r="701" spans="1:20" ht="15" thickBot="1" x14ac:dyDescent="0.4">
      <c r="A701" s="447">
        <v>720.29</v>
      </c>
      <c r="B701" s="413">
        <v>1E-3</v>
      </c>
      <c r="C701" s="413">
        <v>0.30099999999999999</v>
      </c>
      <c r="D701" s="414">
        <f t="shared" si="21"/>
        <v>72.028999999999996</v>
      </c>
      <c r="E701" s="414"/>
      <c r="F701" s="415">
        <f t="shared" si="22"/>
        <v>-71337.340999999913</v>
      </c>
      <c r="G701" s="411"/>
      <c r="H701" s="411"/>
      <c r="I701" s="411"/>
      <c r="J701" s="411"/>
      <c r="K701" s="411"/>
      <c r="L701" s="411"/>
      <c r="M701" s="411"/>
      <c r="N701" s="411"/>
      <c r="O701" s="411"/>
      <c r="P701" s="411"/>
      <c r="Q701" s="411"/>
      <c r="R701" s="411"/>
      <c r="S701" s="411"/>
      <c r="T701" s="411"/>
    </row>
    <row r="702" spans="1:20" ht="15" thickBot="1" x14ac:dyDescent="0.4">
      <c r="A702" s="447">
        <v>736.2</v>
      </c>
      <c r="B702" s="413">
        <v>1E-3</v>
      </c>
      <c r="C702" s="413">
        <v>0.3</v>
      </c>
      <c r="D702" s="414">
        <f t="shared" si="21"/>
        <v>73.62</v>
      </c>
      <c r="E702" s="414"/>
      <c r="F702" s="415">
        <f t="shared" si="22"/>
        <v>-71263.720999999918</v>
      </c>
      <c r="G702" s="411"/>
      <c r="H702" s="411"/>
      <c r="I702" s="411"/>
      <c r="J702" s="411"/>
      <c r="K702" s="411"/>
      <c r="L702" s="411"/>
      <c r="M702" s="411"/>
      <c r="N702" s="411"/>
      <c r="O702" s="411"/>
      <c r="P702" s="411"/>
      <c r="Q702" s="411"/>
      <c r="R702" s="411"/>
      <c r="S702" s="411"/>
      <c r="T702" s="411"/>
    </row>
    <row r="703" spans="1:20" ht="15" thickBot="1" x14ac:dyDescent="0.4">
      <c r="A703" s="447">
        <v>742.09</v>
      </c>
      <c r="B703" s="413">
        <v>1E-3</v>
      </c>
      <c r="C703" s="413">
        <v>0.29899999999999999</v>
      </c>
      <c r="D703" s="414">
        <f t="shared" si="21"/>
        <v>74.209000000000003</v>
      </c>
      <c r="E703" s="414"/>
      <c r="F703" s="415">
        <f t="shared" si="22"/>
        <v>-71189.511999999915</v>
      </c>
      <c r="G703" s="411"/>
      <c r="H703" s="411"/>
      <c r="I703" s="411"/>
      <c r="J703" s="411"/>
      <c r="K703" s="411"/>
      <c r="L703" s="411"/>
      <c r="M703" s="411"/>
      <c r="N703" s="411"/>
      <c r="O703" s="411"/>
      <c r="P703" s="411"/>
      <c r="Q703" s="411"/>
      <c r="R703" s="411"/>
      <c r="S703" s="411"/>
      <c r="T703" s="411"/>
    </row>
    <row r="704" spans="1:20" ht="15" thickBot="1" x14ac:dyDescent="0.4">
      <c r="A704" s="447">
        <v>749.12</v>
      </c>
      <c r="B704" s="413">
        <v>1E-3</v>
      </c>
      <c r="C704" s="413">
        <v>0.29799999999999999</v>
      </c>
      <c r="D704" s="414">
        <f t="shared" si="21"/>
        <v>74.912000000000006</v>
      </c>
      <c r="E704" s="414"/>
      <c r="F704" s="415">
        <f t="shared" si="22"/>
        <v>-71114.599999999919</v>
      </c>
      <c r="G704" s="411"/>
      <c r="H704" s="411"/>
      <c r="I704" s="411"/>
      <c r="J704" s="411"/>
      <c r="K704" s="411"/>
      <c r="L704" s="411"/>
      <c r="M704" s="411"/>
      <c r="N704" s="411"/>
      <c r="O704" s="411"/>
      <c r="P704" s="411"/>
      <c r="Q704" s="411"/>
      <c r="R704" s="411"/>
      <c r="S704" s="411"/>
      <c r="T704" s="411"/>
    </row>
    <row r="705" spans="1:20" ht="15" thickBot="1" x14ac:dyDescent="0.4">
      <c r="A705" s="447">
        <v>751.51</v>
      </c>
      <c r="B705" s="413">
        <v>1E-3</v>
      </c>
      <c r="C705" s="413">
        <v>0.29699999999999999</v>
      </c>
      <c r="D705" s="414">
        <f t="shared" si="21"/>
        <v>75.150999999999996</v>
      </c>
      <c r="E705" s="414"/>
      <c r="F705" s="415">
        <f t="shared" si="22"/>
        <v>-71039.44899999992</v>
      </c>
      <c r="G705" s="411"/>
      <c r="H705" s="411"/>
      <c r="I705" s="411"/>
      <c r="J705" s="411"/>
      <c r="K705" s="411"/>
      <c r="L705" s="411"/>
      <c r="M705" s="411"/>
      <c r="N705" s="411"/>
      <c r="O705" s="411"/>
      <c r="P705" s="411"/>
      <c r="Q705" s="411"/>
      <c r="R705" s="411"/>
      <c r="S705" s="411"/>
      <c r="T705" s="411"/>
    </row>
    <row r="706" spans="1:20" ht="15" thickBot="1" x14ac:dyDescent="0.4">
      <c r="A706" s="447">
        <v>752.6</v>
      </c>
      <c r="B706" s="413">
        <v>1E-3</v>
      </c>
      <c r="C706" s="413">
        <v>0.29599999999999999</v>
      </c>
      <c r="D706" s="414">
        <f t="shared" ref="D706:D769" si="23">A706*B706/1%</f>
        <v>75.260000000000005</v>
      </c>
      <c r="E706" s="414"/>
      <c r="F706" s="415">
        <f t="shared" si="22"/>
        <v>-70964.188999999926</v>
      </c>
      <c r="G706" s="411"/>
      <c r="H706" s="411"/>
      <c r="I706" s="411"/>
      <c r="J706" s="411"/>
      <c r="K706" s="411"/>
      <c r="L706" s="411"/>
      <c r="M706" s="411"/>
      <c r="N706" s="411"/>
      <c r="O706" s="411"/>
      <c r="P706" s="411"/>
      <c r="Q706" s="411"/>
      <c r="R706" s="411"/>
      <c r="S706" s="411"/>
      <c r="T706" s="411"/>
    </row>
    <row r="707" spans="1:20" ht="15" thickBot="1" x14ac:dyDescent="0.4">
      <c r="A707" s="447">
        <v>753.8</v>
      </c>
      <c r="B707" s="413">
        <v>1E-3</v>
      </c>
      <c r="C707" s="413">
        <v>0.29499999999999998</v>
      </c>
      <c r="D707" s="414">
        <f t="shared" si="23"/>
        <v>75.38</v>
      </c>
      <c r="E707" s="414"/>
      <c r="F707" s="415">
        <f t="shared" ref="F707:F770" si="24">F706+D707</f>
        <v>-70888.808999999921</v>
      </c>
      <c r="G707" s="411"/>
      <c r="H707" s="411"/>
      <c r="I707" s="411"/>
      <c r="J707" s="411"/>
      <c r="K707" s="411"/>
      <c r="L707" s="411"/>
      <c r="M707" s="411"/>
      <c r="N707" s="411"/>
      <c r="O707" s="411"/>
      <c r="P707" s="411"/>
      <c r="Q707" s="411"/>
      <c r="R707" s="411"/>
      <c r="S707" s="411"/>
      <c r="T707" s="411"/>
    </row>
    <row r="708" spans="1:20" ht="15" thickBot="1" x14ac:dyDescent="0.4">
      <c r="A708" s="447">
        <v>757.71</v>
      </c>
      <c r="B708" s="413">
        <v>1E-3</v>
      </c>
      <c r="C708" s="413">
        <v>0.29399999999999998</v>
      </c>
      <c r="D708" s="414">
        <f t="shared" si="23"/>
        <v>75.771000000000015</v>
      </c>
      <c r="E708" s="414"/>
      <c r="F708" s="415">
        <f t="shared" si="24"/>
        <v>-70813.037999999928</v>
      </c>
      <c r="G708" s="411"/>
      <c r="H708" s="411"/>
      <c r="I708" s="411"/>
      <c r="J708" s="411"/>
      <c r="K708" s="411"/>
      <c r="L708" s="411"/>
      <c r="M708" s="411"/>
      <c r="N708" s="411"/>
      <c r="O708" s="411"/>
      <c r="P708" s="411"/>
      <c r="Q708" s="411"/>
      <c r="R708" s="411"/>
      <c r="S708" s="411"/>
      <c r="T708" s="411"/>
    </row>
    <row r="709" spans="1:20" ht="15" thickBot="1" x14ac:dyDescent="0.4">
      <c r="A709" s="447">
        <v>779.13</v>
      </c>
      <c r="B709" s="413">
        <v>1E-3</v>
      </c>
      <c r="C709" s="413">
        <v>0.29299999999999998</v>
      </c>
      <c r="D709" s="414">
        <f t="shared" si="23"/>
        <v>77.912999999999997</v>
      </c>
      <c r="E709" s="414"/>
      <c r="F709" s="415">
        <f t="shared" si="24"/>
        <v>-70735.124999999927</v>
      </c>
      <c r="G709" s="411"/>
      <c r="H709" s="411"/>
      <c r="I709" s="411"/>
      <c r="J709" s="411"/>
      <c r="K709" s="411"/>
      <c r="L709" s="411"/>
      <c r="M709" s="411"/>
      <c r="N709" s="411"/>
      <c r="O709" s="411"/>
      <c r="P709" s="411"/>
      <c r="Q709" s="411"/>
      <c r="R709" s="411"/>
      <c r="S709" s="411"/>
      <c r="T709" s="411"/>
    </row>
    <row r="710" spans="1:20" ht="15" thickBot="1" x14ac:dyDescent="0.4">
      <c r="A710" s="447">
        <v>779.61</v>
      </c>
      <c r="B710" s="413">
        <v>1E-3</v>
      </c>
      <c r="C710" s="413">
        <v>0.29199999999999998</v>
      </c>
      <c r="D710" s="414">
        <f t="shared" si="23"/>
        <v>77.960999999999999</v>
      </c>
      <c r="E710" s="414"/>
      <c r="F710" s="415">
        <f t="shared" si="24"/>
        <v>-70657.163999999932</v>
      </c>
      <c r="G710" s="411"/>
      <c r="H710" s="411"/>
      <c r="I710" s="411"/>
      <c r="J710" s="411"/>
      <c r="K710" s="411"/>
      <c r="L710" s="411"/>
      <c r="M710" s="411"/>
      <c r="N710" s="411"/>
      <c r="O710" s="411"/>
      <c r="P710" s="411"/>
      <c r="Q710" s="411"/>
      <c r="R710" s="411"/>
      <c r="S710" s="411"/>
      <c r="T710" s="411"/>
    </row>
    <row r="711" spans="1:20" ht="15" thickBot="1" x14ac:dyDescent="0.4">
      <c r="A711" s="447">
        <v>791.89</v>
      </c>
      <c r="B711" s="413">
        <v>1E-3</v>
      </c>
      <c r="C711" s="413">
        <v>0.29099999999999998</v>
      </c>
      <c r="D711" s="414">
        <f t="shared" si="23"/>
        <v>79.188999999999993</v>
      </c>
      <c r="E711" s="414"/>
      <c r="F711" s="415">
        <f t="shared" si="24"/>
        <v>-70577.974999999933</v>
      </c>
      <c r="G711" s="411"/>
      <c r="H711" s="411"/>
      <c r="I711" s="411"/>
      <c r="J711" s="411"/>
      <c r="K711" s="411"/>
      <c r="L711" s="411"/>
      <c r="M711" s="411"/>
      <c r="N711" s="411"/>
      <c r="O711" s="411"/>
      <c r="P711" s="411"/>
      <c r="Q711" s="411"/>
      <c r="R711" s="411"/>
      <c r="S711" s="411"/>
      <c r="T711" s="411"/>
    </row>
    <row r="712" spans="1:20" ht="15" thickBot="1" x14ac:dyDescent="0.4">
      <c r="A712" s="447">
        <v>793.82</v>
      </c>
      <c r="B712" s="413">
        <v>1E-3</v>
      </c>
      <c r="C712" s="413">
        <v>0.28999999999999998</v>
      </c>
      <c r="D712" s="414">
        <f t="shared" si="23"/>
        <v>79.382000000000005</v>
      </c>
      <c r="E712" s="414"/>
      <c r="F712" s="415">
        <f t="shared" si="24"/>
        <v>-70498.592999999935</v>
      </c>
      <c r="G712" s="411"/>
      <c r="H712" s="411"/>
      <c r="I712" s="411"/>
      <c r="J712" s="411"/>
      <c r="K712" s="411"/>
      <c r="L712" s="411"/>
      <c r="M712" s="411"/>
      <c r="N712" s="411"/>
      <c r="O712" s="411"/>
      <c r="P712" s="411"/>
      <c r="Q712" s="411"/>
      <c r="R712" s="411"/>
      <c r="S712" s="411"/>
      <c r="T712" s="411"/>
    </row>
    <row r="713" spans="1:20" ht="15" thickBot="1" x14ac:dyDescent="0.4">
      <c r="A713" s="447">
        <v>798.18</v>
      </c>
      <c r="B713" s="413">
        <v>1E-3</v>
      </c>
      <c r="C713" s="413">
        <v>0.28899999999999998</v>
      </c>
      <c r="D713" s="414">
        <f t="shared" si="23"/>
        <v>79.817999999999998</v>
      </c>
      <c r="E713" s="414"/>
      <c r="F713" s="415">
        <f t="shared" si="24"/>
        <v>-70418.774999999936</v>
      </c>
      <c r="G713" s="411"/>
      <c r="H713" s="411"/>
      <c r="I713" s="411"/>
      <c r="J713" s="411"/>
      <c r="K713" s="411"/>
      <c r="L713" s="411"/>
      <c r="M713" s="411"/>
      <c r="N713" s="411"/>
      <c r="O713" s="411"/>
      <c r="P713" s="411"/>
      <c r="Q713" s="411"/>
      <c r="R713" s="411"/>
      <c r="S713" s="411"/>
      <c r="T713" s="411"/>
    </row>
    <row r="714" spans="1:20" ht="15" thickBot="1" x14ac:dyDescent="0.4">
      <c r="A714" s="447">
        <v>803.61</v>
      </c>
      <c r="B714" s="413">
        <v>1E-3</v>
      </c>
      <c r="C714" s="413">
        <v>0.28799999999999998</v>
      </c>
      <c r="D714" s="414">
        <f t="shared" si="23"/>
        <v>80.361000000000004</v>
      </c>
      <c r="E714" s="414"/>
      <c r="F714" s="415">
        <f t="shared" si="24"/>
        <v>-70338.413999999932</v>
      </c>
      <c r="G714" s="411"/>
      <c r="H714" s="411"/>
      <c r="I714" s="411"/>
      <c r="J714" s="411"/>
      <c r="K714" s="411"/>
      <c r="L714" s="411"/>
      <c r="M714" s="411"/>
      <c r="N714" s="411"/>
      <c r="O714" s="411"/>
      <c r="P714" s="411"/>
      <c r="Q714" s="411"/>
      <c r="R714" s="411"/>
      <c r="S714" s="411"/>
      <c r="T714" s="411"/>
    </row>
    <row r="715" spans="1:20" ht="15" thickBot="1" x14ac:dyDescent="0.4">
      <c r="A715" s="447">
        <v>806.6</v>
      </c>
      <c r="B715" s="413">
        <v>1E-3</v>
      </c>
      <c r="C715" s="413">
        <v>0.28699999999999998</v>
      </c>
      <c r="D715" s="414">
        <f t="shared" si="23"/>
        <v>80.660000000000011</v>
      </c>
      <c r="E715" s="414"/>
      <c r="F715" s="415">
        <f t="shared" si="24"/>
        <v>-70257.753999999928</v>
      </c>
      <c r="G715" s="411"/>
      <c r="H715" s="411"/>
      <c r="I715" s="411"/>
      <c r="J715" s="411"/>
      <c r="K715" s="411"/>
      <c r="L715" s="411"/>
      <c r="M715" s="411"/>
      <c r="N715" s="411"/>
      <c r="O715" s="411"/>
      <c r="P715" s="411"/>
      <c r="Q715" s="411"/>
      <c r="R715" s="411"/>
      <c r="S715" s="411"/>
      <c r="T715" s="411"/>
    </row>
    <row r="716" spans="1:20" ht="15" thickBot="1" x14ac:dyDescent="0.4">
      <c r="A716" s="447">
        <v>808.82</v>
      </c>
      <c r="B716" s="413">
        <v>1E-3</v>
      </c>
      <c r="C716" s="413">
        <v>0.28599999999999998</v>
      </c>
      <c r="D716" s="414">
        <f t="shared" si="23"/>
        <v>80.882000000000005</v>
      </c>
      <c r="E716" s="414"/>
      <c r="F716" s="415">
        <f t="shared" si="24"/>
        <v>-70176.87199999993</v>
      </c>
      <c r="G716" s="411"/>
      <c r="H716" s="411"/>
      <c r="I716" s="411"/>
      <c r="J716" s="411"/>
      <c r="K716" s="411"/>
      <c r="L716" s="411"/>
      <c r="M716" s="411"/>
      <c r="N716" s="411"/>
      <c r="O716" s="411"/>
      <c r="P716" s="411"/>
      <c r="Q716" s="411"/>
      <c r="R716" s="411"/>
      <c r="S716" s="411"/>
      <c r="T716" s="411"/>
    </row>
    <row r="717" spans="1:20" ht="15" thickBot="1" x14ac:dyDescent="0.4">
      <c r="A717" s="447">
        <v>816.67</v>
      </c>
      <c r="B717" s="413">
        <v>1E-3</v>
      </c>
      <c r="C717" s="413">
        <v>0.28499999999999998</v>
      </c>
      <c r="D717" s="414">
        <f t="shared" si="23"/>
        <v>81.667000000000002</v>
      </c>
      <c r="E717" s="414"/>
      <c r="F717" s="415">
        <f t="shared" si="24"/>
        <v>-70095.204999999929</v>
      </c>
      <c r="G717" s="411"/>
      <c r="H717" s="411"/>
      <c r="I717" s="411"/>
      <c r="J717" s="411"/>
      <c r="K717" s="411"/>
      <c r="L717" s="411"/>
      <c r="M717" s="411"/>
      <c r="N717" s="411"/>
      <c r="O717" s="411"/>
      <c r="P717" s="411"/>
      <c r="Q717" s="411"/>
      <c r="R717" s="411"/>
      <c r="S717" s="411"/>
      <c r="T717" s="411"/>
    </row>
    <row r="718" spans="1:20" ht="15" thickBot="1" x14ac:dyDescent="0.4">
      <c r="A718" s="447">
        <v>819.11</v>
      </c>
      <c r="B718" s="413">
        <v>1E-3</v>
      </c>
      <c r="C718" s="413">
        <v>0.28399999999999997</v>
      </c>
      <c r="D718" s="414">
        <f t="shared" si="23"/>
        <v>81.911000000000001</v>
      </c>
      <c r="E718" s="414"/>
      <c r="F718" s="415">
        <f t="shared" si="24"/>
        <v>-70013.293999999936</v>
      </c>
      <c r="G718" s="411"/>
      <c r="H718" s="411"/>
      <c r="I718" s="411"/>
      <c r="J718" s="411"/>
      <c r="K718" s="411"/>
      <c r="L718" s="411"/>
      <c r="M718" s="411"/>
      <c r="N718" s="411"/>
      <c r="O718" s="411"/>
      <c r="P718" s="411"/>
      <c r="Q718" s="411"/>
      <c r="R718" s="411"/>
      <c r="S718" s="411"/>
      <c r="T718" s="411"/>
    </row>
    <row r="719" spans="1:20" ht="15" thickBot="1" x14ac:dyDescent="0.4">
      <c r="A719" s="447">
        <v>832.91</v>
      </c>
      <c r="B719" s="413">
        <v>1E-3</v>
      </c>
      <c r="C719" s="413">
        <v>0.28299999999999997</v>
      </c>
      <c r="D719" s="414">
        <f t="shared" si="23"/>
        <v>83.290999999999997</v>
      </c>
      <c r="E719" s="414"/>
      <c r="F719" s="415">
        <f t="shared" si="24"/>
        <v>-69930.002999999939</v>
      </c>
      <c r="G719" s="411"/>
      <c r="H719" s="411"/>
      <c r="I719" s="411"/>
      <c r="J719" s="411"/>
      <c r="K719" s="411"/>
      <c r="L719" s="411"/>
      <c r="M719" s="411"/>
      <c r="N719" s="411"/>
      <c r="O719" s="411"/>
      <c r="P719" s="411"/>
      <c r="Q719" s="411"/>
      <c r="R719" s="411"/>
      <c r="S719" s="411"/>
      <c r="T719" s="411"/>
    </row>
    <row r="720" spans="1:20" ht="15" thickBot="1" x14ac:dyDescent="0.4">
      <c r="A720" s="447">
        <v>834.86</v>
      </c>
      <c r="B720" s="413">
        <v>1E-3</v>
      </c>
      <c r="C720" s="413">
        <v>0.28199999999999997</v>
      </c>
      <c r="D720" s="414">
        <f t="shared" si="23"/>
        <v>83.486000000000004</v>
      </c>
      <c r="E720" s="414"/>
      <c r="F720" s="415">
        <f t="shared" si="24"/>
        <v>-69846.516999999934</v>
      </c>
      <c r="G720" s="411"/>
      <c r="H720" s="411"/>
      <c r="I720" s="411"/>
      <c r="J720" s="411"/>
      <c r="K720" s="411"/>
      <c r="L720" s="411"/>
      <c r="M720" s="411"/>
      <c r="N720" s="411"/>
      <c r="O720" s="411"/>
      <c r="P720" s="411"/>
      <c r="Q720" s="411"/>
      <c r="R720" s="411"/>
      <c r="S720" s="411"/>
      <c r="T720" s="411"/>
    </row>
    <row r="721" spans="1:20" ht="15" thickBot="1" x14ac:dyDescent="0.4">
      <c r="A721" s="447">
        <v>836.87</v>
      </c>
      <c r="B721" s="413">
        <v>1E-3</v>
      </c>
      <c r="C721" s="413">
        <v>0.28100000000000003</v>
      </c>
      <c r="D721" s="414">
        <f t="shared" si="23"/>
        <v>83.686999999999998</v>
      </c>
      <c r="E721" s="414"/>
      <c r="F721" s="415">
        <f t="shared" si="24"/>
        <v>-69762.829999999929</v>
      </c>
      <c r="G721" s="411"/>
      <c r="H721" s="411"/>
      <c r="I721" s="411"/>
      <c r="J721" s="411"/>
      <c r="K721" s="411"/>
      <c r="L721" s="411"/>
      <c r="M721" s="411"/>
      <c r="N721" s="411"/>
      <c r="O721" s="411"/>
      <c r="P721" s="411"/>
      <c r="Q721" s="411"/>
      <c r="R721" s="411"/>
      <c r="S721" s="411"/>
      <c r="T721" s="411"/>
    </row>
    <row r="722" spans="1:20" ht="15" thickBot="1" x14ac:dyDescent="0.4">
      <c r="A722" s="447">
        <v>859.56</v>
      </c>
      <c r="B722" s="413">
        <v>1E-3</v>
      </c>
      <c r="C722" s="413">
        <v>0.28000000000000003</v>
      </c>
      <c r="D722" s="414">
        <f t="shared" si="23"/>
        <v>85.956000000000003</v>
      </c>
      <c r="E722" s="414"/>
      <c r="F722" s="415">
        <f t="shared" si="24"/>
        <v>-69676.873999999923</v>
      </c>
      <c r="G722" s="411"/>
      <c r="H722" s="411"/>
      <c r="I722" s="411"/>
      <c r="J722" s="411"/>
      <c r="K722" s="411"/>
      <c r="L722" s="411"/>
      <c r="M722" s="411"/>
      <c r="N722" s="411"/>
      <c r="O722" s="411"/>
      <c r="P722" s="411"/>
      <c r="Q722" s="411"/>
      <c r="R722" s="411"/>
      <c r="S722" s="411"/>
      <c r="T722" s="411"/>
    </row>
    <row r="723" spans="1:20" ht="15" thickBot="1" x14ac:dyDescent="0.4">
      <c r="A723" s="447">
        <v>868.42</v>
      </c>
      <c r="B723" s="413">
        <v>1E-3</v>
      </c>
      <c r="C723" s="413">
        <v>0.27900000000000003</v>
      </c>
      <c r="D723" s="414">
        <f t="shared" si="23"/>
        <v>86.841999999999999</v>
      </c>
      <c r="E723" s="414"/>
      <c r="F723" s="415">
        <f t="shared" si="24"/>
        <v>-69590.031999999919</v>
      </c>
      <c r="G723" s="411"/>
      <c r="H723" s="411"/>
      <c r="I723" s="411"/>
      <c r="J723" s="411"/>
      <c r="K723" s="411"/>
      <c r="L723" s="411"/>
      <c r="M723" s="411"/>
      <c r="N723" s="411"/>
      <c r="O723" s="411"/>
      <c r="P723" s="411"/>
      <c r="Q723" s="411"/>
      <c r="R723" s="411"/>
      <c r="S723" s="411"/>
      <c r="T723" s="411"/>
    </row>
    <row r="724" spans="1:20" ht="15" thickBot="1" x14ac:dyDescent="0.4">
      <c r="A724" s="447">
        <v>874.18</v>
      </c>
      <c r="B724" s="413">
        <v>1E-3</v>
      </c>
      <c r="C724" s="413">
        <v>0.27800000000000002</v>
      </c>
      <c r="D724" s="414">
        <f t="shared" si="23"/>
        <v>87.417999999999992</v>
      </c>
      <c r="E724" s="414"/>
      <c r="F724" s="415">
        <f t="shared" si="24"/>
        <v>-69502.613999999914</v>
      </c>
      <c r="G724" s="411"/>
      <c r="H724" s="411"/>
      <c r="I724" s="411"/>
      <c r="J724" s="411"/>
      <c r="K724" s="411"/>
      <c r="L724" s="411"/>
      <c r="M724" s="411"/>
      <c r="N724" s="411"/>
      <c r="O724" s="411"/>
      <c r="P724" s="411"/>
      <c r="Q724" s="411"/>
      <c r="R724" s="411"/>
      <c r="S724" s="411"/>
      <c r="T724" s="411"/>
    </row>
    <row r="725" spans="1:20" ht="15" thickBot="1" x14ac:dyDescent="0.4">
      <c r="A725" s="447">
        <v>877.03</v>
      </c>
      <c r="B725" s="413">
        <v>1E-3</v>
      </c>
      <c r="C725" s="413">
        <v>0.27700000000000002</v>
      </c>
      <c r="D725" s="414">
        <f t="shared" si="23"/>
        <v>87.702999999999989</v>
      </c>
      <c r="E725" s="414"/>
      <c r="F725" s="415">
        <f t="shared" si="24"/>
        <v>-69414.91099999992</v>
      </c>
      <c r="G725" s="411"/>
      <c r="H725" s="411"/>
      <c r="I725" s="411"/>
      <c r="J725" s="411"/>
      <c r="K725" s="411"/>
      <c r="L725" s="411"/>
      <c r="M725" s="411"/>
      <c r="N725" s="411"/>
      <c r="O725" s="411"/>
      <c r="P725" s="411"/>
      <c r="Q725" s="411"/>
      <c r="R725" s="411"/>
      <c r="S725" s="411"/>
      <c r="T725" s="411"/>
    </row>
    <row r="726" spans="1:20" ht="15" thickBot="1" x14ac:dyDescent="0.4">
      <c r="A726" s="447">
        <v>878.63</v>
      </c>
      <c r="B726" s="413">
        <v>1E-3</v>
      </c>
      <c r="C726" s="413">
        <v>0.27600000000000002</v>
      </c>
      <c r="D726" s="414">
        <f t="shared" si="23"/>
        <v>87.863</v>
      </c>
      <c r="E726" s="414"/>
      <c r="F726" s="415">
        <f t="shared" si="24"/>
        <v>-69327.047999999922</v>
      </c>
      <c r="G726" s="411"/>
      <c r="H726" s="411"/>
      <c r="I726" s="411"/>
      <c r="J726" s="411"/>
      <c r="K726" s="411"/>
      <c r="L726" s="411"/>
      <c r="M726" s="411"/>
      <c r="N726" s="411"/>
      <c r="O726" s="411"/>
      <c r="P726" s="411"/>
      <c r="Q726" s="411"/>
      <c r="R726" s="411"/>
      <c r="S726" s="411"/>
      <c r="T726" s="411"/>
    </row>
    <row r="727" spans="1:20" ht="15" thickBot="1" x14ac:dyDescent="0.4">
      <c r="A727" s="447">
        <v>882.02</v>
      </c>
      <c r="B727" s="413">
        <v>1E-3</v>
      </c>
      <c r="C727" s="413">
        <v>0.27500000000000002</v>
      </c>
      <c r="D727" s="414">
        <f t="shared" si="23"/>
        <v>88.201999999999998</v>
      </c>
      <c r="E727" s="414"/>
      <c r="F727" s="415">
        <f t="shared" si="24"/>
        <v>-69238.845999999918</v>
      </c>
      <c r="G727" s="411"/>
      <c r="H727" s="411"/>
      <c r="I727" s="411"/>
      <c r="J727" s="411"/>
      <c r="K727" s="411"/>
      <c r="L727" s="411"/>
      <c r="M727" s="411"/>
      <c r="N727" s="411"/>
      <c r="O727" s="411"/>
      <c r="P727" s="411"/>
      <c r="Q727" s="411"/>
      <c r="R727" s="411"/>
      <c r="S727" s="411"/>
      <c r="T727" s="411"/>
    </row>
    <row r="728" spans="1:20" ht="15" thickBot="1" x14ac:dyDescent="0.4">
      <c r="A728" s="447">
        <v>886.44</v>
      </c>
      <c r="B728" s="413">
        <v>1E-3</v>
      </c>
      <c r="C728" s="413">
        <v>0.27400000000000002</v>
      </c>
      <c r="D728" s="414">
        <f t="shared" si="23"/>
        <v>88.644000000000005</v>
      </c>
      <c r="E728" s="414"/>
      <c r="F728" s="415">
        <f t="shared" si="24"/>
        <v>-69150.201999999917</v>
      </c>
      <c r="G728" s="411"/>
      <c r="H728" s="411"/>
      <c r="I728" s="411"/>
      <c r="J728" s="411"/>
      <c r="K728" s="411"/>
      <c r="L728" s="411"/>
      <c r="M728" s="411"/>
      <c r="N728" s="411"/>
      <c r="O728" s="411"/>
      <c r="P728" s="411"/>
      <c r="Q728" s="411"/>
      <c r="R728" s="411"/>
      <c r="S728" s="411"/>
      <c r="T728" s="411"/>
    </row>
    <row r="729" spans="1:20" ht="15" thickBot="1" x14ac:dyDescent="0.4">
      <c r="A729" s="447">
        <v>895.7</v>
      </c>
      <c r="B729" s="413">
        <v>1E-3</v>
      </c>
      <c r="C729" s="413">
        <v>0.27300000000000002</v>
      </c>
      <c r="D729" s="414">
        <f t="shared" si="23"/>
        <v>89.570000000000007</v>
      </c>
      <c r="E729" s="414"/>
      <c r="F729" s="415">
        <f t="shared" si="24"/>
        <v>-69060.63199999991</v>
      </c>
      <c r="G729" s="411"/>
      <c r="H729" s="411"/>
      <c r="I729" s="411"/>
      <c r="J729" s="411"/>
      <c r="K729" s="411"/>
      <c r="L729" s="411"/>
      <c r="M729" s="411"/>
      <c r="N729" s="411"/>
      <c r="O729" s="411"/>
      <c r="P729" s="411"/>
      <c r="Q729" s="411"/>
      <c r="R729" s="411"/>
      <c r="S729" s="411"/>
      <c r="T729" s="411"/>
    </row>
    <row r="730" spans="1:20" ht="15" thickBot="1" x14ac:dyDescent="0.4">
      <c r="A730" s="447">
        <v>896.78</v>
      </c>
      <c r="B730" s="413">
        <v>1E-3</v>
      </c>
      <c r="C730" s="413">
        <v>0.27200000000000002</v>
      </c>
      <c r="D730" s="414">
        <f t="shared" si="23"/>
        <v>89.677999999999997</v>
      </c>
      <c r="E730" s="414"/>
      <c r="F730" s="415">
        <f t="shared" si="24"/>
        <v>-68970.953999999911</v>
      </c>
      <c r="G730" s="411"/>
      <c r="H730" s="411"/>
      <c r="I730" s="411"/>
      <c r="J730" s="411"/>
      <c r="K730" s="411"/>
      <c r="L730" s="411"/>
      <c r="M730" s="411"/>
      <c r="N730" s="411"/>
      <c r="O730" s="411"/>
      <c r="P730" s="411"/>
      <c r="Q730" s="411"/>
      <c r="R730" s="411"/>
      <c r="S730" s="411"/>
      <c r="T730" s="411"/>
    </row>
    <row r="731" spans="1:20" ht="15" thickBot="1" x14ac:dyDescent="0.4">
      <c r="A731" s="447">
        <v>897.9</v>
      </c>
      <c r="B731" s="413">
        <v>1E-3</v>
      </c>
      <c r="C731" s="413">
        <v>0.27100000000000002</v>
      </c>
      <c r="D731" s="414">
        <f t="shared" si="23"/>
        <v>89.79</v>
      </c>
      <c r="E731" s="414"/>
      <c r="F731" s="415">
        <f t="shared" si="24"/>
        <v>-68881.163999999917</v>
      </c>
      <c r="G731" s="411"/>
      <c r="H731" s="411"/>
      <c r="I731" s="411"/>
      <c r="J731" s="411"/>
      <c r="K731" s="411"/>
      <c r="L731" s="411"/>
      <c r="M731" s="411"/>
      <c r="N731" s="411"/>
      <c r="O731" s="411"/>
      <c r="P731" s="411"/>
      <c r="Q731" s="411"/>
      <c r="R731" s="411"/>
      <c r="S731" s="411"/>
      <c r="T731" s="411"/>
    </row>
    <row r="732" spans="1:20" ht="15" thickBot="1" x14ac:dyDescent="0.4">
      <c r="A732" s="447">
        <v>900.03</v>
      </c>
      <c r="B732" s="413">
        <v>1E-3</v>
      </c>
      <c r="C732" s="413">
        <v>0.27</v>
      </c>
      <c r="D732" s="414">
        <f t="shared" si="23"/>
        <v>90.003</v>
      </c>
      <c r="E732" s="414"/>
      <c r="F732" s="415">
        <f t="shared" si="24"/>
        <v>-68791.16099999992</v>
      </c>
      <c r="G732" s="411"/>
      <c r="H732" s="411"/>
      <c r="I732" s="411"/>
      <c r="J732" s="411"/>
      <c r="K732" s="411"/>
      <c r="L732" s="411"/>
      <c r="M732" s="411"/>
      <c r="N732" s="411"/>
      <c r="O732" s="411"/>
      <c r="P732" s="411"/>
      <c r="Q732" s="411"/>
      <c r="R732" s="411"/>
      <c r="S732" s="411"/>
      <c r="T732" s="411"/>
    </row>
    <row r="733" spans="1:20" ht="15" thickBot="1" x14ac:dyDescent="0.4">
      <c r="A733" s="447">
        <v>904.44</v>
      </c>
      <c r="B733" s="413">
        <v>1E-3</v>
      </c>
      <c r="C733" s="413">
        <v>0.26900000000000002</v>
      </c>
      <c r="D733" s="414">
        <f t="shared" si="23"/>
        <v>90.444000000000003</v>
      </c>
      <c r="E733" s="414"/>
      <c r="F733" s="415">
        <f t="shared" si="24"/>
        <v>-68700.716999999917</v>
      </c>
      <c r="G733" s="411"/>
      <c r="H733" s="411"/>
      <c r="I733" s="411"/>
      <c r="J733" s="411"/>
      <c r="K733" s="411"/>
      <c r="L733" s="411"/>
      <c r="M733" s="411"/>
      <c r="N733" s="411"/>
      <c r="O733" s="411"/>
      <c r="P733" s="411"/>
      <c r="Q733" s="411"/>
      <c r="R733" s="411"/>
      <c r="S733" s="411"/>
      <c r="T733" s="411"/>
    </row>
    <row r="734" spans="1:20" ht="15" thickBot="1" x14ac:dyDescent="0.4">
      <c r="A734" s="447">
        <v>907.73</v>
      </c>
      <c r="B734" s="413">
        <v>1E-3</v>
      </c>
      <c r="C734" s="413">
        <v>0.26800000000000002</v>
      </c>
      <c r="D734" s="414">
        <f t="shared" si="23"/>
        <v>90.772999999999996</v>
      </c>
      <c r="E734" s="414"/>
      <c r="F734" s="415">
        <f t="shared" si="24"/>
        <v>-68609.943999999916</v>
      </c>
      <c r="G734" s="411"/>
      <c r="H734" s="411"/>
      <c r="I734" s="411"/>
      <c r="J734" s="411"/>
      <c r="K734" s="411"/>
      <c r="L734" s="411"/>
      <c r="M734" s="411"/>
      <c r="N734" s="411"/>
      <c r="O734" s="411"/>
      <c r="P734" s="411"/>
      <c r="Q734" s="411"/>
      <c r="R734" s="411"/>
      <c r="S734" s="411"/>
      <c r="T734" s="411"/>
    </row>
    <row r="735" spans="1:20" ht="15" thickBot="1" x14ac:dyDescent="0.4">
      <c r="A735" s="447">
        <v>908.88</v>
      </c>
      <c r="B735" s="413">
        <v>1E-3</v>
      </c>
      <c r="C735" s="413">
        <v>0.26700000000000002</v>
      </c>
      <c r="D735" s="414">
        <f t="shared" si="23"/>
        <v>90.888000000000005</v>
      </c>
      <c r="E735" s="414"/>
      <c r="F735" s="415">
        <f t="shared" si="24"/>
        <v>-68519.05599999991</v>
      </c>
      <c r="G735" s="411"/>
      <c r="H735" s="411"/>
      <c r="I735" s="411"/>
      <c r="J735" s="411"/>
      <c r="K735" s="411"/>
      <c r="L735" s="411"/>
      <c r="M735" s="411"/>
      <c r="N735" s="411"/>
      <c r="O735" s="411"/>
      <c r="P735" s="411"/>
      <c r="Q735" s="411"/>
      <c r="R735" s="411"/>
      <c r="S735" s="411"/>
      <c r="T735" s="411"/>
    </row>
    <row r="736" spans="1:20" ht="15" thickBot="1" x14ac:dyDescent="0.4">
      <c r="A736" s="447">
        <v>909.47</v>
      </c>
      <c r="B736" s="413">
        <v>1E-3</v>
      </c>
      <c r="C736" s="413">
        <v>0.26600000000000001</v>
      </c>
      <c r="D736" s="414">
        <f t="shared" si="23"/>
        <v>90.947000000000003</v>
      </c>
      <c r="E736" s="414"/>
      <c r="F736" s="415">
        <f t="shared" si="24"/>
        <v>-68428.108999999909</v>
      </c>
      <c r="G736" s="411"/>
      <c r="H736" s="411"/>
      <c r="I736" s="411"/>
      <c r="J736" s="411"/>
      <c r="K736" s="411"/>
      <c r="L736" s="411"/>
      <c r="M736" s="411"/>
      <c r="N736" s="411"/>
      <c r="O736" s="411"/>
      <c r="P736" s="411"/>
      <c r="Q736" s="411"/>
      <c r="R736" s="411"/>
      <c r="S736" s="411"/>
      <c r="T736" s="411"/>
    </row>
    <row r="737" spans="1:20" ht="15" thickBot="1" x14ac:dyDescent="0.4">
      <c r="A737" s="447">
        <v>924.84</v>
      </c>
      <c r="B737" s="413">
        <v>1E-3</v>
      </c>
      <c r="C737" s="413">
        <v>0.26500000000000001</v>
      </c>
      <c r="D737" s="414">
        <f t="shared" si="23"/>
        <v>92.484000000000009</v>
      </c>
      <c r="E737" s="414"/>
      <c r="F737" s="415">
        <f t="shared" si="24"/>
        <v>-68335.624999999913</v>
      </c>
      <c r="G737" s="411"/>
      <c r="H737" s="411"/>
      <c r="I737" s="411"/>
      <c r="J737" s="411"/>
      <c r="K737" s="411"/>
      <c r="L737" s="411"/>
      <c r="M737" s="411"/>
      <c r="N737" s="411"/>
      <c r="O737" s="411"/>
      <c r="P737" s="411"/>
      <c r="Q737" s="411"/>
      <c r="R737" s="411"/>
      <c r="S737" s="411"/>
      <c r="T737" s="411"/>
    </row>
    <row r="738" spans="1:20" ht="15" thickBot="1" x14ac:dyDescent="0.4">
      <c r="A738" s="447">
        <v>937.87</v>
      </c>
      <c r="B738" s="413">
        <v>1E-3</v>
      </c>
      <c r="C738" s="413">
        <v>0.26400000000000001</v>
      </c>
      <c r="D738" s="414">
        <f t="shared" si="23"/>
        <v>93.786999999999992</v>
      </c>
      <c r="E738" s="414"/>
      <c r="F738" s="415">
        <f t="shared" si="24"/>
        <v>-68241.837999999916</v>
      </c>
      <c r="G738" s="411"/>
      <c r="H738" s="411"/>
      <c r="I738" s="411"/>
      <c r="J738" s="411"/>
      <c r="K738" s="411"/>
      <c r="L738" s="411"/>
      <c r="M738" s="411"/>
      <c r="N738" s="411"/>
      <c r="O738" s="411"/>
      <c r="P738" s="411"/>
      <c r="Q738" s="411"/>
      <c r="R738" s="411"/>
      <c r="S738" s="411"/>
      <c r="T738" s="411"/>
    </row>
    <row r="739" spans="1:20" ht="15" thickBot="1" x14ac:dyDescent="0.4">
      <c r="A739" s="447">
        <v>947.45</v>
      </c>
      <c r="B739" s="413">
        <v>1E-3</v>
      </c>
      <c r="C739" s="413">
        <v>0.26300000000000001</v>
      </c>
      <c r="D739" s="414">
        <f t="shared" si="23"/>
        <v>94.745000000000005</v>
      </c>
      <c r="E739" s="414"/>
      <c r="F739" s="415">
        <f t="shared" si="24"/>
        <v>-68147.092999999921</v>
      </c>
      <c r="G739" s="411"/>
      <c r="H739" s="411"/>
      <c r="I739" s="411"/>
      <c r="J739" s="411"/>
      <c r="K739" s="411"/>
      <c r="L739" s="411"/>
      <c r="M739" s="411"/>
      <c r="N739" s="411"/>
      <c r="O739" s="411"/>
      <c r="P739" s="411"/>
      <c r="Q739" s="411"/>
      <c r="R739" s="411"/>
      <c r="S739" s="411"/>
      <c r="T739" s="411"/>
    </row>
    <row r="740" spans="1:20" ht="15" thickBot="1" x14ac:dyDescent="0.4">
      <c r="A740" s="447">
        <v>950.79</v>
      </c>
      <c r="B740" s="413">
        <v>1E-3</v>
      </c>
      <c r="C740" s="413">
        <v>0.26200000000000001</v>
      </c>
      <c r="D740" s="414">
        <f t="shared" si="23"/>
        <v>95.078999999999994</v>
      </c>
      <c r="E740" s="414"/>
      <c r="F740" s="415">
        <f t="shared" si="24"/>
        <v>-68052.013999999923</v>
      </c>
      <c r="G740" s="411"/>
      <c r="H740" s="411"/>
      <c r="I740" s="411"/>
      <c r="J740" s="411"/>
      <c r="K740" s="411"/>
      <c r="L740" s="411"/>
      <c r="M740" s="411"/>
      <c r="N740" s="411"/>
      <c r="O740" s="411"/>
      <c r="P740" s="411"/>
      <c r="Q740" s="411"/>
      <c r="R740" s="411"/>
      <c r="S740" s="411"/>
      <c r="T740" s="411"/>
    </row>
    <row r="741" spans="1:20" ht="15" thickBot="1" x14ac:dyDescent="0.4">
      <c r="A741" s="447">
        <v>960.17</v>
      </c>
      <c r="B741" s="413">
        <v>1E-3</v>
      </c>
      <c r="C741" s="413">
        <v>0.26100000000000001</v>
      </c>
      <c r="D741" s="414">
        <f t="shared" si="23"/>
        <v>96.016999999999996</v>
      </c>
      <c r="E741" s="414"/>
      <c r="F741" s="415">
        <f t="shared" si="24"/>
        <v>-67955.996999999916</v>
      </c>
      <c r="G741" s="411"/>
      <c r="H741" s="411"/>
      <c r="I741" s="411"/>
      <c r="J741" s="411"/>
      <c r="K741" s="411"/>
      <c r="L741" s="411"/>
      <c r="M741" s="411"/>
      <c r="N741" s="411"/>
      <c r="O741" s="411"/>
      <c r="P741" s="411"/>
      <c r="Q741" s="411"/>
      <c r="R741" s="411"/>
      <c r="S741" s="411"/>
      <c r="T741" s="411"/>
    </row>
    <row r="742" spans="1:20" ht="15" thickBot="1" x14ac:dyDescent="0.4">
      <c r="A742" s="447">
        <v>963.15</v>
      </c>
      <c r="B742" s="413">
        <v>1E-3</v>
      </c>
      <c r="C742" s="413">
        <v>0.26</v>
      </c>
      <c r="D742" s="414">
        <f t="shared" si="23"/>
        <v>96.314999999999998</v>
      </c>
      <c r="E742" s="414"/>
      <c r="F742" s="415">
        <f t="shared" si="24"/>
        <v>-67859.681999999913</v>
      </c>
      <c r="G742" s="411"/>
      <c r="H742" s="411"/>
      <c r="I742" s="411"/>
      <c r="J742" s="411"/>
      <c r="K742" s="411"/>
      <c r="L742" s="411"/>
      <c r="M742" s="411"/>
      <c r="N742" s="411"/>
      <c r="O742" s="411"/>
      <c r="P742" s="411"/>
      <c r="Q742" s="411"/>
      <c r="R742" s="411"/>
      <c r="S742" s="411"/>
      <c r="T742" s="411"/>
    </row>
    <row r="743" spans="1:20" ht="15" thickBot="1" x14ac:dyDescent="0.4">
      <c r="A743" s="447">
        <v>968.55</v>
      </c>
      <c r="B743" s="413">
        <v>1E-3</v>
      </c>
      <c r="C743" s="413">
        <v>0.25900000000000001</v>
      </c>
      <c r="D743" s="414">
        <f t="shared" si="23"/>
        <v>96.855000000000004</v>
      </c>
      <c r="E743" s="414"/>
      <c r="F743" s="415">
        <f t="shared" si="24"/>
        <v>-67762.826999999917</v>
      </c>
      <c r="G743" s="411"/>
      <c r="H743" s="411"/>
      <c r="I743" s="411"/>
      <c r="J743" s="411"/>
      <c r="K743" s="411"/>
      <c r="L743" s="411"/>
      <c r="M743" s="411"/>
      <c r="N743" s="411"/>
      <c r="O743" s="411"/>
      <c r="P743" s="411"/>
      <c r="Q743" s="411"/>
      <c r="R743" s="411"/>
      <c r="S743" s="411"/>
      <c r="T743" s="411"/>
    </row>
    <row r="744" spans="1:20" ht="15" thickBot="1" x14ac:dyDescent="0.4">
      <c r="A744" s="447">
        <v>975.24</v>
      </c>
      <c r="B744" s="413">
        <v>1E-3</v>
      </c>
      <c r="C744" s="413">
        <v>0.25800000000000001</v>
      </c>
      <c r="D744" s="414">
        <f t="shared" si="23"/>
        <v>97.524000000000001</v>
      </c>
      <c r="E744" s="414"/>
      <c r="F744" s="415">
        <f t="shared" si="24"/>
        <v>-67665.302999999913</v>
      </c>
      <c r="G744" s="411"/>
      <c r="H744" s="411"/>
      <c r="I744" s="411"/>
      <c r="J744" s="411"/>
      <c r="K744" s="411"/>
      <c r="L744" s="411"/>
      <c r="M744" s="411"/>
      <c r="N744" s="411"/>
      <c r="O744" s="411"/>
      <c r="P744" s="411"/>
      <c r="Q744" s="411"/>
      <c r="R744" s="411"/>
      <c r="S744" s="411"/>
      <c r="T744" s="411"/>
    </row>
    <row r="745" spans="1:20" ht="15" thickBot="1" x14ac:dyDescent="0.4">
      <c r="A745" s="447">
        <v>988.77</v>
      </c>
      <c r="B745" s="413">
        <v>1E-3</v>
      </c>
      <c r="C745" s="413">
        <v>0.25700000000000001</v>
      </c>
      <c r="D745" s="414">
        <f t="shared" si="23"/>
        <v>98.876999999999995</v>
      </c>
      <c r="E745" s="414"/>
      <c r="F745" s="415">
        <f t="shared" si="24"/>
        <v>-67566.425999999919</v>
      </c>
      <c r="G745" s="411"/>
      <c r="H745" s="411"/>
      <c r="I745" s="411"/>
      <c r="J745" s="411"/>
      <c r="K745" s="411"/>
      <c r="L745" s="411"/>
      <c r="M745" s="411"/>
      <c r="N745" s="411"/>
      <c r="O745" s="411"/>
      <c r="P745" s="411"/>
      <c r="Q745" s="411"/>
      <c r="R745" s="411"/>
      <c r="S745" s="411"/>
      <c r="T745" s="411"/>
    </row>
    <row r="746" spans="1:20" ht="15" thickBot="1" x14ac:dyDescent="0.4">
      <c r="A746" s="447">
        <v>992.97</v>
      </c>
      <c r="B746" s="413">
        <v>1E-3</v>
      </c>
      <c r="C746" s="413">
        <v>0.25600000000000001</v>
      </c>
      <c r="D746" s="414">
        <f t="shared" si="23"/>
        <v>99.296999999999997</v>
      </c>
      <c r="E746" s="414"/>
      <c r="F746" s="415">
        <f t="shared" si="24"/>
        <v>-67467.128999999914</v>
      </c>
      <c r="G746" s="411"/>
      <c r="H746" s="411"/>
      <c r="I746" s="411"/>
      <c r="J746" s="411"/>
      <c r="K746" s="411"/>
      <c r="L746" s="411"/>
      <c r="M746" s="411"/>
      <c r="N746" s="411"/>
      <c r="O746" s="411"/>
      <c r="P746" s="411"/>
      <c r="Q746" s="411"/>
      <c r="R746" s="411"/>
      <c r="S746" s="411"/>
      <c r="T746" s="411"/>
    </row>
    <row r="747" spans="1:20" ht="15" thickBot="1" x14ac:dyDescent="0.4">
      <c r="A747" s="447">
        <v>994.51</v>
      </c>
      <c r="B747" s="413">
        <v>1E-3</v>
      </c>
      <c r="C747" s="413">
        <v>0.255</v>
      </c>
      <c r="D747" s="414">
        <f t="shared" si="23"/>
        <v>99.450999999999993</v>
      </c>
      <c r="E747" s="414"/>
      <c r="F747" s="415">
        <f t="shared" si="24"/>
        <v>-67367.677999999913</v>
      </c>
      <c r="G747" s="411"/>
      <c r="H747" s="411"/>
      <c r="I747" s="411"/>
      <c r="J747" s="411"/>
      <c r="K747" s="411"/>
      <c r="L747" s="411"/>
      <c r="M747" s="411"/>
      <c r="N747" s="411"/>
      <c r="O747" s="411"/>
      <c r="P747" s="411"/>
      <c r="Q747" s="411"/>
      <c r="R747" s="411"/>
      <c r="S747" s="411"/>
      <c r="T747" s="411"/>
    </row>
    <row r="748" spans="1:20" ht="15" thickBot="1" x14ac:dyDescent="0.4">
      <c r="A748" s="412">
        <v>1009.78</v>
      </c>
      <c r="B748" s="413">
        <v>1E-3</v>
      </c>
      <c r="C748" s="413">
        <v>0.254</v>
      </c>
      <c r="D748" s="414">
        <f t="shared" si="23"/>
        <v>100.97799999999999</v>
      </c>
      <c r="E748" s="414"/>
      <c r="F748" s="415">
        <f t="shared" si="24"/>
        <v>-67266.69999999991</v>
      </c>
      <c r="G748" s="411"/>
      <c r="H748" s="411"/>
      <c r="I748" s="411"/>
      <c r="J748" s="411"/>
      <c r="K748" s="411"/>
      <c r="L748" s="411"/>
      <c r="M748" s="411"/>
      <c r="N748" s="411"/>
      <c r="O748" s="411"/>
      <c r="P748" s="411"/>
      <c r="Q748" s="411"/>
      <c r="R748" s="411"/>
      <c r="S748" s="411"/>
      <c r="T748" s="411"/>
    </row>
    <row r="749" spans="1:20" ht="15" thickBot="1" x14ac:dyDescent="0.4">
      <c r="A749" s="412">
        <v>1012.66</v>
      </c>
      <c r="B749" s="413">
        <v>1E-3</v>
      </c>
      <c r="C749" s="413">
        <v>0.253</v>
      </c>
      <c r="D749" s="414">
        <f t="shared" si="23"/>
        <v>101.26599999999999</v>
      </c>
      <c r="E749" s="414"/>
      <c r="F749" s="415">
        <f t="shared" si="24"/>
        <v>-67165.433999999907</v>
      </c>
      <c r="G749" s="411"/>
      <c r="H749" s="411"/>
      <c r="I749" s="411"/>
      <c r="J749" s="411"/>
      <c r="K749" s="411"/>
      <c r="L749" s="411"/>
      <c r="M749" s="411"/>
      <c r="N749" s="411"/>
      <c r="O749" s="411"/>
      <c r="P749" s="411"/>
      <c r="Q749" s="411"/>
      <c r="R749" s="411"/>
      <c r="S749" s="411"/>
      <c r="T749" s="411"/>
    </row>
    <row r="750" spans="1:20" ht="15" thickBot="1" x14ac:dyDescent="0.4">
      <c r="A750" s="412">
        <v>1017.2</v>
      </c>
      <c r="B750" s="413">
        <v>1E-3</v>
      </c>
      <c r="C750" s="413">
        <v>0.252</v>
      </c>
      <c r="D750" s="414">
        <f t="shared" si="23"/>
        <v>101.72000000000001</v>
      </c>
      <c r="E750" s="414"/>
      <c r="F750" s="415">
        <f t="shared" si="24"/>
        <v>-67063.713999999905</v>
      </c>
      <c r="G750" s="411"/>
      <c r="H750" s="411"/>
      <c r="I750" s="411"/>
      <c r="J750" s="411"/>
      <c r="K750" s="411"/>
      <c r="L750" s="411"/>
      <c r="M750" s="411"/>
      <c r="N750" s="411"/>
      <c r="O750" s="411"/>
      <c r="P750" s="411"/>
      <c r="Q750" s="411"/>
      <c r="R750" s="411"/>
      <c r="S750" s="411"/>
      <c r="T750" s="411"/>
    </row>
    <row r="751" spans="1:20" ht="15" thickBot="1" x14ac:dyDescent="0.4">
      <c r="A751" s="412">
        <v>1026.78</v>
      </c>
      <c r="B751" s="413">
        <v>1E-3</v>
      </c>
      <c r="C751" s="413">
        <v>0.251</v>
      </c>
      <c r="D751" s="414">
        <f t="shared" si="23"/>
        <v>102.678</v>
      </c>
      <c r="E751" s="414"/>
      <c r="F751" s="415">
        <f t="shared" si="24"/>
        <v>-66961.035999999905</v>
      </c>
      <c r="G751" s="411"/>
      <c r="H751" s="411"/>
      <c r="I751" s="411"/>
      <c r="J751" s="411"/>
      <c r="K751" s="411"/>
      <c r="L751" s="411"/>
      <c r="M751" s="411"/>
      <c r="N751" s="411"/>
      <c r="O751" s="411"/>
      <c r="P751" s="411"/>
      <c r="Q751" s="411"/>
      <c r="R751" s="411"/>
      <c r="S751" s="411"/>
      <c r="T751" s="411"/>
    </row>
    <row r="752" spans="1:20" ht="15" thickBot="1" x14ac:dyDescent="0.4">
      <c r="A752" s="412">
        <v>1039.55</v>
      </c>
      <c r="B752" s="413">
        <v>1E-3</v>
      </c>
      <c r="C752" s="413">
        <v>0.25</v>
      </c>
      <c r="D752" s="414">
        <f t="shared" si="23"/>
        <v>103.955</v>
      </c>
      <c r="E752" s="414"/>
      <c r="F752" s="415">
        <f t="shared" si="24"/>
        <v>-66857.080999999904</v>
      </c>
      <c r="G752" s="411"/>
      <c r="H752" s="411"/>
      <c r="I752" s="411"/>
      <c r="J752" s="411"/>
      <c r="K752" s="411"/>
      <c r="L752" s="411"/>
      <c r="M752" s="411"/>
      <c r="N752" s="411"/>
      <c r="O752" s="411"/>
      <c r="P752" s="411"/>
      <c r="Q752" s="411"/>
      <c r="R752" s="411"/>
      <c r="S752" s="411"/>
      <c r="T752" s="411"/>
    </row>
    <row r="753" spans="1:20" ht="15" thickBot="1" x14ac:dyDescent="0.4">
      <c r="A753" s="412">
        <v>1050.7</v>
      </c>
      <c r="B753" s="413">
        <v>1E-3</v>
      </c>
      <c r="C753" s="413">
        <v>0.249</v>
      </c>
      <c r="D753" s="414">
        <f t="shared" si="23"/>
        <v>105.07</v>
      </c>
      <c r="E753" s="414"/>
      <c r="F753" s="415">
        <f t="shared" si="24"/>
        <v>-66752.010999999897</v>
      </c>
      <c r="G753" s="411"/>
      <c r="H753" s="411"/>
      <c r="I753" s="411"/>
      <c r="J753" s="411"/>
      <c r="K753" s="411"/>
      <c r="L753" s="411"/>
      <c r="M753" s="411"/>
      <c r="N753" s="411"/>
      <c r="O753" s="411"/>
      <c r="P753" s="411"/>
      <c r="Q753" s="411"/>
      <c r="R753" s="411"/>
      <c r="S753" s="411"/>
      <c r="T753" s="411"/>
    </row>
    <row r="754" spans="1:20" ht="15" thickBot="1" x14ac:dyDescent="0.4">
      <c r="A754" s="412">
        <v>1055.93</v>
      </c>
      <c r="B754" s="413">
        <v>1E-3</v>
      </c>
      <c r="C754" s="413">
        <v>0.248</v>
      </c>
      <c r="D754" s="414">
        <f t="shared" si="23"/>
        <v>105.593</v>
      </c>
      <c r="E754" s="414"/>
      <c r="F754" s="415">
        <f t="shared" si="24"/>
        <v>-66646.417999999903</v>
      </c>
      <c r="G754" s="411"/>
      <c r="H754" s="411"/>
      <c r="I754" s="411"/>
      <c r="J754" s="411"/>
      <c r="K754" s="411"/>
      <c r="L754" s="411"/>
      <c r="M754" s="411"/>
      <c r="N754" s="411"/>
      <c r="O754" s="411"/>
      <c r="P754" s="411"/>
      <c r="Q754" s="411"/>
      <c r="R754" s="411"/>
      <c r="S754" s="411"/>
      <c r="T754" s="411"/>
    </row>
    <row r="755" spans="1:20" ht="15" thickBot="1" x14ac:dyDescent="0.4">
      <c r="A755" s="412">
        <v>1057.23</v>
      </c>
      <c r="B755" s="413">
        <v>1E-3</v>
      </c>
      <c r="C755" s="413">
        <v>0.247</v>
      </c>
      <c r="D755" s="414">
        <f t="shared" si="23"/>
        <v>105.72300000000001</v>
      </c>
      <c r="E755" s="414"/>
      <c r="F755" s="415">
        <f t="shared" si="24"/>
        <v>-66540.694999999905</v>
      </c>
      <c r="G755" s="411"/>
      <c r="H755" s="411"/>
      <c r="I755" s="411"/>
      <c r="J755" s="411"/>
      <c r="K755" s="411"/>
      <c r="L755" s="411"/>
      <c r="M755" s="411"/>
      <c r="N755" s="411"/>
      <c r="O755" s="411"/>
      <c r="P755" s="411"/>
      <c r="Q755" s="411"/>
      <c r="R755" s="411"/>
      <c r="S755" s="411"/>
      <c r="T755" s="411"/>
    </row>
    <row r="756" spans="1:20" ht="15" thickBot="1" x14ac:dyDescent="0.4">
      <c r="A756" s="412">
        <v>1065.17</v>
      </c>
      <c r="B756" s="413">
        <v>1E-3</v>
      </c>
      <c r="C756" s="413">
        <v>0.246</v>
      </c>
      <c r="D756" s="414">
        <f t="shared" si="23"/>
        <v>106.51700000000001</v>
      </c>
      <c r="E756" s="414"/>
      <c r="F756" s="415">
        <f t="shared" si="24"/>
        <v>-66434.177999999898</v>
      </c>
      <c r="G756" s="411"/>
      <c r="H756" s="411"/>
      <c r="I756" s="411"/>
      <c r="J756" s="411"/>
      <c r="K756" s="411"/>
      <c r="L756" s="411"/>
      <c r="M756" s="411"/>
      <c r="N756" s="411"/>
      <c r="O756" s="411"/>
      <c r="P756" s="411"/>
      <c r="Q756" s="411"/>
      <c r="R756" s="411"/>
      <c r="S756" s="411"/>
      <c r="T756" s="411"/>
    </row>
    <row r="757" spans="1:20" ht="15" thickBot="1" x14ac:dyDescent="0.4">
      <c r="A757" s="412">
        <v>1072.1500000000001</v>
      </c>
      <c r="B757" s="413">
        <v>1E-3</v>
      </c>
      <c r="C757" s="413">
        <v>0.245</v>
      </c>
      <c r="D757" s="414">
        <f t="shared" si="23"/>
        <v>107.21500000000002</v>
      </c>
      <c r="E757" s="414"/>
      <c r="F757" s="415">
        <f t="shared" si="24"/>
        <v>-66326.962999999902</v>
      </c>
      <c r="G757" s="411"/>
      <c r="H757" s="411"/>
      <c r="I757" s="411"/>
      <c r="J757" s="411"/>
      <c r="K757" s="411"/>
      <c r="L757" s="411"/>
      <c r="M757" s="411"/>
      <c r="N757" s="411"/>
      <c r="O757" s="411"/>
      <c r="P757" s="411"/>
      <c r="Q757" s="411"/>
      <c r="R757" s="411"/>
      <c r="S757" s="411"/>
      <c r="T757" s="411"/>
    </row>
    <row r="758" spans="1:20" ht="15" thickBot="1" x14ac:dyDescent="0.4">
      <c r="A758" s="412">
        <v>1075.8499999999999</v>
      </c>
      <c r="B758" s="413">
        <v>1E-3</v>
      </c>
      <c r="C758" s="413">
        <v>0.24399999999999999</v>
      </c>
      <c r="D758" s="414">
        <f t="shared" si="23"/>
        <v>107.58499999999999</v>
      </c>
      <c r="E758" s="414"/>
      <c r="F758" s="415">
        <f t="shared" si="24"/>
        <v>-66219.377999999895</v>
      </c>
      <c r="G758" s="411"/>
      <c r="H758" s="411"/>
      <c r="I758" s="411"/>
      <c r="J758" s="411"/>
      <c r="K758" s="411"/>
      <c r="L758" s="411"/>
      <c r="M758" s="411"/>
      <c r="N758" s="411"/>
      <c r="O758" s="411"/>
      <c r="P758" s="411"/>
      <c r="Q758" s="411"/>
      <c r="R758" s="411"/>
      <c r="S758" s="411"/>
      <c r="T758" s="411"/>
    </row>
    <row r="759" spans="1:20" ht="15" thickBot="1" x14ac:dyDescent="0.4">
      <c r="A759" s="412">
        <v>1076.6600000000001</v>
      </c>
      <c r="B759" s="413">
        <v>1E-3</v>
      </c>
      <c r="C759" s="413">
        <v>0.24299999999999999</v>
      </c>
      <c r="D759" s="414">
        <f t="shared" si="23"/>
        <v>107.66600000000001</v>
      </c>
      <c r="E759" s="414"/>
      <c r="F759" s="415">
        <f t="shared" si="24"/>
        <v>-66111.711999999898</v>
      </c>
      <c r="G759" s="411"/>
      <c r="H759" s="411"/>
      <c r="I759" s="411"/>
      <c r="J759" s="411"/>
      <c r="K759" s="411"/>
      <c r="L759" s="411"/>
      <c r="M759" s="411"/>
      <c r="N759" s="411"/>
      <c r="O759" s="411"/>
      <c r="P759" s="411"/>
      <c r="Q759" s="411"/>
      <c r="R759" s="411"/>
      <c r="S759" s="411"/>
      <c r="T759" s="411"/>
    </row>
    <row r="760" spans="1:20" ht="15" thickBot="1" x14ac:dyDescent="0.4">
      <c r="A760" s="412">
        <v>1076.8800000000001</v>
      </c>
      <c r="B760" s="413">
        <v>1E-3</v>
      </c>
      <c r="C760" s="413">
        <v>0.24199999999999999</v>
      </c>
      <c r="D760" s="414">
        <f t="shared" si="23"/>
        <v>107.688</v>
      </c>
      <c r="E760" s="414"/>
      <c r="F760" s="415">
        <f t="shared" si="24"/>
        <v>-66004.023999999903</v>
      </c>
      <c r="G760" s="411"/>
      <c r="H760" s="411"/>
      <c r="I760" s="411"/>
      <c r="J760" s="411"/>
      <c r="K760" s="411"/>
      <c r="L760" s="411"/>
      <c r="M760" s="411"/>
      <c r="N760" s="411"/>
      <c r="O760" s="411"/>
      <c r="P760" s="411"/>
      <c r="Q760" s="411"/>
      <c r="R760" s="411"/>
      <c r="S760" s="411"/>
      <c r="T760" s="411"/>
    </row>
    <row r="761" spans="1:20" ht="15" thickBot="1" x14ac:dyDescent="0.4">
      <c r="A761" s="412">
        <v>1079.07</v>
      </c>
      <c r="B761" s="413">
        <v>1E-3</v>
      </c>
      <c r="C761" s="413">
        <v>0.24099999999999999</v>
      </c>
      <c r="D761" s="414">
        <f t="shared" si="23"/>
        <v>107.907</v>
      </c>
      <c r="E761" s="414"/>
      <c r="F761" s="415">
        <f t="shared" si="24"/>
        <v>-65896.116999999897</v>
      </c>
      <c r="G761" s="411"/>
      <c r="H761" s="411"/>
      <c r="I761" s="411"/>
      <c r="J761" s="411"/>
      <c r="K761" s="411"/>
      <c r="L761" s="411"/>
      <c r="M761" s="411"/>
      <c r="N761" s="411"/>
      <c r="O761" s="411"/>
      <c r="P761" s="411"/>
      <c r="Q761" s="411"/>
      <c r="R761" s="411"/>
      <c r="S761" s="411"/>
      <c r="T761" s="411"/>
    </row>
    <row r="762" spans="1:20" ht="15" thickBot="1" x14ac:dyDescent="0.4">
      <c r="A762" s="412">
        <v>1082.25</v>
      </c>
      <c r="B762" s="413">
        <v>1E-3</v>
      </c>
      <c r="C762" s="413">
        <v>0.24</v>
      </c>
      <c r="D762" s="414">
        <f t="shared" si="23"/>
        <v>108.22499999999999</v>
      </c>
      <c r="E762" s="414"/>
      <c r="F762" s="415">
        <f t="shared" si="24"/>
        <v>-65787.891999999891</v>
      </c>
      <c r="G762" s="411"/>
      <c r="H762" s="411"/>
      <c r="I762" s="411"/>
      <c r="J762" s="411"/>
      <c r="K762" s="411"/>
      <c r="L762" s="411"/>
      <c r="M762" s="411"/>
      <c r="N762" s="411"/>
      <c r="O762" s="411"/>
      <c r="P762" s="411"/>
      <c r="Q762" s="411"/>
      <c r="R762" s="411"/>
      <c r="S762" s="411"/>
      <c r="T762" s="411"/>
    </row>
    <row r="763" spans="1:20" ht="15" thickBot="1" x14ac:dyDescent="0.4">
      <c r="A763" s="412">
        <v>1085.24</v>
      </c>
      <c r="B763" s="413">
        <v>1E-3</v>
      </c>
      <c r="C763" s="413">
        <v>0.23899999999999999</v>
      </c>
      <c r="D763" s="414">
        <f t="shared" si="23"/>
        <v>108.524</v>
      </c>
      <c r="E763" s="414"/>
      <c r="F763" s="415">
        <f t="shared" si="24"/>
        <v>-65679.367999999886</v>
      </c>
      <c r="G763" s="411"/>
      <c r="H763" s="411"/>
      <c r="I763" s="411"/>
      <c r="J763" s="411"/>
      <c r="K763" s="411"/>
      <c r="L763" s="411"/>
      <c r="M763" s="411"/>
      <c r="N763" s="411"/>
      <c r="O763" s="411"/>
      <c r="P763" s="411"/>
      <c r="Q763" s="411"/>
      <c r="R763" s="411"/>
      <c r="S763" s="411"/>
      <c r="T763" s="411"/>
    </row>
    <row r="764" spans="1:20" ht="15" thickBot="1" x14ac:dyDescent="0.4">
      <c r="A764" s="412">
        <v>1091.99</v>
      </c>
      <c r="B764" s="413">
        <v>1E-3</v>
      </c>
      <c r="C764" s="413">
        <v>0.23799999999999999</v>
      </c>
      <c r="D764" s="414">
        <f t="shared" si="23"/>
        <v>109.199</v>
      </c>
      <c r="E764" s="414"/>
      <c r="F764" s="415">
        <f t="shared" si="24"/>
        <v>-65570.168999999893</v>
      </c>
      <c r="G764" s="411"/>
      <c r="H764" s="411"/>
      <c r="I764" s="411"/>
      <c r="J764" s="411"/>
      <c r="K764" s="411"/>
      <c r="L764" s="411"/>
      <c r="M764" s="411"/>
      <c r="N764" s="411"/>
      <c r="O764" s="411"/>
      <c r="P764" s="411"/>
      <c r="Q764" s="411"/>
      <c r="R764" s="411"/>
      <c r="S764" s="411"/>
      <c r="T764" s="411"/>
    </row>
    <row r="765" spans="1:20" ht="15" thickBot="1" x14ac:dyDescent="0.4">
      <c r="A765" s="412">
        <v>1110.03</v>
      </c>
      <c r="B765" s="413">
        <v>1E-3</v>
      </c>
      <c r="C765" s="413">
        <v>0.23699999999999999</v>
      </c>
      <c r="D765" s="414">
        <f t="shared" si="23"/>
        <v>111.003</v>
      </c>
      <c r="E765" s="414"/>
      <c r="F765" s="415">
        <f t="shared" si="24"/>
        <v>-65459.165999999896</v>
      </c>
      <c r="G765" s="411"/>
      <c r="H765" s="411"/>
      <c r="I765" s="411"/>
      <c r="J765" s="411"/>
      <c r="K765" s="411"/>
      <c r="L765" s="411"/>
      <c r="M765" s="411"/>
      <c r="N765" s="411"/>
      <c r="O765" s="411"/>
      <c r="P765" s="411"/>
      <c r="Q765" s="411"/>
      <c r="R765" s="411"/>
      <c r="S765" s="411"/>
      <c r="T765" s="411"/>
    </row>
    <row r="766" spans="1:20" ht="15" thickBot="1" x14ac:dyDescent="0.4">
      <c r="A766" s="412">
        <v>1120.21</v>
      </c>
      <c r="B766" s="413">
        <v>1E-3</v>
      </c>
      <c r="C766" s="413">
        <v>0.23599999999999999</v>
      </c>
      <c r="D766" s="414">
        <f t="shared" si="23"/>
        <v>112.02100000000002</v>
      </c>
      <c r="E766" s="414"/>
      <c r="F766" s="415">
        <f t="shared" si="24"/>
        <v>-65347.144999999895</v>
      </c>
      <c r="G766" s="411"/>
      <c r="H766" s="411"/>
      <c r="I766" s="411"/>
      <c r="J766" s="411"/>
      <c r="K766" s="411"/>
      <c r="L766" s="411"/>
      <c r="M766" s="411"/>
      <c r="N766" s="411"/>
      <c r="O766" s="411"/>
      <c r="P766" s="411"/>
      <c r="Q766" s="411"/>
      <c r="R766" s="411"/>
      <c r="S766" s="411"/>
      <c r="T766" s="411"/>
    </row>
    <row r="767" spans="1:20" ht="15" thickBot="1" x14ac:dyDescent="0.4">
      <c r="A767" s="412">
        <v>1124.8499999999999</v>
      </c>
      <c r="B767" s="413">
        <v>1E-3</v>
      </c>
      <c r="C767" s="413">
        <v>0.23499999999999999</v>
      </c>
      <c r="D767" s="414">
        <f t="shared" si="23"/>
        <v>112.48499999999999</v>
      </c>
      <c r="E767" s="414"/>
      <c r="F767" s="415">
        <f t="shared" si="24"/>
        <v>-65234.659999999894</v>
      </c>
      <c r="G767" s="411"/>
      <c r="H767" s="411"/>
      <c r="I767" s="411"/>
      <c r="J767" s="411"/>
      <c r="K767" s="411"/>
      <c r="L767" s="411"/>
      <c r="M767" s="411"/>
      <c r="N767" s="411"/>
      <c r="O767" s="411"/>
      <c r="P767" s="411"/>
      <c r="Q767" s="411"/>
      <c r="R767" s="411"/>
      <c r="S767" s="411"/>
      <c r="T767" s="411"/>
    </row>
    <row r="768" spans="1:20" ht="15" thickBot="1" x14ac:dyDescent="0.4">
      <c r="A768" s="412">
        <v>1133.3399999999999</v>
      </c>
      <c r="B768" s="413">
        <v>1E-3</v>
      </c>
      <c r="C768" s="413">
        <v>0.23400000000000001</v>
      </c>
      <c r="D768" s="414">
        <f t="shared" si="23"/>
        <v>113.334</v>
      </c>
      <c r="E768" s="414"/>
      <c r="F768" s="415">
        <f t="shared" si="24"/>
        <v>-65121.325999999892</v>
      </c>
      <c r="G768" s="411"/>
      <c r="H768" s="411"/>
      <c r="I768" s="411"/>
      <c r="J768" s="411"/>
      <c r="K768" s="411"/>
      <c r="L768" s="411"/>
      <c r="M768" s="411"/>
      <c r="N768" s="411"/>
      <c r="O768" s="411"/>
      <c r="P768" s="411"/>
      <c r="Q768" s="411"/>
      <c r="R768" s="411"/>
      <c r="S768" s="411"/>
      <c r="T768" s="411"/>
    </row>
    <row r="769" spans="1:20" ht="15" thickBot="1" x14ac:dyDescent="0.4">
      <c r="A769" s="412">
        <v>1145.75</v>
      </c>
      <c r="B769" s="413">
        <v>1E-3</v>
      </c>
      <c r="C769" s="413">
        <v>0.23300000000000001</v>
      </c>
      <c r="D769" s="414">
        <f t="shared" si="23"/>
        <v>114.575</v>
      </c>
      <c r="E769" s="414"/>
      <c r="F769" s="415">
        <f t="shared" si="24"/>
        <v>-65006.750999999895</v>
      </c>
      <c r="G769" s="411"/>
      <c r="H769" s="411"/>
      <c r="I769" s="411"/>
      <c r="J769" s="411"/>
      <c r="K769" s="411"/>
      <c r="L769" s="411"/>
      <c r="M769" s="411"/>
      <c r="N769" s="411"/>
      <c r="O769" s="411"/>
      <c r="P769" s="411"/>
      <c r="Q769" s="411"/>
      <c r="R769" s="411"/>
      <c r="S769" s="411"/>
      <c r="T769" s="411"/>
    </row>
    <row r="770" spans="1:20" ht="15" thickBot="1" x14ac:dyDescent="0.4">
      <c r="A770" s="412">
        <v>1149.6600000000001</v>
      </c>
      <c r="B770" s="413">
        <v>1E-3</v>
      </c>
      <c r="C770" s="413">
        <v>0.23200000000000001</v>
      </c>
      <c r="D770" s="414">
        <f t="shared" ref="D770:D833" si="25">A770*B770/1%</f>
        <v>114.96600000000001</v>
      </c>
      <c r="E770" s="414"/>
      <c r="F770" s="415">
        <f t="shared" si="24"/>
        <v>-64891.784999999894</v>
      </c>
      <c r="G770" s="411"/>
      <c r="H770" s="411"/>
      <c r="I770" s="411"/>
      <c r="J770" s="411"/>
      <c r="K770" s="411"/>
      <c r="L770" s="411"/>
      <c r="M770" s="411"/>
      <c r="N770" s="411"/>
      <c r="O770" s="411"/>
      <c r="P770" s="411"/>
      <c r="Q770" s="411"/>
      <c r="R770" s="411"/>
      <c r="S770" s="411"/>
      <c r="T770" s="411"/>
    </row>
    <row r="771" spans="1:20" ht="15" thickBot="1" x14ac:dyDescent="0.4">
      <c r="A771" s="412">
        <v>1153.96</v>
      </c>
      <c r="B771" s="413">
        <v>1E-3</v>
      </c>
      <c r="C771" s="413">
        <v>0.23100000000000001</v>
      </c>
      <c r="D771" s="414">
        <f t="shared" si="25"/>
        <v>115.396</v>
      </c>
      <c r="E771" s="414"/>
      <c r="F771" s="415">
        <f t="shared" ref="F771:F834" si="26">F770+D771</f>
        <v>-64776.388999999894</v>
      </c>
      <c r="G771" s="411"/>
      <c r="H771" s="411"/>
      <c r="I771" s="411"/>
      <c r="J771" s="411"/>
      <c r="K771" s="411"/>
      <c r="L771" s="411"/>
      <c r="M771" s="411"/>
      <c r="N771" s="411"/>
      <c r="O771" s="411"/>
      <c r="P771" s="411"/>
      <c r="Q771" s="411"/>
      <c r="R771" s="411"/>
      <c r="S771" s="411"/>
      <c r="T771" s="411"/>
    </row>
    <row r="772" spans="1:20" ht="15" thickBot="1" x14ac:dyDescent="0.4">
      <c r="A772" s="412">
        <v>1160.01</v>
      </c>
      <c r="B772" s="413">
        <v>1E-3</v>
      </c>
      <c r="C772" s="413">
        <v>0.23</v>
      </c>
      <c r="D772" s="414">
        <f t="shared" si="25"/>
        <v>116.00099999999999</v>
      </c>
      <c r="E772" s="414"/>
      <c r="F772" s="415">
        <f t="shared" si="26"/>
        <v>-64660.387999999897</v>
      </c>
      <c r="G772" s="411"/>
      <c r="H772" s="411"/>
      <c r="I772" s="411"/>
      <c r="J772" s="411"/>
      <c r="K772" s="411"/>
      <c r="L772" s="411"/>
      <c r="M772" s="411"/>
      <c r="N772" s="411"/>
      <c r="O772" s="411"/>
      <c r="P772" s="411"/>
      <c r="Q772" s="411"/>
      <c r="R772" s="411"/>
      <c r="S772" s="411"/>
      <c r="T772" s="411"/>
    </row>
    <row r="773" spans="1:20" ht="15" thickBot="1" x14ac:dyDescent="0.4">
      <c r="A773" s="412">
        <v>1160.67</v>
      </c>
      <c r="B773" s="413">
        <v>1E-3</v>
      </c>
      <c r="C773" s="413">
        <v>0.22900000000000001</v>
      </c>
      <c r="D773" s="414">
        <f t="shared" si="25"/>
        <v>116.06700000000001</v>
      </c>
      <c r="E773" s="414"/>
      <c r="F773" s="415">
        <f t="shared" si="26"/>
        <v>-64544.320999999894</v>
      </c>
      <c r="G773" s="411"/>
      <c r="H773" s="411"/>
      <c r="I773" s="411"/>
      <c r="J773" s="411"/>
      <c r="K773" s="411"/>
      <c r="L773" s="411"/>
      <c r="M773" s="411"/>
      <c r="N773" s="411"/>
      <c r="O773" s="411"/>
      <c r="P773" s="411"/>
      <c r="Q773" s="411"/>
      <c r="R773" s="411"/>
      <c r="S773" s="411"/>
      <c r="T773" s="411"/>
    </row>
    <row r="774" spans="1:20" ht="15" thickBot="1" x14ac:dyDescent="0.4">
      <c r="A774" s="412">
        <v>1162.76</v>
      </c>
      <c r="B774" s="413">
        <v>1E-3</v>
      </c>
      <c r="C774" s="413">
        <v>0.22800000000000001</v>
      </c>
      <c r="D774" s="414">
        <f t="shared" si="25"/>
        <v>116.276</v>
      </c>
      <c r="E774" s="414"/>
      <c r="F774" s="415">
        <f t="shared" si="26"/>
        <v>-64428.044999999896</v>
      </c>
      <c r="G774" s="411"/>
      <c r="H774" s="411"/>
      <c r="I774" s="411"/>
      <c r="J774" s="411"/>
      <c r="K774" s="411"/>
      <c r="L774" s="411"/>
      <c r="M774" s="411"/>
      <c r="N774" s="411"/>
      <c r="O774" s="411"/>
      <c r="P774" s="411"/>
      <c r="Q774" s="411"/>
      <c r="R774" s="411"/>
      <c r="S774" s="411"/>
      <c r="T774" s="411"/>
    </row>
    <row r="775" spans="1:20" ht="15" thickBot="1" x14ac:dyDescent="0.4">
      <c r="A775" s="412">
        <v>1172.93</v>
      </c>
      <c r="B775" s="413">
        <v>1E-3</v>
      </c>
      <c r="C775" s="413">
        <v>0.22700000000000001</v>
      </c>
      <c r="D775" s="414">
        <f t="shared" si="25"/>
        <v>117.29300000000001</v>
      </c>
      <c r="E775" s="414"/>
      <c r="F775" s="415">
        <f t="shared" si="26"/>
        <v>-64310.751999999899</v>
      </c>
      <c r="G775" s="411"/>
      <c r="H775" s="411"/>
      <c r="I775" s="411"/>
      <c r="J775" s="411"/>
      <c r="K775" s="411"/>
      <c r="L775" s="411"/>
      <c r="M775" s="411"/>
      <c r="N775" s="411"/>
      <c r="O775" s="411"/>
      <c r="P775" s="411"/>
      <c r="Q775" s="411"/>
      <c r="R775" s="411"/>
      <c r="S775" s="411"/>
      <c r="T775" s="411"/>
    </row>
    <row r="776" spans="1:20" ht="15" thickBot="1" x14ac:dyDescent="0.4">
      <c r="A776" s="412">
        <v>1173.82</v>
      </c>
      <c r="B776" s="413">
        <v>1E-3</v>
      </c>
      <c r="C776" s="413">
        <v>0.22600000000000001</v>
      </c>
      <c r="D776" s="414">
        <f t="shared" si="25"/>
        <v>117.38199999999999</v>
      </c>
      <c r="E776" s="414"/>
      <c r="F776" s="415">
        <f t="shared" si="26"/>
        <v>-64193.369999999901</v>
      </c>
      <c r="G776" s="411"/>
      <c r="H776" s="411"/>
      <c r="I776" s="411"/>
      <c r="J776" s="411"/>
      <c r="K776" s="411"/>
      <c r="L776" s="411"/>
      <c r="M776" s="411"/>
      <c r="N776" s="411"/>
      <c r="O776" s="411"/>
      <c r="P776" s="411"/>
      <c r="Q776" s="411"/>
      <c r="R776" s="411"/>
      <c r="S776" s="411"/>
      <c r="T776" s="411"/>
    </row>
    <row r="777" spans="1:20" ht="15" thickBot="1" x14ac:dyDescent="0.4">
      <c r="A777" s="412">
        <v>1176.24</v>
      </c>
      <c r="B777" s="413">
        <v>1E-3</v>
      </c>
      <c r="C777" s="413">
        <v>0.22500000000000001</v>
      </c>
      <c r="D777" s="414">
        <f t="shared" si="25"/>
        <v>117.624</v>
      </c>
      <c r="E777" s="414"/>
      <c r="F777" s="415">
        <f t="shared" si="26"/>
        <v>-64075.745999999897</v>
      </c>
      <c r="G777" s="411"/>
      <c r="H777" s="411"/>
      <c r="I777" s="411"/>
      <c r="J777" s="411"/>
      <c r="K777" s="411"/>
      <c r="L777" s="411"/>
      <c r="M777" s="411"/>
      <c r="N777" s="411"/>
      <c r="O777" s="411"/>
      <c r="P777" s="411"/>
      <c r="Q777" s="411"/>
      <c r="R777" s="411"/>
      <c r="S777" s="411"/>
      <c r="T777" s="411"/>
    </row>
    <row r="778" spans="1:20" ht="15" thickBot="1" x14ac:dyDescent="0.4">
      <c r="A778" s="412">
        <v>1184.48</v>
      </c>
      <c r="B778" s="413">
        <v>1E-3</v>
      </c>
      <c r="C778" s="413">
        <v>0.224</v>
      </c>
      <c r="D778" s="414">
        <f t="shared" si="25"/>
        <v>118.44799999999999</v>
      </c>
      <c r="E778" s="414"/>
      <c r="F778" s="415">
        <f t="shared" si="26"/>
        <v>-63957.297999999901</v>
      </c>
      <c r="G778" s="411"/>
      <c r="H778" s="411"/>
      <c r="I778" s="411"/>
      <c r="J778" s="411"/>
      <c r="K778" s="411"/>
      <c r="L778" s="411"/>
      <c r="M778" s="411"/>
      <c r="N778" s="411"/>
      <c r="O778" s="411"/>
      <c r="P778" s="411"/>
      <c r="Q778" s="411"/>
      <c r="R778" s="411"/>
      <c r="S778" s="411"/>
      <c r="T778" s="411"/>
    </row>
    <row r="779" spans="1:20" ht="15" thickBot="1" x14ac:dyDescent="0.4">
      <c r="A779" s="412">
        <v>1193.42</v>
      </c>
      <c r="B779" s="413">
        <v>1E-3</v>
      </c>
      <c r="C779" s="413">
        <v>0.223</v>
      </c>
      <c r="D779" s="414">
        <f t="shared" si="25"/>
        <v>119.34200000000001</v>
      </c>
      <c r="E779" s="414"/>
      <c r="F779" s="415">
        <f t="shared" si="26"/>
        <v>-63837.955999999904</v>
      </c>
      <c r="G779" s="411"/>
      <c r="H779" s="411"/>
      <c r="I779" s="411"/>
      <c r="J779" s="411"/>
      <c r="K779" s="411"/>
      <c r="L779" s="411"/>
      <c r="M779" s="411"/>
      <c r="N779" s="411"/>
      <c r="O779" s="411"/>
      <c r="P779" s="411"/>
      <c r="Q779" s="411"/>
      <c r="R779" s="411"/>
      <c r="S779" s="411"/>
      <c r="T779" s="411"/>
    </row>
    <row r="780" spans="1:20" ht="15" thickBot="1" x14ac:dyDescent="0.4">
      <c r="A780" s="412">
        <v>1194.92</v>
      </c>
      <c r="B780" s="413">
        <v>1E-3</v>
      </c>
      <c r="C780" s="413">
        <v>0.222</v>
      </c>
      <c r="D780" s="414">
        <f t="shared" si="25"/>
        <v>119.49200000000002</v>
      </c>
      <c r="E780" s="414"/>
      <c r="F780" s="415">
        <f t="shared" si="26"/>
        <v>-63718.463999999905</v>
      </c>
      <c r="G780" s="411"/>
      <c r="H780" s="411"/>
      <c r="I780" s="411"/>
      <c r="J780" s="411"/>
      <c r="K780" s="411"/>
      <c r="L780" s="411"/>
      <c r="M780" s="411"/>
      <c r="N780" s="411"/>
      <c r="O780" s="411"/>
      <c r="P780" s="411"/>
      <c r="Q780" s="411"/>
      <c r="R780" s="411"/>
      <c r="S780" s="411"/>
      <c r="T780" s="411"/>
    </row>
    <row r="781" spans="1:20" ht="15" thickBot="1" x14ac:dyDescent="0.4">
      <c r="A781" s="412">
        <v>1200.1500000000001</v>
      </c>
      <c r="B781" s="413">
        <v>1E-3</v>
      </c>
      <c r="C781" s="413">
        <v>0.221</v>
      </c>
      <c r="D781" s="414">
        <f t="shared" si="25"/>
        <v>120.015</v>
      </c>
      <c r="E781" s="414"/>
      <c r="F781" s="415">
        <f t="shared" si="26"/>
        <v>-63598.448999999906</v>
      </c>
      <c r="G781" s="411"/>
      <c r="H781" s="411"/>
      <c r="I781" s="411"/>
      <c r="J781" s="411"/>
      <c r="K781" s="411"/>
      <c r="L781" s="411"/>
      <c r="M781" s="411"/>
      <c r="N781" s="411"/>
      <c r="O781" s="411"/>
      <c r="P781" s="411"/>
      <c r="Q781" s="411"/>
      <c r="R781" s="411"/>
      <c r="S781" s="411"/>
      <c r="T781" s="411"/>
    </row>
    <row r="782" spans="1:20" ht="15" thickBot="1" x14ac:dyDescent="0.4">
      <c r="A782" s="412">
        <v>1204.07</v>
      </c>
      <c r="B782" s="413">
        <v>1E-3</v>
      </c>
      <c r="C782" s="413">
        <v>0.22</v>
      </c>
      <c r="D782" s="414">
        <f t="shared" si="25"/>
        <v>120.407</v>
      </c>
      <c r="E782" s="414"/>
      <c r="F782" s="415">
        <f t="shared" si="26"/>
        <v>-63478.041999999907</v>
      </c>
      <c r="G782" s="411"/>
      <c r="H782" s="411"/>
      <c r="I782" s="411"/>
      <c r="J782" s="411"/>
      <c r="K782" s="411"/>
      <c r="L782" s="411"/>
      <c r="M782" s="411"/>
      <c r="N782" s="411"/>
      <c r="O782" s="411"/>
      <c r="P782" s="411"/>
      <c r="Q782" s="411"/>
      <c r="R782" s="411"/>
      <c r="S782" s="411"/>
      <c r="T782" s="411"/>
    </row>
    <row r="783" spans="1:20" ht="15" thickBot="1" x14ac:dyDescent="0.4">
      <c r="A783" s="412">
        <v>1214.1099999999999</v>
      </c>
      <c r="B783" s="413">
        <v>1E-3</v>
      </c>
      <c r="C783" s="413">
        <v>0.219</v>
      </c>
      <c r="D783" s="414">
        <f t="shared" si="25"/>
        <v>121.411</v>
      </c>
      <c r="E783" s="414"/>
      <c r="F783" s="415">
        <f t="shared" si="26"/>
        <v>-63356.630999999907</v>
      </c>
      <c r="G783" s="411"/>
      <c r="H783" s="411"/>
      <c r="I783" s="411"/>
      <c r="J783" s="411"/>
      <c r="K783" s="411"/>
      <c r="L783" s="411"/>
      <c r="M783" s="411"/>
      <c r="N783" s="411"/>
      <c r="O783" s="411"/>
      <c r="P783" s="411"/>
      <c r="Q783" s="411"/>
      <c r="R783" s="411"/>
      <c r="S783" s="411"/>
      <c r="T783" s="411"/>
    </row>
    <row r="784" spans="1:20" ht="15" thickBot="1" x14ac:dyDescent="0.4">
      <c r="A784" s="412">
        <v>1225.05</v>
      </c>
      <c r="B784" s="413">
        <v>1E-3</v>
      </c>
      <c r="C784" s="413">
        <v>0.218</v>
      </c>
      <c r="D784" s="414">
        <f t="shared" si="25"/>
        <v>122.505</v>
      </c>
      <c r="E784" s="414"/>
      <c r="F784" s="415">
        <f t="shared" si="26"/>
        <v>-63234.125999999909</v>
      </c>
      <c r="G784" s="411"/>
      <c r="H784" s="411"/>
      <c r="I784" s="411"/>
      <c r="J784" s="411"/>
      <c r="K784" s="411"/>
      <c r="L784" s="411"/>
      <c r="M784" s="411"/>
      <c r="N784" s="411"/>
      <c r="O784" s="411"/>
      <c r="P784" s="411"/>
      <c r="Q784" s="411"/>
      <c r="R784" s="411"/>
      <c r="S784" s="411"/>
      <c r="T784" s="411"/>
    </row>
    <row r="785" spans="1:20" ht="15" thickBot="1" x14ac:dyDescent="0.4">
      <c r="A785" s="412">
        <v>1235.6300000000001</v>
      </c>
      <c r="B785" s="413">
        <v>1E-3</v>
      </c>
      <c r="C785" s="413">
        <v>0.217</v>
      </c>
      <c r="D785" s="414">
        <f t="shared" si="25"/>
        <v>123.56300000000002</v>
      </c>
      <c r="E785" s="414"/>
      <c r="F785" s="415">
        <f t="shared" si="26"/>
        <v>-63110.562999999907</v>
      </c>
      <c r="G785" s="411"/>
      <c r="H785" s="411"/>
      <c r="I785" s="411"/>
      <c r="J785" s="411"/>
      <c r="K785" s="411"/>
      <c r="L785" s="411"/>
      <c r="M785" s="411"/>
      <c r="N785" s="411"/>
      <c r="O785" s="411"/>
      <c r="P785" s="411"/>
      <c r="Q785" s="411"/>
      <c r="R785" s="411"/>
      <c r="S785" s="411"/>
      <c r="T785" s="411"/>
    </row>
    <row r="786" spans="1:20" ht="15" thickBot="1" x14ac:dyDescent="0.4">
      <c r="A786" s="412">
        <v>1248.98</v>
      </c>
      <c r="B786" s="413">
        <v>1E-3</v>
      </c>
      <c r="C786" s="413">
        <v>0.216</v>
      </c>
      <c r="D786" s="414">
        <f t="shared" si="25"/>
        <v>124.898</v>
      </c>
      <c r="E786" s="414"/>
      <c r="F786" s="415">
        <f t="shared" si="26"/>
        <v>-62985.664999999906</v>
      </c>
      <c r="G786" s="411"/>
      <c r="H786" s="411"/>
      <c r="I786" s="411"/>
      <c r="J786" s="411"/>
      <c r="K786" s="411"/>
      <c r="L786" s="411"/>
      <c r="M786" s="411"/>
      <c r="N786" s="411"/>
      <c r="O786" s="411"/>
      <c r="P786" s="411"/>
      <c r="Q786" s="411"/>
      <c r="R786" s="411"/>
      <c r="S786" s="411"/>
      <c r="T786" s="411"/>
    </row>
    <row r="787" spans="1:20" ht="15" thickBot="1" x14ac:dyDescent="0.4">
      <c r="A787" s="412">
        <v>1257.06</v>
      </c>
      <c r="B787" s="413">
        <v>1E-3</v>
      </c>
      <c r="C787" s="413">
        <v>0.215</v>
      </c>
      <c r="D787" s="414">
        <f t="shared" si="25"/>
        <v>125.706</v>
      </c>
      <c r="E787" s="414"/>
      <c r="F787" s="415">
        <f t="shared" si="26"/>
        <v>-62859.958999999908</v>
      </c>
      <c r="G787" s="411"/>
      <c r="H787" s="411"/>
      <c r="I787" s="411"/>
      <c r="J787" s="411"/>
      <c r="K787" s="411"/>
      <c r="L787" s="411"/>
      <c r="M787" s="411"/>
      <c r="N787" s="411"/>
      <c r="O787" s="411"/>
      <c r="P787" s="411"/>
      <c r="Q787" s="411"/>
      <c r="R787" s="411"/>
      <c r="S787" s="411"/>
      <c r="T787" s="411"/>
    </row>
    <row r="788" spans="1:20" ht="15" thickBot="1" x14ac:dyDescent="0.4">
      <c r="A788" s="412">
        <v>1258.9000000000001</v>
      </c>
      <c r="B788" s="413">
        <v>1E-3</v>
      </c>
      <c r="C788" s="413">
        <v>0.214</v>
      </c>
      <c r="D788" s="414">
        <f t="shared" si="25"/>
        <v>125.89000000000001</v>
      </c>
      <c r="E788" s="414"/>
      <c r="F788" s="415">
        <f t="shared" si="26"/>
        <v>-62734.068999999909</v>
      </c>
      <c r="G788" s="411"/>
      <c r="H788" s="411"/>
      <c r="I788" s="411"/>
      <c r="J788" s="411"/>
      <c r="K788" s="411"/>
      <c r="L788" s="411"/>
      <c r="M788" s="411"/>
      <c r="N788" s="411"/>
      <c r="O788" s="411"/>
      <c r="P788" s="411"/>
      <c r="Q788" s="411"/>
      <c r="R788" s="411"/>
      <c r="S788" s="411"/>
      <c r="T788" s="411"/>
    </row>
    <row r="789" spans="1:20" ht="15" thickBot="1" x14ac:dyDescent="0.4">
      <c r="A789" s="412">
        <v>1273.57</v>
      </c>
      <c r="B789" s="413">
        <v>1E-3</v>
      </c>
      <c r="C789" s="413">
        <v>0.21299999999999999</v>
      </c>
      <c r="D789" s="414">
        <f t="shared" si="25"/>
        <v>127.35699999999999</v>
      </c>
      <c r="E789" s="414"/>
      <c r="F789" s="415">
        <f t="shared" si="26"/>
        <v>-62606.711999999905</v>
      </c>
      <c r="G789" s="411"/>
      <c r="H789" s="411"/>
      <c r="I789" s="411"/>
      <c r="J789" s="411"/>
      <c r="K789" s="411"/>
      <c r="L789" s="411"/>
      <c r="M789" s="411"/>
      <c r="N789" s="411"/>
      <c r="O789" s="411"/>
      <c r="P789" s="411"/>
      <c r="Q789" s="411"/>
      <c r="R789" s="411"/>
      <c r="S789" s="411"/>
      <c r="T789" s="411"/>
    </row>
    <row r="790" spans="1:20" ht="15" thickBot="1" x14ac:dyDescent="0.4">
      <c r="A790" s="412">
        <v>1277.57</v>
      </c>
      <c r="B790" s="413">
        <v>1E-3</v>
      </c>
      <c r="C790" s="413">
        <v>0.21199999999999999</v>
      </c>
      <c r="D790" s="414">
        <f t="shared" si="25"/>
        <v>127.75699999999999</v>
      </c>
      <c r="E790" s="414"/>
      <c r="F790" s="415">
        <f t="shared" si="26"/>
        <v>-62478.954999999907</v>
      </c>
      <c r="G790" s="411"/>
      <c r="H790" s="411"/>
      <c r="I790" s="411"/>
      <c r="J790" s="411"/>
      <c r="K790" s="411"/>
      <c r="L790" s="411"/>
      <c r="M790" s="411"/>
      <c r="N790" s="411"/>
      <c r="O790" s="411"/>
      <c r="P790" s="411"/>
      <c r="Q790" s="411"/>
      <c r="R790" s="411"/>
      <c r="S790" s="411"/>
      <c r="T790" s="411"/>
    </row>
    <row r="791" spans="1:20" ht="15" thickBot="1" x14ac:dyDescent="0.4">
      <c r="A791" s="412">
        <v>1277.6500000000001</v>
      </c>
      <c r="B791" s="413">
        <v>1E-3</v>
      </c>
      <c r="C791" s="413">
        <v>0.21099999999999999</v>
      </c>
      <c r="D791" s="414">
        <f t="shared" si="25"/>
        <v>127.76500000000001</v>
      </c>
      <c r="E791" s="414"/>
      <c r="F791" s="415">
        <f t="shared" si="26"/>
        <v>-62351.189999999908</v>
      </c>
      <c r="G791" s="411"/>
      <c r="H791" s="411"/>
      <c r="I791" s="411"/>
      <c r="J791" s="411"/>
      <c r="K791" s="411"/>
      <c r="L791" s="411"/>
      <c r="M791" s="411"/>
      <c r="N791" s="411"/>
      <c r="O791" s="411"/>
      <c r="P791" s="411"/>
      <c r="Q791" s="411"/>
      <c r="R791" s="411"/>
      <c r="S791" s="411"/>
      <c r="T791" s="411"/>
    </row>
    <row r="792" spans="1:20" ht="15" thickBot="1" x14ac:dyDescent="0.4">
      <c r="A792" s="412">
        <v>1295.51</v>
      </c>
      <c r="B792" s="413">
        <v>1E-3</v>
      </c>
      <c r="C792" s="413">
        <v>0.21</v>
      </c>
      <c r="D792" s="414">
        <f t="shared" si="25"/>
        <v>129.55099999999999</v>
      </c>
      <c r="E792" s="414"/>
      <c r="F792" s="415">
        <f t="shared" si="26"/>
        <v>-62221.638999999908</v>
      </c>
      <c r="G792" s="411"/>
      <c r="H792" s="411"/>
      <c r="I792" s="411"/>
      <c r="J792" s="411"/>
      <c r="K792" s="411"/>
      <c r="L792" s="411"/>
      <c r="M792" s="411"/>
      <c r="N792" s="411"/>
      <c r="O792" s="411"/>
      <c r="P792" s="411"/>
      <c r="Q792" s="411"/>
      <c r="R792" s="411"/>
      <c r="S792" s="411"/>
      <c r="T792" s="411"/>
    </row>
    <row r="793" spans="1:20" ht="15" thickBot="1" x14ac:dyDescent="0.4">
      <c r="A793" s="412">
        <v>1303.5899999999999</v>
      </c>
      <c r="B793" s="413">
        <v>1E-3</v>
      </c>
      <c r="C793" s="413">
        <v>0.20899999999999999</v>
      </c>
      <c r="D793" s="414">
        <f t="shared" si="25"/>
        <v>130.35900000000001</v>
      </c>
      <c r="E793" s="414"/>
      <c r="F793" s="415">
        <f t="shared" si="26"/>
        <v>-62091.279999999912</v>
      </c>
      <c r="G793" s="411"/>
      <c r="H793" s="411"/>
      <c r="I793" s="411"/>
      <c r="J793" s="411"/>
      <c r="K793" s="411"/>
      <c r="L793" s="411"/>
      <c r="M793" s="411"/>
      <c r="N793" s="411"/>
      <c r="O793" s="411"/>
      <c r="P793" s="411"/>
      <c r="Q793" s="411"/>
      <c r="R793" s="411"/>
      <c r="S793" s="411"/>
      <c r="T793" s="411"/>
    </row>
    <row r="794" spans="1:20" ht="15" thickBot="1" x14ac:dyDescent="0.4">
      <c r="A794" s="412">
        <v>1344.07</v>
      </c>
      <c r="B794" s="413">
        <v>1E-3</v>
      </c>
      <c r="C794" s="413">
        <v>0.20799999999999999</v>
      </c>
      <c r="D794" s="414">
        <f t="shared" si="25"/>
        <v>134.40699999999998</v>
      </c>
      <c r="E794" s="414"/>
      <c r="F794" s="415">
        <f t="shared" si="26"/>
        <v>-61956.872999999912</v>
      </c>
      <c r="G794" s="411"/>
      <c r="H794" s="411"/>
      <c r="I794" s="411"/>
      <c r="J794" s="411"/>
      <c r="K794" s="411"/>
      <c r="L794" s="411"/>
      <c r="M794" s="411"/>
      <c r="N794" s="411"/>
      <c r="O794" s="411"/>
      <c r="P794" s="411"/>
      <c r="Q794" s="411"/>
      <c r="R794" s="411"/>
      <c r="S794" s="411"/>
      <c r="T794" s="411"/>
    </row>
    <row r="795" spans="1:20" ht="15" thickBot="1" x14ac:dyDescent="0.4">
      <c r="A795" s="412">
        <v>1345.14</v>
      </c>
      <c r="B795" s="413">
        <v>1E-3</v>
      </c>
      <c r="C795" s="413">
        <v>0.20699999999999999</v>
      </c>
      <c r="D795" s="414">
        <f t="shared" si="25"/>
        <v>134.51400000000001</v>
      </c>
      <c r="E795" s="414"/>
      <c r="F795" s="415">
        <f t="shared" si="26"/>
        <v>-61822.358999999909</v>
      </c>
      <c r="G795" s="411"/>
      <c r="H795" s="411"/>
      <c r="I795" s="411"/>
      <c r="J795" s="411"/>
      <c r="K795" s="411"/>
      <c r="L795" s="411"/>
      <c r="M795" s="411"/>
      <c r="N795" s="411"/>
      <c r="O795" s="411"/>
      <c r="P795" s="411"/>
      <c r="Q795" s="411"/>
      <c r="R795" s="411"/>
      <c r="S795" s="411"/>
      <c r="T795" s="411"/>
    </row>
    <row r="796" spans="1:20" ht="15" thickBot="1" x14ac:dyDescent="0.4">
      <c r="A796" s="412">
        <v>1355.68</v>
      </c>
      <c r="B796" s="413">
        <v>1E-3</v>
      </c>
      <c r="C796" s="413">
        <v>0.20599999999999999</v>
      </c>
      <c r="D796" s="414">
        <f t="shared" si="25"/>
        <v>135.56799999999998</v>
      </c>
      <c r="E796" s="414"/>
      <c r="F796" s="415">
        <f t="shared" si="26"/>
        <v>-61686.79099999991</v>
      </c>
      <c r="G796" s="411"/>
      <c r="H796" s="411"/>
      <c r="I796" s="411"/>
      <c r="J796" s="411"/>
      <c r="K796" s="411"/>
      <c r="L796" s="411"/>
      <c r="M796" s="411"/>
      <c r="N796" s="411"/>
      <c r="O796" s="411"/>
      <c r="P796" s="411"/>
      <c r="Q796" s="411"/>
      <c r="R796" s="411"/>
      <c r="S796" s="411"/>
      <c r="T796" s="411"/>
    </row>
    <row r="797" spans="1:20" ht="15" thickBot="1" x14ac:dyDescent="0.4">
      <c r="A797" s="412">
        <v>1359.3</v>
      </c>
      <c r="B797" s="413">
        <v>1E-3</v>
      </c>
      <c r="C797" s="413">
        <v>0.20499999999999999</v>
      </c>
      <c r="D797" s="414">
        <f t="shared" si="25"/>
        <v>135.92999999999998</v>
      </c>
      <c r="E797" s="414"/>
      <c r="F797" s="415">
        <f t="shared" si="26"/>
        <v>-61550.86099999991</v>
      </c>
      <c r="G797" s="411"/>
      <c r="H797" s="411"/>
      <c r="I797" s="411"/>
      <c r="J797" s="411"/>
      <c r="K797" s="411"/>
      <c r="L797" s="411"/>
      <c r="M797" s="411"/>
      <c r="N797" s="411"/>
      <c r="O797" s="411"/>
      <c r="P797" s="411"/>
      <c r="Q797" s="411"/>
      <c r="R797" s="411"/>
      <c r="S797" s="411"/>
      <c r="T797" s="411"/>
    </row>
    <row r="798" spans="1:20" ht="15" thickBot="1" x14ac:dyDescent="0.4">
      <c r="A798" s="412">
        <v>1369.74</v>
      </c>
      <c r="B798" s="413">
        <v>1E-3</v>
      </c>
      <c r="C798" s="413">
        <v>0.20399999999999999</v>
      </c>
      <c r="D798" s="414">
        <f t="shared" si="25"/>
        <v>136.97399999999999</v>
      </c>
      <c r="E798" s="414"/>
      <c r="F798" s="415">
        <f t="shared" si="26"/>
        <v>-61413.886999999908</v>
      </c>
      <c r="G798" s="411"/>
      <c r="H798" s="411"/>
      <c r="I798" s="411"/>
      <c r="J798" s="411"/>
      <c r="K798" s="411"/>
      <c r="L798" s="411"/>
      <c r="M798" s="411"/>
      <c r="N798" s="411"/>
      <c r="O798" s="411"/>
      <c r="P798" s="411"/>
      <c r="Q798" s="411"/>
      <c r="R798" s="411"/>
      <c r="S798" s="411"/>
      <c r="T798" s="411"/>
    </row>
    <row r="799" spans="1:20" ht="15" thickBot="1" x14ac:dyDescent="0.4">
      <c r="A799" s="412">
        <v>1370.59</v>
      </c>
      <c r="B799" s="413">
        <v>1E-3</v>
      </c>
      <c r="C799" s="413">
        <v>0.20300000000000001</v>
      </c>
      <c r="D799" s="414">
        <f t="shared" si="25"/>
        <v>137.059</v>
      </c>
      <c r="E799" s="414"/>
      <c r="F799" s="415">
        <f t="shared" si="26"/>
        <v>-61276.827999999907</v>
      </c>
      <c r="G799" s="411"/>
      <c r="H799" s="411"/>
      <c r="I799" s="411"/>
      <c r="J799" s="411"/>
      <c r="K799" s="411"/>
      <c r="L799" s="411"/>
      <c r="M799" s="411"/>
      <c r="N799" s="411"/>
      <c r="O799" s="411"/>
      <c r="P799" s="411"/>
      <c r="Q799" s="411"/>
      <c r="R799" s="411"/>
      <c r="S799" s="411"/>
      <c r="T799" s="411"/>
    </row>
    <row r="800" spans="1:20" ht="15" thickBot="1" x14ac:dyDescent="0.4">
      <c r="A800" s="412">
        <v>1379.73</v>
      </c>
      <c r="B800" s="413">
        <v>1E-3</v>
      </c>
      <c r="C800" s="413">
        <v>0.20200000000000001</v>
      </c>
      <c r="D800" s="414">
        <f t="shared" si="25"/>
        <v>137.97300000000001</v>
      </c>
      <c r="E800" s="414"/>
      <c r="F800" s="415">
        <f t="shared" si="26"/>
        <v>-61138.854999999909</v>
      </c>
      <c r="G800" s="411"/>
      <c r="H800" s="411"/>
      <c r="I800" s="411"/>
      <c r="J800" s="411"/>
      <c r="K800" s="411"/>
      <c r="L800" s="411"/>
      <c r="M800" s="411"/>
      <c r="N800" s="411"/>
      <c r="O800" s="411"/>
      <c r="P800" s="411"/>
      <c r="Q800" s="411"/>
      <c r="R800" s="411"/>
      <c r="S800" s="411"/>
      <c r="T800" s="411"/>
    </row>
    <row r="801" spans="1:20" ht="15" thickBot="1" x14ac:dyDescent="0.4">
      <c r="A801" s="412">
        <v>1398.59</v>
      </c>
      <c r="B801" s="413">
        <v>1E-3</v>
      </c>
      <c r="C801" s="413">
        <v>0.20100000000000001</v>
      </c>
      <c r="D801" s="414">
        <f t="shared" si="25"/>
        <v>139.85900000000001</v>
      </c>
      <c r="E801" s="414"/>
      <c r="F801" s="415">
        <f t="shared" si="26"/>
        <v>-60998.995999999912</v>
      </c>
      <c r="G801" s="411"/>
      <c r="H801" s="411"/>
      <c r="I801" s="411"/>
      <c r="J801" s="411"/>
      <c r="K801" s="411"/>
      <c r="L801" s="411"/>
      <c r="M801" s="411"/>
      <c r="N801" s="411"/>
      <c r="O801" s="411"/>
      <c r="P801" s="411"/>
      <c r="Q801" s="411"/>
      <c r="R801" s="411"/>
      <c r="S801" s="411"/>
      <c r="T801" s="411"/>
    </row>
    <row r="802" spans="1:20" ht="15" thickBot="1" x14ac:dyDescent="0.4">
      <c r="A802" s="412">
        <v>1402.59</v>
      </c>
      <c r="B802" s="413">
        <v>1E-3</v>
      </c>
      <c r="C802" s="413">
        <v>0.2</v>
      </c>
      <c r="D802" s="414">
        <f t="shared" si="25"/>
        <v>140.25899999999999</v>
      </c>
      <c r="E802" s="414"/>
      <c r="F802" s="415">
        <f t="shared" si="26"/>
        <v>-60858.736999999914</v>
      </c>
      <c r="G802" s="411"/>
      <c r="H802" s="411"/>
      <c r="I802" s="411"/>
      <c r="J802" s="411"/>
      <c r="K802" s="411"/>
      <c r="L802" s="411"/>
      <c r="M802" s="411"/>
      <c r="N802" s="411"/>
      <c r="O802" s="411"/>
      <c r="P802" s="411"/>
      <c r="Q802" s="411"/>
      <c r="R802" s="411"/>
      <c r="S802" s="411"/>
      <c r="T802" s="411"/>
    </row>
    <row r="803" spans="1:20" ht="15" thickBot="1" x14ac:dyDescent="0.4">
      <c r="A803" s="412">
        <v>1407.77</v>
      </c>
      <c r="B803" s="413">
        <v>1E-3</v>
      </c>
      <c r="C803" s="413">
        <v>0.19900000000000001</v>
      </c>
      <c r="D803" s="414">
        <f t="shared" si="25"/>
        <v>140.77699999999999</v>
      </c>
      <c r="E803" s="414"/>
      <c r="F803" s="415">
        <f t="shared" si="26"/>
        <v>-60717.959999999912</v>
      </c>
      <c r="G803" s="411"/>
      <c r="H803" s="411"/>
      <c r="I803" s="411"/>
      <c r="J803" s="411"/>
      <c r="K803" s="411"/>
      <c r="L803" s="411"/>
      <c r="M803" s="411"/>
      <c r="N803" s="411"/>
      <c r="O803" s="411"/>
      <c r="P803" s="411"/>
      <c r="Q803" s="411"/>
      <c r="R803" s="411"/>
      <c r="S803" s="411"/>
      <c r="T803" s="411"/>
    </row>
    <row r="804" spans="1:20" ht="15" thickBot="1" x14ac:dyDescent="0.4">
      <c r="A804" s="412">
        <v>1409.88</v>
      </c>
      <c r="B804" s="413">
        <v>1E-3</v>
      </c>
      <c r="C804" s="413">
        <v>0.19800000000000001</v>
      </c>
      <c r="D804" s="414">
        <f t="shared" si="25"/>
        <v>140.98800000000003</v>
      </c>
      <c r="E804" s="414"/>
      <c r="F804" s="415">
        <f t="shared" si="26"/>
        <v>-60576.971999999914</v>
      </c>
      <c r="G804" s="411"/>
      <c r="H804" s="411"/>
      <c r="I804" s="411"/>
      <c r="J804" s="411"/>
      <c r="K804" s="411"/>
      <c r="L804" s="411"/>
      <c r="M804" s="411"/>
      <c r="N804" s="411"/>
      <c r="O804" s="411"/>
      <c r="P804" s="411"/>
      <c r="Q804" s="411"/>
      <c r="R804" s="411"/>
      <c r="S804" s="411"/>
      <c r="T804" s="411"/>
    </row>
    <row r="805" spans="1:20" ht="15" thickBot="1" x14ac:dyDescent="0.4">
      <c r="A805" s="412">
        <v>1416.14</v>
      </c>
      <c r="B805" s="413">
        <v>1E-3</v>
      </c>
      <c r="C805" s="413">
        <v>0.19700000000000001</v>
      </c>
      <c r="D805" s="414">
        <f t="shared" si="25"/>
        <v>141.614</v>
      </c>
      <c r="E805" s="414"/>
      <c r="F805" s="415">
        <f t="shared" si="26"/>
        <v>-60435.357999999913</v>
      </c>
      <c r="G805" s="411"/>
      <c r="H805" s="411"/>
      <c r="I805" s="411"/>
      <c r="J805" s="411"/>
      <c r="K805" s="411"/>
      <c r="L805" s="411"/>
      <c r="M805" s="411"/>
      <c r="N805" s="411"/>
      <c r="O805" s="411"/>
      <c r="P805" s="411"/>
      <c r="Q805" s="411"/>
      <c r="R805" s="411"/>
      <c r="S805" s="411"/>
      <c r="T805" s="411"/>
    </row>
    <row r="806" spans="1:20" ht="15" thickBot="1" x14ac:dyDescent="0.4">
      <c r="A806" s="412">
        <v>1430.95</v>
      </c>
      <c r="B806" s="413">
        <v>1E-3</v>
      </c>
      <c r="C806" s="413">
        <v>0.19600000000000001</v>
      </c>
      <c r="D806" s="414">
        <f t="shared" si="25"/>
        <v>143.09500000000003</v>
      </c>
      <c r="E806" s="414"/>
      <c r="F806" s="415">
        <f t="shared" si="26"/>
        <v>-60292.262999999912</v>
      </c>
      <c r="G806" s="411"/>
      <c r="H806" s="411"/>
      <c r="I806" s="411"/>
      <c r="J806" s="411"/>
      <c r="K806" s="411"/>
      <c r="L806" s="411"/>
      <c r="M806" s="411"/>
      <c r="N806" s="411"/>
      <c r="O806" s="411"/>
      <c r="P806" s="411"/>
      <c r="Q806" s="411"/>
      <c r="R806" s="411"/>
      <c r="S806" s="411"/>
      <c r="T806" s="411"/>
    </row>
    <row r="807" spans="1:20" ht="15" thickBot="1" x14ac:dyDescent="0.4">
      <c r="A807" s="412">
        <v>1446.71</v>
      </c>
      <c r="B807" s="413">
        <v>1E-3</v>
      </c>
      <c r="C807" s="413">
        <v>0.19500000000000001</v>
      </c>
      <c r="D807" s="414">
        <f t="shared" si="25"/>
        <v>144.67100000000002</v>
      </c>
      <c r="E807" s="414"/>
      <c r="F807" s="415">
        <f t="shared" si="26"/>
        <v>-60147.59199999991</v>
      </c>
      <c r="G807" s="411"/>
      <c r="H807" s="411"/>
      <c r="I807" s="411"/>
      <c r="J807" s="411"/>
      <c r="K807" s="411"/>
      <c r="L807" s="411"/>
      <c r="M807" s="411"/>
      <c r="N807" s="411"/>
      <c r="O807" s="411"/>
      <c r="P807" s="411"/>
      <c r="Q807" s="411"/>
      <c r="R807" s="411"/>
      <c r="S807" s="411"/>
      <c r="T807" s="411"/>
    </row>
    <row r="808" spans="1:20" ht="15" thickBot="1" x14ac:dyDescent="0.4">
      <c r="A808" s="412">
        <v>1451.28</v>
      </c>
      <c r="B808" s="413">
        <v>1E-3</v>
      </c>
      <c r="C808" s="413">
        <v>0.19400000000000001</v>
      </c>
      <c r="D808" s="414">
        <f t="shared" si="25"/>
        <v>145.12799999999999</v>
      </c>
      <c r="E808" s="414"/>
      <c r="F808" s="415">
        <f t="shared" si="26"/>
        <v>-60002.463999999913</v>
      </c>
      <c r="G808" s="411"/>
      <c r="H808" s="411"/>
      <c r="I808" s="411"/>
      <c r="J808" s="411"/>
      <c r="K808" s="411"/>
      <c r="L808" s="411"/>
      <c r="M808" s="411"/>
      <c r="N808" s="411"/>
      <c r="O808" s="411"/>
      <c r="P808" s="411"/>
      <c r="Q808" s="411"/>
      <c r="R808" s="411"/>
      <c r="S808" s="411"/>
      <c r="T808" s="411"/>
    </row>
    <row r="809" spans="1:20" ht="15" thickBot="1" x14ac:dyDescent="0.4">
      <c r="A809" s="412">
        <v>1454.14</v>
      </c>
      <c r="B809" s="413">
        <v>1E-3</v>
      </c>
      <c r="C809" s="413">
        <v>0.193</v>
      </c>
      <c r="D809" s="414">
        <f t="shared" si="25"/>
        <v>145.41400000000002</v>
      </c>
      <c r="E809" s="414"/>
      <c r="F809" s="415">
        <f t="shared" si="26"/>
        <v>-59857.049999999916</v>
      </c>
      <c r="G809" s="411"/>
      <c r="H809" s="411"/>
      <c r="I809" s="411"/>
      <c r="J809" s="411"/>
      <c r="K809" s="411"/>
      <c r="L809" s="411"/>
      <c r="M809" s="411"/>
      <c r="N809" s="411"/>
      <c r="O809" s="411"/>
      <c r="P809" s="411"/>
      <c r="Q809" s="411"/>
      <c r="R809" s="411"/>
      <c r="S809" s="411"/>
      <c r="T809" s="411"/>
    </row>
    <row r="810" spans="1:20" ht="15" thickBot="1" x14ac:dyDescent="0.4">
      <c r="A810" s="412">
        <v>1456.85</v>
      </c>
      <c r="B810" s="413">
        <v>1E-3</v>
      </c>
      <c r="C810" s="413">
        <v>0.192</v>
      </c>
      <c r="D810" s="414">
        <f t="shared" si="25"/>
        <v>145.685</v>
      </c>
      <c r="E810" s="414"/>
      <c r="F810" s="415">
        <f t="shared" si="26"/>
        <v>-59711.364999999918</v>
      </c>
      <c r="G810" s="411"/>
      <c r="H810" s="411"/>
      <c r="I810" s="411"/>
      <c r="J810" s="411"/>
      <c r="K810" s="411"/>
      <c r="L810" s="411"/>
      <c r="M810" s="411"/>
      <c r="N810" s="411"/>
      <c r="O810" s="411"/>
      <c r="P810" s="411"/>
      <c r="Q810" s="411"/>
      <c r="R810" s="411"/>
      <c r="S810" s="411"/>
      <c r="T810" s="411"/>
    </row>
    <row r="811" spans="1:20" ht="15" thickBot="1" x14ac:dyDescent="0.4">
      <c r="A811" s="412">
        <v>1465.58</v>
      </c>
      <c r="B811" s="413">
        <v>1E-3</v>
      </c>
      <c r="C811" s="413">
        <v>0.191</v>
      </c>
      <c r="D811" s="414">
        <f t="shared" si="25"/>
        <v>146.55799999999999</v>
      </c>
      <c r="E811" s="414"/>
      <c r="F811" s="415">
        <f t="shared" si="26"/>
        <v>-59564.806999999921</v>
      </c>
      <c r="G811" s="411"/>
      <c r="H811" s="411"/>
      <c r="I811" s="411"/>
      <c r="J811" s="411"/>
      <c r="K811" s="411"/>
      <c r="L811" s="411"/>
      <c r="M811" s="411"/>
      <c r="N811" s="411"/>
      <c r="O811" s="411"/>
      <c r="P811" s="411"/>
      <c r="Q811" s="411"/>
      <c r="R811" s="411"/>
      <c r="S811" s="411"/>
      <c r="T811" s="411"/>
    </row>
    <row r="812" spans="1:20" ht="15" thickBot="1" x14ac:dyDescent="0.4">
      <c r="A812" s="412">
        <v>1473.94</v>
      </c>
      <c r="B812" s="413">
        <v>1E-3</v>
      </c>
      <c r="C812" s="413">
        <v>0.19</v>
      </c>
      <c r="D812" s="414">
        <f t="shared" si="25"/>
        <v>147.39400000000001</v>
      </c>
      <c r="E812" s="414"/>
      <c r="F812" s="415">
        <f t="shared" si="26"/>
        <v>-59417.41299999992</v>
      </c>
      <c r="G812" s="411"/>
      <c r="H812" s="411"/>
      <c r="I812" s="411"/>
      <c r="J812" s="411"/>
      <c r="K812" s="411"/>
      <c r="L812" s="411"/>
      <c r="M812" s="411"/>
      <c r="N812" s="411"/>
      <c r="O812" s="411"/>
      <c r="P812" s="411"/>
      <c r="Q812" s="411"/>
      <c r="R812" s="411"/>
      <c r="S812" s="411"/>
      <c r="T812" s="411"/>
    </row>
    <row r="813" spans="1:20" ht="15" thickBot="1" x14ac:dyDescent="0.4">
      <c r="A813" s="412">
        <v>1492.5</v>
      </c>
      <c r="B813" s="413">
        <v>1E-3</v>
      </c>
      <c r="C813" s="413">
        <v>0.189</v>
      </c>
      <c r="D813" s="414">
        <f t="shared" si="25"/>
        <v>149.25</v>
      </c>
      <c r="E813" s="414"/>
      <c r="F813" s="415">
        <f t="shared" si="26"/>
        <v>-59268.16299999992</v>
      </c>
      <c r="G813" s="411"/>
      <c r="H813" s="411"/>
      <c r="I813" s="411"/>
      <c r="J813" s="411"/>
      <c r="K813" s="411"/>
      <c r="L813" s="411"/>
      <c r="M813" s="411"/>
      <c r="N813" s="411"/>
      <c r="O813" s="411"/>
      <c r="P813" s="411"/>
      <c r="Q813" s="411"/>
      <c r="R813" s="411"/>
      <c r="S813" s="411"/>
      <c r="T813" s="411"/>
    </row>
    <row r="814" spans="1:20" ht="15" thickBot="1" x14ac:dyDescent="0.4">
      <c r="A814" s="412">
        <v>1507.67</v>
      </c>
      <c r="B814" s="413">
        <v>1E-3</v>
      </c>
      <c r="C814" s="413">
        <v>0.188</v>
      </c>
      <c r="D814" s="414">
        <f t="shared" si="25"/>
        <v>150.767</v>
      </c>
      <c r="E814" s="414"/>
      <c r="F814" s="415">
        <f t="shared" si="26"/>
        <v>-59117.395999999921</v>
      </c>
      <c r="G814" s="411"/>
      <c r="H814" s="411"/>
      <c r="I814" s="411"/>
      <c r="J814" s="411"/>
      <c r="K814" s="411"/>
      <c r="L814" s="411"/>
      <c r="M814" s="411"/>
      <c r="N814" s="411"/>
      <c r="O814" s="411"/>
      <c r="P814" s="411"/>
      <c r="Q814" s="411"/>
      <c r="R814" s="411"/>
      <c r="S814" s="411"/>
      <c r="T814" s="411"/>
    </row>
    <row r="815" spans="1:20" ht="15" thickBot="1" x14ac:dyDescent="0.4">
      <c r="A815" s="412">
        <v>1513.7</v>
      </c>
      <c r="B815" s="413">
        <v>1E-3</v>
      </c>
      <c r="C815" s="413">
        <v>0.187</v>
      </c>
      <c r="D815" s="414">
        <f t="shared" si="25"/>
        <v>151.37</v>
      </c>
      <c r="E815" s="414"/>
      <c r="F815" s="415">
        <f t="shared" si="26"/>
        <v>-58966.025999999918</v>
      </c>
      <c r="G815" s="411"/>
      <c r="H815" s="411"/>
      <c r="I815" s="411"/>
      <c r="J815" s="411"/>
      <c r="K815" s="411"/>
      <c r="L815" s="411"/>
      <c r="M815" s="411"/>
      <c r="N815" s="411"/>
      <c r="O815" s="411"/>
      <c r="P815" s="411"/>
      <c r="Q815" s="411"/>
      <c r="R815" s="411"/>
      <c r="S815" s="411"/>
      <c r="T815" s="411"/>
    </row>
    <row r="816" spans="1:20" ht="15" thickBot="1" x14ac:dyDescent="0.4">
      <c r="A816" s="412">
        <v>1513.72</v>
      </c>
      <c r="B816" s="413">
        <v>1E-3</v>
      </c>
      <c r="C816" s="413">
        <v>0.186</v>
      </c>
      <c r="D816" s="414">
        <f t="shared" si="25"/>
        <v>151.37199999999999</v>
      </c>
      <c r="E816" s="414"/>
      <c r="F816" s="415">
        <f t="shared" si="26"/>
        <v>-58814.653999999915</v>
      </c>
      <c r="G816" s="411"/>
      <c r="H816" s="411"/>
      <c r="I816" s="411"/>
      <c r="J816" s="411"/>
      <c r="K816" s="411"/>
      <c r="L816" s="411"/>
      <c r="M816" s="411"/>
      <c r="N816" s="411"/>
      <c r="O816" s="411"/>
      <c r="P816" s="411"/>
      <c r="Q816" s="411"/>
      <c r="R816" s="411"/>
      <c r="S816" s="411"/>
      <c r="T816" s="411"/>
    </row>
    <row r="817" spans="1:20" ht="15" thickBot="1" x14ac:dyDescent="0.4">
      <c r="A817" s="412">
        <v>1513.74</v>
      </c>
      <c r="B817" s="413">
        <v>1E-3</v>
      </c>
      <c r="C817" s="413">
        <v>0.185</v>
      </c>
      <c r="D817" s="414">
        <f t="shared" si="25"/>
        <v>151.374</v>
      </c>
      <c r="E817" s="414"/>
      <c r="F817" s="415">
        <f t="shared" si="26"/>
        <v>-58663.279999999912</v>
      </c>
      <c r="G817" s="411"/>
      <c r="H817" s="411"/>
      <c r="I817" s="411"/>
      <c r="J817" s="411"/>
      <c r="K817" s="411"/>
      <c r="L817" s="411"/>
      <c r="M817" s="411"/>
      <c r="N817" s="411"/>
      <c r="O817" s="411"/>
      <c r="P817" s="411"/>
      <c r="Q817" s="411"/>
      <c r="R817" s="411"/>
      <c r="S817" s="411"/>
      <c r="T817" s="411"/>
    </row>
    <row r="818" spans="1:20" ht="15" thickBot="1" x14ac:dyDescent="0.4">
      <c r="A818" s="412">
        <v>1524.09</v>
      </c>
      <c r="B818" s="413">
        <v>1E-3</v>
      </c>
      <c r="C818" s="413">
        <v>0.184</v>
      </c>
      <c r="D818" s="414">
        <f t="shared" si="25"/>
        <v>152.40899999999999</v>
      </c>
      <c r="E818" s="414"/>
      <c r="F818" s="415">
        <f t="shared" si="26"/>
        <v>-58510.870999999912</v>
      </c>
      <c r="G818" s="411"/>
      <c r="H818" s="411"/>
      <c r="I818" s="411"/>
      <c r="J818" s="411"/>
      <c r="K818" s="411"/>
      <c r="L818" s="411"/>
      <c r="M818" s="411"/>
      <c r="N818" s="411"/>
      <c r="O818" s="411"/>
      <c r="P818" s="411"/>
      <c r="Q818" s="411"/>
      <c r="R818" s="411"/>
      <c r="S818" s="411"/>
      <c r="T818" s="411"/>
    </row>
    <row r="819" spans="1:20" ht="15" thickBot="1" x14ac:dyDescent="0.4">
      <c r="A819" s="412">
        <v>1563.93</v>
      </c>
      <c r="B819" s="413">
        <v>1E-3</v>
      </c>
      <c r="C819" s="413">
        <v>0.183</v>
      </c>
      <c r="D819" s="414">
        <f t="shared" si="25"/>
        <v>156.393</v>
      </c>
      <c r="E819" s="414"/>
      <c r="F819" s="415">
        <f t="shared" si="26"/>
        <v>-58354.477999999915</v>
      </c>
      <c r="G819" s="411"/>
      <c r="H819" s="411"/>
      <c r="I819" s="411"/>
      <c r="J819" s="411"/>
      <c r="K819" s="411"/>
      <c r="L819" s="411"/>
      <c r="M819" s="411"/>
      <c r="N819" s="411"/>
      <c r="O819" s="411"/>
      <c r="P819" s="411"/>
      <c r="Q819" s="411"/>
      <c r="R819" s="411"/>
      <c r="S819" s="411"/>
      <c r="T819" s="411"/>
    </row>
    <row r="820" spans="1:20" ht="15" thickBot="1" x14ac:dyDescent="0.4">
      <c r="A820" s="412">
        <v>1569.56</v>
      </c>
      <c r="B820" s="413">
        <v>1E-3</v>
      </c>
      <c r="C820" s="413">
        <v>0.182</v>
      </c>
      <c r="D820" s="414">
        <f t="shared" si="25"/>
        <v>156.95600000000002</v>
      </c>
      <c r="E820" s="414"/>
      <c r="F820" s="415">
        <f t="shared" si="26"/>
        <v>-58197.521999999917</v>
      </c>
      <c r="G820" s="411"/>
      <c r="H820" s="411"/>
      <c r="I820" s="411"/>
      <c r="J820" s="411"/>
      <c r="K820" s="411"/>
      <c r="L820" s="411"/>
      <c r="M820" s="411"/>
      <c r="N820" s="411"/>
      <c r="O820" s="411"/>
      <c r="P820" s="411"/>
      <c r="Q820" s="411"/>
      <c r="R820" s="411"/>
      <c r="S820" s="411"/>
      <c r="T820" s="411"/>
    </row>
    <row r="821" spans="1:20" ht="15" thickBot="1" x14ac:dyDescent="0.4">
      <c r="A821" s="412">
        <v>1577.13</v>
      </c>
      <c r="B821" s="413">
        <v>1E-3</v>
      </c>
      <c r="C821" s="413">
        <v>0.18099999999999999</v>
      </c>
      <c r="D821" s="414">
        <f t="shared" si="25"/>
        <v>157.71300000000002</v>
      </c>
      <c r="E821" s="414"/>
      <c r="F821" s="415">
        <f t="shared" si="26"/>
        <v>-58039.808999999914</v>
      </c>
      <c r="G821" s="411"/>
      <c r="H821" s="411"/>
      <c r="I821" s="411"/>
      <c r="J821" s="411"/>
      <c r="K821" s="411"/>
      <c r="L821" s="411"/>
      <c r="M821" s="411"/>
      <c r="N821" s="411"/>
      <c r="O821" s="411"/>
      <c r="P821" s="411"/>
      <c r="Q821" s="411"/>
      <c r="R821" s="411"/>
      <c r="S821" s="411"/>
      <c r="T821" s="411"/>
    </row>
    <row r="822" spans="1:20" ht="15" thickBot="1" x14ac:dyDescent="0.4">
      <c r="A822" s="412">
        <v>1597.28</v>
      </c>
      <c r="B822" s="413">
        <v>1E-3</v>
      </c>
      <c r="C822" s="413">
        <v>0.18</v>
      </c>
      <c r="D822" s="414">
        <f t="shared" si="25"/>
        <v>159.72800000000001</v>
      </c>
      <c r="E822" s="414"/>
      <c r="F822" s="415">
        <f t="shared" si="26"/>
        <v>-57880.080999999911</v>
      </c>
      <c r="G822" s="411"/>
      <c r="H822" s="411"/>
      <c r="I822" s="411"/>
      <c r="J822" s="411"/>
      <c r="K822" s="411"/>
      <c r="L822" s="411"/>
      <c r="M822" s="411"/>
      <c r="N822" s="411"/>
      <c r="O822" s="411"/>
      <c r="P822" s="411"/>
      <c r="Q822" s="411"/>
      <c r="R822" s="411"/>
      <c r="S822" s="411"/>
      <c r="T822" s="411"/>
    </row>
    <row r="823" spans="1:20" ht="15" thickBot="1" x14ac:dyDescent="0.4">
      <c r="A823" s="412">
        <v>1610.68</v>
      </c>
      <c r="B823" s="413">
        <v>1E-3</v>
      </c>
      <c r="C823" s="413">
        <v>0.17899999999999999</v>
      </c>
      <c r="D823" s="414">
        <f t="shared" si="25"/>
        <v>161.06800000000001</v>
      </c>
      <c r="E823" s="414"/>
      <c r="F823" s="415">
        <f t="shared" si="26"/>
        <v>-57719.012999999912</v>
      </c>
      <c r="G823" s="411"/>
      <c r="H823" s="411"/>
      <c r="I823" s="411"/>
      <c r="J823" s="411"/>
      <c r="K823" s="411"/>
      <c r="L823" s="411"/>
      <c r="M823" s="411"/>
      <c r="N823" s="411"/>
      <c r="O823" s="411"/>
      <c r="P823" s="411"/>
      <c r="Q823" s="411"/>
      <c r="R823" s="411"/>
      <c r="S823" s="411"/>
      <c r="T823" s="411"/>
    </row>
    <row r="824" spans="1:20" ht="15" thickBot="1" x14ac:dyDescent="0.4">
      <c r="A824" s="412">
        <v>1620.26</v>
      </c>
      <c r="B824" s="413">
        <v>1E-3</v>
      </c>
      <c r="C824" s="413">
        <v>0.17799999999999999</v>
      </c>
      <c r="D824" s="414">
        <f t="shared" si="25"/>
        <v>162.02600000000001</v>
      </c>
      <c r="E824" s="414"/>
      <c r="F824" s="415">
        <f t="shared" si="26"/>
        <v>-57556.986999999914</v>
      </c>
      <c r="G824" s="411"/>
      <c r="H824" s="411"/>
      <c r="I824" s="411"/>
      <c r="J824" s="411"/>
      <c r="K824" s="411"/>
      <c r="L824" s="411"/>
      <c r="M824" s="411"/>
      <c r="N824" s="411"/>
      <c r="O824" s="411"/>
      <c r="P824" s="411"/>
      <c r="Q824" s="411"/>
      <c r="R824" s="411"/>
      <c r="S824" s="411"/>
      <c r="T824" s="411"/>
    </row>
    <row r="825" spans="1:20" ht="15" thickBot="1" x14ac:dyDescent="0.4">
      <c r="A825" s="412">
        <v>1630.76</v>
      </c>
      <c r="B825" s="413">
        <v>1E-3</v>
      </c>
      <c r="C825" s="413">
        <v>0.17699999999999999</v>
      </c>
      <c r="D825" s="414">
        <f t="shared" si="25"/>
        <v>163.07599999999999</v>
      </c>
      <c r="E825" s="414"/>
      <c r="F825" s="415">
        <f t="shared" si="26"/>
        <v>-57393.910999999913</v>
      </c>
      <c r="G825" s="411"/>
      <c r="H825" s="411"/>
      <c r="I825" s="411"/>
      <c r="J825" s="411"/>
      <c r="K825" s="411"/>
      <c r="L825" s="411"/>
      <c r="M825" s="411"/>
      <c r="N825" s="411"/>
      <c r="O825" s="411"/>
      <c r="P825" s="411"/>
      <c r="Q825" s="411"/>
      <c r="R825" s="411"/>
      <c r="S825" s="411"/>
      <c r="T825" s="411"/>
    </row>
    <row r="826" spans="1:20" ht="15" thickBot="1" x14ac:dyDescent="0.4">
      <c r="A826" s="412">
        <v>1632.69</v>
      </c>
      <c r="B826" s="413">
        <v>1E-3</v>
      </c>
      <c r="C826" s="413">
        <v>0.17599999999999999</v>
      </c>
      <c r="D826" s="414">
        <f t="shared" si="25"/>
        <v>163.26900000000001</v>
      </c>
      <c r="E826" s="414"/>
      <c r="F826" s="415">
        <f t="shared" si="26"/>
        <v>-57230.641999999913</v>
      </c>
      <c r="G826" s="411"/>
      <c r="H826" s="411"/>
      <c r="I826" s="411"/>
      <c r="J826" s="411"/>
      <c r="K826" s="411"/>
      <c r="L826" s="411"/>
      <c r="M826" s="411"/>
      <c r="N826" s="411"/>
      <c r="O826" s="411"/>
      <c r="P826" s="411"/>
      <c r="Q826" s="411"/>
      <c r="R826" s="411"/>
      <c r="S826" s="411"/>
      <c r="T826" s="411"/>
    </row>
    <row r="827" spans="1:20" ht="15" thickBot="1" x14ac:dyDescent="0.4">
      <c r="A827" s="412">
        <v>1635.4</v>
      </c>
      <c r="B827" s="413">
        <v>1E-3</v>
      </c>
      <c r="C827" s="413">
        <v>0.17499999999999999</v>
      </c>
      <c r="D827" s="414">
        <f t="shared" si="25"/>
        <v>163.54000000000002</v>
      </c>
      <c r="E827" s="414"/>
      <c r="F827" s="415">
        <f t="shared" si="26"/>
        <v>-57067.101999999912</v>
      </c>
      <c r="G827" s="411"/>
      <c r="H827" s="411"/>
      <c r="I827" s="411"/>
      <c r="J827" s="411"/>
      <c r="K827" s="411"/>
      <c r="L827" s="411"/>
      <c r="M827" s="411"/>
      <c r="N827" s="411"/>
      <c r="O827" s="411"/>
      <c r="P827" s="411"/>
      <c r="Q827" s="411"/>
      <c r="R827" s="411"/>
      <c r="S827" s="411"/>
      <c r="T827" s="411"/>
    </row>
    <row r="828" spans="1:20" ht="15" thickBot="1" x14ac:dyDescent="0.4">
      <c r="A828" s="412">
        <v>1667.06</v>
      </c>
      <c r="B828" s="413">
        <v>1E-3</v>
      </c>
      <c r="C828" s="413">
        <v>0.17399999999999999</v>
      </c>
      <c r="D828" s="414">
        <f t="shared" si="25"/>
        <v>166.70599999999999</v>
      </c>
      <c r="E828" s="414"/>
      <c r="F828" s="415">
        <f t="shared" si="26"/>
        <v>-56900.395999999913</v>
      </c>
      <c r="G828" s="411"/>
      <c r="H828" s="411"/>
      <c r="I828" s="411"/>
      <c r="J828" s="411"/>
      <c r="K828" s="411"/>
      <c r="L828" s="411"/>
      <c r="M828" s="411"/>
      <c r="N828" s="411"/>
      <c r="O828" s="411"/>
      <c r="P828" s="411"/>
      <c r="Q828" s="411"/>
      <c r="R828" s="411"/>
      <c r="S828" s="411"/>
      <c r="T828" s="411"/>
    </row>
    <row r="829" spans="1:20" ht="15" thickBot="1" x14ac:dyDescent="0.4">
      <c r="A829" s="412">
        <v>1670.22</v>
      </c>
      <c r="B829" s="413">
        <v>1E-3</v>
      </c>
      <c r="C829" s="413">
        <v>0.17299999999999999</v>
      </c>
      <c r="D829" s="414">
        <f t="shared" si="25"/>
        <v>167.02199999999999</v>
      </c>
      <c r="E829" s="414"/>
      <c r="F829" s="415">
        <f t="shared" si="26"/>
        <v>-56733.373999999916</v>
      </c>
      <c r="G829" s="411"/>
      <c r="H829" s="411"/>
      <c r="I829" s="411"/>
      <c r="J829" s="411"/>
      <c r="K829" s="411"/>
      <c r="L829" s="411"/>
      <c r="M829" s="411"/>
      <c r="N829" s="411"/>
      <c r="O829" s="411"/>
      <c r="P829" s="411"/>
      <c r="Q829" s="411"/>
      <c r="R829" s="411"/>
      <c r="S829" s="411"/>
      <c r="T829" s="411"/>
    </row>
    <row r="830" spans="1:20" ht="15" thickBot="1" x14ac:dyDescent="0.4">
      <c r="A830" s="412">
        <v>1684.97</v>
      </c>
      <c r="B830" s="413">
        <v>1E-3</v>
      </c>
      <c r="C830" s="413">
        <v>0.17199999999999999</v>
      </c>
      <c r="D830" s="414">
        <f t="shared" si="25"/>
        <v>168.49700000000001</v>
      </c>
      <c r="E830" s="414"/>
      <c r="F830" s="415">
        <f t="shared" si="26"/>
        <v>-56564.876999999913</v>
      </c>
      <c r="G830" s="411"/>
      <c r="H830" s="411"/>
      <c r="I830" s="411"/>
      <c r="J830" s="411"/>
      <c r="K830" s="411"/>
      <c r="L830" s="411"/>
      <c r="M830" s="411"/>
      <c r="N830" s="411"/>
      <c r="O830" s="411"/>
      <c r="P830" s="411"/>
      <c r="Q830" s="411"/>
      <c r="R830" s="411"/>
      <c r="S830" s="411"/>
      <c r="T830" s="411"/>
    </row>
    <row r="831" spans="1:20" ht="15" thickBot="1" x14ac:dyDescent="0.4">
      <c r="A831" s="412">
        <v>1686.83</v>
      </c>
      <c r="B831" s="413">
        <v>1E-3</v>
      </c>
      <c r="C831" s="413">
        <v>0.17100000000000001</v>
      </c>
      <c r="D831" s="414">
        <f t="shared" si="25"/>
        <v>168.68299999999999</v>
      </c>
      <c r="E831" s="414"/>
      <c r="F831" s="415">
        <f t="shared" si="26"/>
        <v>-56396.193999999916</v>
      </c>
      <c r="G831" s="411"/>
      <c r="H831" s="411"/>
      <c r="I831" s="411"/>
      <c r="J831" s="411"/>
      <c r="K831" s="411"/>
      <c r="L831" s="411"/>
      <c r="M831" s="411"/>
      <c r="N831" s="411"/>
      <c r="O831" s="411"/>
      <c r="P831" s="411"/>
      <c r="Q831" s="411"/>
      <c r="R831" s="411"/>
      <c r="S831" s="411"/>
      <c r="T831" s="411"/>
    </row>
    <row r="832" spans="1:20" ht="15" thickBot="1" x14ac:dyDescent="0.4">
      <c r="A832" s="412">
        <v>1688.09</v>
      </c>
      <c r="B832" s="413">
        <v>1E-3</v>
      </c>
      <c r="C832" s="413">
        <v>0.17</v>
      </c>
      <c r="D832" s="414">
        <f t="shared" si="25"/>
        <v>168.809</v>
      </c>
      <c r="E832" s="414"/>
      <c r="F832" s="415">
        <f t="shared" si="26"/>
        <v>-56227.384999999915</v>
      </c>
      <c r="G832" s="411"/>
      <c r="H832" s="411"/>
      <c r="I832" s="411"/>
      <c r="J832" s="411"/>
      <c r="K832" s="411"/>
      <c r="L832" s="411"/>
      <c r="M832" s="411"/>
      <c r="N832" s="411"/>
      <c r="O832" s="411"/>
      <c r="P832" s="411"/>
      <c r="Q832" s="411"/>
      <c r="R832" s="411"/>
      <c r="S832" s="411"/>
      <c r="T832" s="411"/>
    </row>
    <row r="833" spans="1:20" ht="15" thickBot="1" x14ac:dyDescent="0.4">
      <c r="A833" s="412">
        <v>1695.29</v>
      </c>
      <c r="B833" s="413">
        <v>1E-3</v>
      </c>
      <c r="C833" s="413">
        <v>0.16900000000000001</v>
      </c>
      <c r="D833" s="414">
        <f t="shared" si="25"/>
        <v>169.529</v>
      </c>
      <c r="E833" s="414"/>
      <c r="F833" s="415">
        <f t="shared" si="26"/>
        <v>-56057.855999999912</v>
      </c>
      <c r="G833" s="411"/>
      <c r="H833" s="411"/>
      <c r="I833" s="411"/>
      <c r="J833" s="411"/>
      <c r="K833" s="411"/>
      <c r="L833" s="411"/>
      <c r="M833" s="411"/>
      <c r="N833" s="411"/>
      <c r="O833" s="411"/>
      <c r="P833" s="411"/>
      <c r="Q833" s="411"/>
      <c r="R833" s="411"/>
      <c r="S833" s="411"/>
      <c r="T833" s="411"/>
    </row>
    <row r="834" spans="1:20" ht="15" thickBot="1" x14ac:dyDescent="0.4">
      <c r="A834" s="412">
        <v>1707.85</v>
      </c>
      <c r="B834" s="413">
        <v>1E-3</v>
      </c>
      <c r="C834" s="413">
        <v>0.16800000000000001</v>
      </c>
      <c r="D834" s="414">
        <f t="shared" ref="D834:D897" si="27">A834*B834/1%</f>
        <v>170.785</v>
      </c>
      <c r="E834" s="414"/>
      <c r="F834" s="415">
        <f t="shared" si="26"/>
        <v>-55887.070999999909</v>
      </c>
      <c r="G834" s="411"/>
      <c r="H834" s="411"/>
      <c r="I834" s="411"/>
      <c r="J834" s="411"/>
      <c r="K834" s="411"/>
      <c r="L834" s="411"/>
      <c r="M834" s="411"/>
      <c r="N834" s="411"/>
      <c r="O834" s="411"/>
      <c r="P834" s="411"/>
      <c r="Q834" s="411"/>
      <c r="R834" s="411"/>
      <c r="S834" s="411"/>
      <c r="T834" s="411"/>
    </row>
    <row r="835" spans="1:20" ht="15" thickBot="1" x14ac:dyDescent="0.4">
      <c r="A835" s="412">
        <v>1711.44</v>
      </c>
      <c r="B835" s="413">
        <v>1E-3</v>
      </c>
      <c r="C835" s="413">
        <v>0.16700000000000001</v>
      </c>
      <c r="D835" s="414">
        <f t="shared" si="27"/>
        <v>171.14400000000001</v>
      </c>
      <c r="E835" s="414"/>
      <c r="F835" s="415">
        <f t="shared" ref="F835:F898" si="28">F834+D835</f>
        <v>-55715.926999999909</v>
      </c>
      <c r="G835" s="411"/>
      <c r="H835" s="411"/>
      <c r="I835" s="411"/>
      <c r="J835" s="411"/>
      <c r="K835" s="411"/>
      <c r="L835" s="411"/>
      <c r="M835" s="411"/>
      <c r="N835" s="411"/>
      <c r="O835" s="411"/>
      <c r="P835" s="411"/>
      <c r="Q835" s="411"/>
      <c r="R835" s="411"/>
      <c r="S835" s="411"/>
      <c r="T835" s="411"/>
    </row>
    <row r="836" spans="1:20" ht="15" thickBot="1" x14ac:dyDescent="0.4">
      <c r="A836" s="412">
        <v>1760.29</v>
      </c>
      <c r="B836" s="413">
        <v>1E-3</v>
      </c>
      <c r="C836" s="413">
        <v>0.16600000000000001</v>
      </c>
      <c r="D836" s="414">
        <f t="shared" si="27"/>
        <v>176.029</v>
      </c>
      <c r="E836" s="414"/>
      <c r="F836" s="415">
        <f t="shared" si="28"/>
        <v>-55539.897999999906</v>
      </c>
      <c r="G836" s="411"/>
      <c r="H836" s="411"/>
      <c r="I836" s="411"/>
      <c r="J836" s="411"/>
      <c r="K836" s="411"/>
      <c r="L836" s="411"/>
      <c r="M836" s="411"/>
      <c r="N836" s="411"/>
      <c r="O836" s="411"/>
      <c r="P836" s="411"/>
      <c r="Q836" s="411"/>
      <c r="R836" s="411"/>
      <c r="S836" s="411"/>
      <c r="T836" s="411"/>
    </row>
    <row r="837" spans="1:20" ht="15" thickBot="1" x14ac:dyDescent="0.4">
      <c r="A837" s="412">
        <v>1764.23</v>
      </c>
      <c r="B837" s="413">
        <v>1E-3</v>
      </c>
      <c r="C837" s="413">
        <v>0.16500000000000001</v>
      </c>
      <c r="D837" s="414">
        <f t="shared" si="27"/>
        <v>176.423</v>
      </c>
      <c r="E837" s="414"/>
      <c r="F837" s="415">
        <f t="shared" si="28"/>
        <v>-55363.474999999904</v>
      </c>
      <c r="G837" s="411"/>
      <c r="H837" s="411"/>
      <c r="I837" s="411"/>
      <c r="J837" s="411"/>
      <c r="K837" s="411"/>
      <c r="L837" s="411"/>
      <c r="M837" s="411"/>
      <c r="N837" s="411"/>
      <c r="O837" s="411"/>
      <c r="P837" s="411"/>
      <c r="Q837" s="411"/>
      <c r="R837" s="411"/>
      <c r="S837" s="411"/>
      <c r="T837" s="411"/>
    </row>
    <row r="838" spans="1:20" ht="15" thickBot="1" x14ac:dyDescent="0.4">
      <c r="A838" s="412">
        <v>1788.6</v>
      </c>
      <c r="B838" s="413">
        <v>1E-3</v>
      </c>
      <c r="C838" s="413">
        <v>0.16400000000000001</v>
      </c>
      <c r="D838" s="414">
        <f t="shared" si="27"/>
        <v>178.85999999999999</v>
      </c>
      <c r="E838" s="414"/>
      <c r="F838" s="415">
        <f t="shared" si="28"/>
        <v>-55184.614999999903</v>
      </c>
      <c r="G838" s="411"/>
      <c r="H838" s="411"/>
      <c r="I838" s="411"/>
      <c r="J838" s="411"/>
      <c r="K838" s="411"/>
      <c r="L838" s="411"/>
      <c r="M838" s="411"/>
      <c r="N838" s="411"/>
      <c r="O838" s="411"/>
      <c r="P838" s="411"/>
      <c r="Q838" s="411"/>
      <c r="R838" s="411"/>
      <c r="S838" s="411"/>
      <c r="T838" s="411"/>
    </row>
    <row r="839" spans="1:20" ht="15" thickBot="1" x14ac:dyDescent="0.4">
      <c r="A839" s="412">
        <v>1796.57</v>
      </c>
      <c r="B839" s="413">
        <v>1E-3</v>
      </c>
      <c r="C839" s="413">
        <v>0.16300000000000001</v>
      </c>
      <c r="D839" s="414">
        <f t="shared" si="27"/>
        <v>179.65699999999998</v>
      </c>
      <c r="E839" s="414"/>
      <c r="F839" s="415">
        <f t="shared" si="28"/>
        <v>-55004.957999999904</v>
      </c>
      <c r="G839" s="411"/>
      <c r="H839" s="411"/>
      <c r="I839" s="411"/>
      <c r="J839" s="411"/>
      <c r="K839" s="411"/>
      <c r="L839" s="411"/>
      <c r="M839" s="411"/>
      <c r="N839" s="411"/>
      <c r="O839" s="411"/>
      <c r="P839" s="411"/>
      <c r="Q839" s="411"/>
      <c r="R839" s="411"/>
      <c r="S839" s="411"/>
      <c r="T839" s="411"/>
    </row>
    <row r="840" spans="1:20" ht="15" thickBot="1" x14ac:dyDescent="0.4">
      <c r="A840" s="412">
        <v>1805.65</v>
      </c>
      <c r="B840" s="413">
        <v>1E-3</v>
      </c>
      <c r="C840" s="413">
        <v>0.16200000000000001</v>
      </c>
      <c r="D840" s="414">
        <f t="shared" si="27"/>
        <v>180.56500000000003</v>
      </c>
      <c r="E840" s="414"/>
      <c r="F840" s="415">
        <f t="shared" si="28"/>
        <v>-54824.392999999902</v>
      </c>
      <c r="G840" s="411"/>
      <c r="H840" s="411"/>
      <c r="I840" s="411"/>
      <c r="J840" s="411"/>
      <c r="K840" s="411"/>
      <c r="L840" s="411"/>
      <c r="M840" s="411"/>
      <c r="N840" s="411"/>
      <c r="O840" s="411"/>
      <c r="P840" s="411"/>
      <c r="Q840" s="411"/>
      <c r="R840" s="411"/>
      <c r="S840" s="411"/>
      <c r="T840" s="411"/>
    </row>
    <row r="841" spans="1:20" ht="15" thickBot="1" x14ac:dyDescent="0.4">
      <c r="A841" s="412">
        <v>1818.61</v>
      </c>
      <c r="B841" s="413">
        <v>1E-3</v>
      </c>
      <c r="C841" s="413">
        <v>0.161</v>
      </c>
      <c r="D841" s="414">
        <f t="shared" si="27"/>
        <v>181.86099999999999</v>
      </c>
      <c r="E841" s="414"/>
      <c r="F841" s="415">
        <f t="shared" si="28"/>
        <v>-54642.531999999905</v>
      </c>
      <c r="G841" s="411"/>
      <c r="H841" s="411"/>
      <c r="I841" s="411"/>
      <c r="J841" s="411"/>
      <c r="K841" s="411"/>
      <c r="L841" s="411"/>
      <c r="M841" s="411"/>
      <c r="N841" s="411"/>
      <c r="O841" s="411"/>
      <c r="P841" s="411"/>
      <c r="Q841" s="411"/>
      <c r="R841" s="411"/>
      <c r="S841" s="411"/>
      <c r="T841" s="411"/>
    </row>
    <row r="842" spans="1:20" ht="15" thickBot="1" x14ac:dyDescent="0.4">
      <c r="A842" s="412">
        <v>1840.3</v>
      </c>
      <c r="B842" s="413">
        <v>1E-3</v>
      </c>
      <c r="C842" s="413">
        <v>0.16</v>
      </c>
      <c r="D842" s="414">
        <f t="shared" si="27"/>
        <v>184.03</v>
      </c>
      <c r="E842" s="414"/>
      <c r="F842" s="415">
        <f t="shared" si="28"/>
        <v>-54458.501999999906</v>
      </c>
      <c r="G842" s="411"/>
      <c r="H842" s="411"/>
      <c r="I842" s="411"/>
      <c r="J842" s="411"/>
      <c r="K842" s="411"/>
      <c r="L842" s="411"/>
      <c r="M842" s="411"/>
      <c r="N842" s="411"/>
      <c r="O842" s="411"/>
      <c r="P842" s="411"/>
      <c r="Q842" s="411"/>
      <c r="R842" s="411"/>
      <c r="S842" s="411"/>
      <c r="T842" s="411"/>
    </row>
    <row r="843" spans="1:20" ht="15" thickBot="1" x14ac:dyDescent="0.4">
      <c r="A843" s="412">
        <v>1850.96</v>
      </c>
      <c r="B843" s="413">
        <v>1E-3</v>
      </c>
      <c r="C843" s="413">
        <v>0.159</v>
      </c>
      <c r="D843" s="414">
        <f t="shared" si="27"/>
        <v>185.096</v>
      </c>
      <c r="E843" s="414"/>
      <c r="F843" s="415">
        <f t="shared" si="28"/>
        <v>-54273.405999999908</v>
      </c>
      <c r="G843" s="411"/>
      <c r="H843" s="411"/>
      <c r="I843" s="411"/>
      <c r="J843" s="411"/>
      <c r="K843" s="411"/>
      <c r="L843" s="411"/>
      <c r="M843" s="411"/>
      <c r="N843" s="411"/>
      <c r="O843" s="411"/>
      <c r="P843" s="411"/>
      <c r="Q843" s="411"/>
      <c r="R843" s="411"/>
      <c r="S843" s="411"/>
      <c r="T843" s="411"/>
    </row>
    <row r="844" spans="1:20" ht="15" thickBot="1" x14ac:dyDescent="0.4">
      <c r="A844" s="412">
        <v>1873.13</v>
      </c>
      <c r="B844" s="413">
        <v>1E-3</v>
      </c>
      <c r="C844" s="413">
        <v>0.158</v>
      </c>
      <c r="D844" s="414">
        <f t="shared" si="27"/>
        <v>187.31300000000002</v>
      </c>
      <c r="E844" s="414"/>
      <c r="F844" s="415">
        <f t="shared" si="28"/>
        <v>-54086.092999999906</v>
      </c>
      <c r="G844" s="411"/>
      <c r="H844" s="411"/>
      <c r="I844" s="411"/>
      <c r="J844" s="411"/>
      <c r="K844" s="411"/>
      <c r="L844" s="411"/>
      <c r="M844" s="411"/>
      <c r="N844" s="411"/>
      <c r="O844" s="411"/>
      <c r="P844" s="411"/>
      <c r="Q844" s="411"/>
      <c r="R844" s="411"/>
      <c r="S844" s="411"/>
      <c r="T844" s="411"/>
    </row>
    <row r="845" spans="1:20" ht="15" thickBot="1" x14ac:dyDescent="0.4">
      <c r="A845" s="412">
        <v>1892.43</v>
      </c>
      <c r="B845" s="413">
        <v>1E-3</v>
      </c>
      <c r="C845" s="413">
        <v>0.157</v>
      </c>
      <c r="D845" s="414">
        <f t="shared" si="27"/>
        <v>189.24299999999999</v>
      </c>
      <c r="E845" s="414"/>
      <c r="F845" s="415">
        <f t="shared" si="28"/>
        <v>-53896.849999999904</v>
      </c>
      <c r="G845" s="411"/>
      <c r="H845" s="411"/>
      <c r="I845" s="411"/>
      <c r="J845" s="411"/>
      <c r="K845" s="411"/>
      <c r="L845" s="411"/>
      <c r="M845" s="411"/>
      <c r="N845" s="411"/>
      <c r="O845" s="411"/>
      <c r="P845" s="411"/>
      <c r="Q845" s="411"/>
      <c r="R845" s="411"/>
      <c r="S845" s="411"/>
      <c r="T845" s="411"/>
    </row>
    <row r="846" spans="1:20" ht="15" thickBot="1" x14ac:dyDescent="0.4">
      <c r="A846" s="412">
        <v>1904.66</v>
      </c>
      <c r="B846" s="413">
        <v>1E-3</v>
      </c>
      <c r="C846" s="413">
        <v>0.156</v>
      </c>
      <c r="D846" s="414">
        <f t="shared" si="27"/>
        <v>190.46600000000001</v>
      </c>
      <c r="E846" s="414"/>
      <c r="F846" s="415">
        <f t="shared" si="28"/>
        <v>-53706.383999999904</v>
      </c>
      <c r="G846" s="411"/>
      <c r="H846" s="411"/>
      <c r="I846" s="411"/>
      <c r="J846" s="411"/>
      <c r="K846" s="411"/>
      <c r="L846" s="411"/>
      <c r="M846" s="411"/>
      <c r="N846" s="411"/>
      <c r="O846" s="411"/>
      <c r="P846" s="411"/>
      <c r="Q846" s="411"/>
      <c r="R846" s="411"/>
      <c r="S846" s="411"/>
      <c r="T846" s="411"/>
    </row>
    <row r="847" spans="1:20" ht="15" thickBot="1" x14ac:dyDescent="0.4">
      <c r="A847" s="412">
        <v>1910.98</v>
      </c>
      <c r="B847" s="413">
        <v>1E-3</v>
      </c>
      <c r="C847" s="413">
        <v>0.155</v>
      </c>
      <c r="D847" s="414">
        <f t="shared" si="27"/>
        <v>191.09800000000001</v>
      </c>
      <c r="E847" s="414"/>
      <c r="F847" s="415">
        <f t="shared" si="28"/>
        <v>-53515.285999999905</v>
      </c>
      <c r="G847" s="411"/>
      <c r="H847" s="411"/>
      <c r="I847" s="411"/>
      <c r="J847" s="411"/>
      <c r="K847" s="411"/>
      <c r="L847" s="411"/>
      <c r="M847" s="411"/>
      <c r="N847" s="411"/>
      <c r="O847" s="411"/>
      <c r="P847" s="411"/>
      <c r="Q847" s="411"/>
      <c r="R847" s="411"/>
      <c r="S847" s="411"/>
      <c r="T847" s="411"/>
    </row>
    <row r="848" spans="1:20" ht="15" thickBot="1" x14ac:dyDescent="0.4">
      <c r="A848" s="412">
        <v>1913.54</v>
      </c>
      <c r="B848" s="413">
        <v>1E-3</v>
      </c>
      <c r="C848" s="413">
        <v>0.154</v>
      </c>
      <c r="D848" s="414">
        <f t="shared" si="27"/>
        <v>191.35399999999998</v>
      </c>
      <c r="E848" s="414"/>
      <c r="F848" s="415">
        <f t="shared" si="28"/>
        <v>-53323.931999999906</v>
      </c>
      <c r="G848" s="411"/>
      <c r="H848" s="411"/>
      <c r="I848" s="411"/>
      <c r="J848" s="411"/>
      <c r="K848" s="411"/>
      <c r="L848" s="411"/>
      <c r="M848" s="411"/>
      <c r="N848" s="411"/>
      <c r="O848" s="411"/>
      <c r="P848" s="411"/>
      <c r="Q848" s="411"/>
      <c r="R848" s="411"/>
      <c r="S848" s="411"/>
      <c r="T848" s="411"/>
    </row>
    <row r="849" spans="1:20" ht="15" thickBot="1" x14ac:dyDescent="0.4">
      <c r="A849" s="412">
        <v>1914.21</v>
      </c>
      <c r="B849" s="413">
        <v>1E-3</v>
      </c>
      <c r="C849" s="413">
        <v>0.153</v>
      </c>
      <c r="D849" s="414">
        <f t="shared" si="27"/>
        <v>191.42099999999999</v>
      </c>
      <c r="E849" s="414"/>
      <c r="F849" s="415">
        <f t="shared" si="28"/>
        <v>-53132.510999999904</v>
      </c>
      <c r="G849" s="411"/>
      <c r="H849" s="411"/>
      <c r="I849" s="411"/>
      <c r="J849" s="411"/>
      <c r="K849" s="411"/>
      <c r="L849" s="411"/>
      <c r="M849" s="411"/>
      <c r="N849" s="411"/>
      <c r="O849" s="411"/>
      <c r="P849" s="411"/>
      <c r="Q849" s="411"/>
      <c r="R849" s="411"/>
      <c r="S849" s="411"/>
      <c r="T849" s="411"/>
    </row>
    <row r="850" spans="1:20" ht="15" thickBot="1" x14ac:dyDescent="0.4">
      <c r="A850" s="412">
        <v>1917.2</v>
      </c>
      <c r="B850" s="413">
        <v>1E-3</v>
      </c>
      <c r="C850" s="413">
        <v>0.152</v>
      </c>
      <c r="D850" s="414">
        <f t="shared" si="27"/>
        <v>191.72</v>
      </c>
      <c r="E850" s="414"/>
      <c r="F850" s="415">
        <f t="shared" si="28"/>
        <v>-52940.790999999903</v>
      </c>
      <c r="G850" s="411"/>
      <c r="H850" s="411"/>
      <c r="I850" s="411"/>
      <c r="J850" s="411"/>
      <c r="K850" s="411"/>
      <c r="L850" s="411"/>
      <c r="M850" s="411"/>
      <c r="N850" s="411"/>
      <c r="O850" s="411"/>
      <c r="P850" s="411"/>
      <c r="Q850" s="411"/>
      <c r="R850" s="411"/>
      <c r="S850" s="411"/>
      <c r="T850" s="411"/>
    </row>
    <row r="851" spans="1:20" ht="15" thickBot="1" x14ac:dyDescent="0.4">
      <c r="A851" s="412">
        <v>1921.93</v>
      </c>
      <c r="B851" s="413">
        <v>1E-3</v>
      </c>
      <c r="C851" s="413">
        <v>0.151</v>
      </c>
      <c r="D851" s="414">
        <f t="shared" si="27"/>
        <v>192.19300000000001</v>
      </c>
      <c r="E851" s="414"/>
      <c r="F851" s="415">
        <f t="shared" si="28"/>
        <v>-52748.597999999904</v>
      </c>
      <c r="G851" s="411"/>
      <c r="H851" s="411"/>
      <c r="I851" s="411"/>
      <c r="J851" s="411"/>
      <c r="K851" s="411"/>
      <c r="L851" s="411"/>
      <c r="M851" s="411"/>
      <c r="N851" s="411"/>
      <c r="O851" s="411"/>
      <c r="P851" s="411"/>
      <c r="Q851" s="411"/>
      <c r="R851" s="411"/>
      <c r="S851" s="411"/>
      <c r="T851" s="411"/>
    </row>
    <row r="852" spans="1:20" ht="15" thickBot="1" x14ac:dyDescent="0.4">
      <c r="A852" s="412">
        <v>1922.56</v>
      </c>
      <c r="B852" s="413">
        <v>1E-3</v>
      </c>
      <c r="C852" s="413">
        <v>0.15</v>
      </c>
      <c r="D852" s="414">
        <f t="shared" si="27"/>
        <v>192.256</v>
      </c>
      <c r="E852" s="414"/>
      <c r="F852" s="415">
        <f t="shared" si="28"/>
        <v>-52556.341999999902</v>
      </c>
      <c r="G852" s="411"/>
      <c r="H852" s="411"/>
      <c r="I852" s="411"/>
      <c r="J852" s="411"/>
      <c r="K852" s="411"/>
      <c r="L852" s="411"/>
      <c r="M852" s="411"/>
      <c r="N852" s="411"/>
      <c r="O852" s="411"/>
      <c r="P852" s="411"/>
      <c r="Q852" s="411"/>
      <c r="R852" s="411"/>
      <c r="S852" s="411"/>
      <c r="T852" s="411"/>
    </row>
    <row r="853" spans="1:20" ht="15" thickBot="1" x14ac:dyDescent="0.4">
      <c r="A853" s="412">
        <v>1946.79</v>
      </c>
      <c r="B853" s="413">
        <v>1E-3</v>
      </c>
      <c r="C853" s="413">
        <v>0.14899999999999999</v>
      </c>
      <c r="D853" s="414">
        <f t="shared" si="27"/>
        <v>194.679</v>
      </c>
      <c r="E853" s="414"/>
      <c r="F853" s="415">
        <f t="shared" si="28"/>
        <v>-52361.662999999906</v>
      </c>
      <c r="G853" s="411"/>
      <c r="H853" s="411"/>
      <c r="I853" s="411"/>
      <c r="J853" s="411"/>
      <c r="K853" s="411"/>
      <c r="L853" s="411"/>
      <c r="M853" s="411"/>
      <c r="N853" s="411"/>
      <c r="O853" s="411"/>
      <c r="P853" s="411"/>
      <c r="Q853" s="411"/>
      <c r="R853" s="411"/>
      <c r="S853" s="411"/>
      <c r="T853" s="411"/>
    </row>
    <row r="854" spans="1:20" ht="15" thickBot="1" x14ac:dyDescent="0.4">
      <c r="A854" s="412">
        <v>1948.32</v>
      </c>
      <c r="B854" s="413">
        <v>1E-3</v>
      </c>
      <c r="C854" s="413">
        <v>0.14799999999999999</v>
      </c>
      <c r="D854" s="414">
        <f t="shared" si="27"/>
        <v>194.83199999999999</v>
      </c>
      <c r="E854" s="414"/>
      <c r="F854" s="415">
        <f t="shared" si="28"/>
        <v>-52166.830999999904</v>
      </c>
      <c r="G854" s="411"/>
      <c r="H854" s="411"/>
      <c r="I854" s="411"/>
      <c r="J854" s="411"/>
      <c r="K854" s="411"/>
      <c r="L854" s="411"/>
      <c r="M854" s="411"/>
      <c r="N854" s="411"/>
      <c r="O854" s="411"/>
      <c r="P854" s="411"/>
      <c r="Q854" s="411"/>
      <c r="R854" s="411"/>
      <c r="S854" s="411"/>
      <c r="T854" s="411"/>
    </row>
    <row r="855" spans="1:20" ht="15" thickBot="1" x14ac:dyDescent="0.4">
      <c r="A855" s="412">
        <v>1955.93</v>
      </c>
      <c r="B855" s="413">
        <v>1E-3</v>
      </c>
      <c r="C855" s="413">
        <v>0.14699999999999999</v>
      </c>
      <c r="D855" s="414">
        <f t="shared" si="27"/>
        <v>195.59300000000002</v>
      </c>
      <c r="E855" s="414"/>
      <c r="F855" s="415">
        <f t="shared" si="28"/>
        <v>-51971.237999999903</v>
      </c>
      <c r="G855" s="411"/>
      <c r="H855" s="411"/>
      <c r="I855" s="411"/>
      <c r="J855" s="411"/>
      <c r="K855" s="411"/>
      <c r="L855" s="411"/>
      <c r="M855" s="411"/>
      <c r="N855" s="411"/>
      <c r="O855" s="411"/>
      <c r="P855" s="411"/>
      <c r="Q855" s="411"/>
      <c r="R855" s="411"/>
      <c r="S855" s="411"/>
      <c r="T855" s="411"/>
    </row>
    <row r="856" spans="1:20" ht="15" thickBot="1" x14ac:dyDescent="0.4">
      <c r="A856" s="412">
        <v>1964.69</v>
      </c>
      <c r="B856" s="413">
        <v>1E-3</v>
      </c>
      <c r="C856" s="413">
        <v>0.14599999999999999</v>
      </c>
      <c r="D856" s="414">
        <f t="shared" si="27"/>
        <v>196.46899999999999</v>
      </c>
      <c r="E856" s="414"/>
      <c r="F856" s="415">
        <f t="shared" si="28"/>
        <v>-51774.768999999906</v>
      </c>
      <c r="G856" s="411"/>
      <c r="H856" s="411"/>
      <c r="I856" s="411"/>
      <c r="J856" s="411"/>
      <c r="K856" s="411"/>
      <c r="L856" s="411"/>
      <c r="M856" s="411"/>
      <c r="N856" s="411"/>
      <c r="O856" s="411"/>
      <c r="P856" s="411"/>
      <c r="Q856" s="411"/>
      <c r="R856" s="411"/>
      <c r="S856" s="411"/>
      <c r="T856" s="411"/>
    </row>
    <row r="857" spans="1:20" ht="15" thickBot="1" x14ac:dyDescent="0.4">
      <c r="A857" s="412">
        <v>1966.76</v>
      </c>
      <c r="B857" s="413">
        <v>1E-3</v>
      </c>
      <c r="C857" s="413">
        <v>0.14499999999999999</v>
      </c>
      <c r="D857" s="414">
        <f t="shared" si="27"/>
        <v>196.67600000000002</v>
      </c>
      <c r="E857" s="414"/>
      <c r="F857" s="415">
        <f t="shared" si="28"/>
        <v>-51578.092999999906</v>
      </c>
      <c r="G857" s="411"/>
      <c r="H857" s="411"/>
      <c r="I857" s="411"/>
      <c r="J857" s="411"/>
      <c r="K857" s="411"/>
      <c r="L857" s="411"/>
      <c r="M857" s="411"/>
      <c r="N857" s="411"/>
      <c r="O857" s="411"/>
      <c r="P857" s="411"/>
      <c r="Q857" s="411"/>
      <c r="R857" s="411"/>
      <c r="S857" s="411"/>
      <c r="T857" s="411"/>
    </row>
    <row r="858" spans="1:20" ht="15" thickBot="1" x14ac:dyDescent="0.4">
      <c r="A858" s="412">
        <v>1985.81</v>
      </c>
      <c r="B858" s="413">
        <v>1E-3</v>
      </c>
      <c r="C858" s="413">
        <v>0.14399999999999999</v>
      </c>
      <c r="D858" s="414">
        <f t="shared" si="27"/>
        <v>198.58100000000002</v>
      </c>
      <c r="E858" s="414"/>
      <c r="F858" s="415">
        <f t="shared" si="28"/>
        <v>-51379.511999999908</v>
      </c>
      <c r="G858" s="411"/>
      <c r="H858" s="411"/>
      <c r="I858" s="411"/>
      <c r="J858" s="411"/>
      <c r="K858" s="411"/>
      <c r="L858" s="411"/>
      <c r="M858" s="411"/>
      <c r="N858" s="411"/>
      <c r="O858" s="411"/>
      <c r="P858" s="411"/>
      <c r="Q858" s="411"/>
      <c r="R858" s="411"/>
      <c r="S858" s="411"/>
      <c r="T858" s="411"/>
    </row>
    <row r="859" spans="1:20" ht="15" thickBot="1" x14ac:dyDescent="0.4">
      <c r="A859" s="412">
        <v>1994.61</v>
      </c>
      <c r="B859" s="413">
        <v>1E-3</v>
      </c>
      <c r="C859" s="413">
        <v>0.14299999999999999</v>
      </c>
      <c r="D859" s="414">
        <f t="shared" si="27"/>
        <v>199.46099999999998</v>
      </c>
      <c r="E859" s="414"/>
      <c r="F859" s="415">
        <f t="shared" si="28"/>
        <v>-51180.050999999905</v>
      </c>
      <c r="G859" s="411"/>
      <c r="H859" s="411"/>
      <c r="I859" s="411"/>
      <c r="J859" s="411"/>
      <c r="K859" s="411"/>
      <c r="L859" s="411"/>
      <c r="M859" s="411"/>
      <c r="N859" s="411"/>
      <c r="O859" s="411"/>
      <c r="P859" s="411"/>
      <c r="Q859" s="411"/>
      <c r="R859" s="411"/>
      <c r="S859" s="411"/>
      <c r="T859" s="411"/>
    </row>
    <row r="860" spans="1:20" ht="15" thickBot="1" x14ac:dyDescent="0.4">
      <c r="A860" s="412">
        <v>2007.69</v>
      </c>
      <c r="B860" s="413">
        <v>1E-3</v>
      </c>
      <c r="C860" s="413">
        <v>0.14199999999999999</v>
      </c>
      <c r="D860" s="414">
        <f t="shared" si="27"/>
        <v>200.76900000000001</v>
      </c>
      <c r="E860" s="414"/>
      <c r="F860" s="415">
        <f t="shared" si="28"/>
        <v>-50979.281999999905</v>
      </c>
      <c r="G860" s="411"/>
      <c r="H860" s="411"/>
      <c r="I860" s="411"/>
      <c r="J860" s="411"/>
      <c r="K860" s="411"/>
      <c r="L860" s="411"/>
      <c r="M860" s="411"/>
      <c r="N860" s="411"/>
      <c r="O860" s="411"/>
      <c r="P860" s="411"/>
      <c r="Q860" s="411"/>
      <c r="R860" s="411"/>
      <c r="S860" s="411"/>
      <c r="T860" s="411"/>
    </row>
    <row r="861" spans="1:20" ht="15" thickBot="1" x14ac:dyDescent="0.4">
      <c r="A861" s="412">
        <v>2027.86</v>
      </c>
      <c r="B861" s="413">
        <v>1E-3</v>
      </c>
      <c r="C861" s="413">
        <v>0.14099999999999999</v>
      </c>
      <c r="D861" s="414">
        <f t="shared" si="27"/>
        <v>202.786</v>
      </c>
      <c r="E861" s="414"/>
      <c r="F861" s="415">
        <f t="shared" si="28"/>
        <v>-50776.495999999905</v>
      </c>
      <c r="G861" s="411"/>
      <c r="H861" s="411"/>
      <c r="I861" s="411"/>
      <c r="J861" s="411"/>
      <c r="K861" s="411"/>
      <c r="L861" s="411"/>
      <c r="M861" s="411"/>
      <c r="N861" s="411"/>
      <c r="O861" s="411"/>
      <c r="P861" s="411"/>
      <c r="Q861" s="411"/>
      <c r="R861" s="411"/>
      <c r="S861" s="411"/>
      <c r="T861" s="411"/>
    </row>
    <row r="862" spans="1:20" ht="15" thickBot="1" x14ac:dyDescent="0.4">
      <c r="A862" s="412">
        <v>2038.36</v>
      </c>
      <c r="B862" s="413">
        <v>1E-3</v>
      </c>
      <c r="C862" s="413">
        <v>0.14000000000000001</v>
      </c>
      <c r="D862" s="414">
        <f t="shared" si="27"/>
        <v>203.83599999999998</v>
      </c>
      <c r="E862" s="414"/>
      <c r="F862" s="415">
        <f t="shared" si="28"/>
        <v>-50572.659999999902</v>
      </c>
      <c r="G862" s="411"/>
      <c r="H862" s="411"/>
      <c r="I862" s="411"/>
      <c r="J862" s="411"/>
      <c r="K862" s="411"/>
      <c r="L862" s="411"/>
      <c r="M862" s="411"/>
      <c r="N862" s="411"/>
      <c r="O862" s="411"/>
      <c r="P862" s="411"/>
      <c r="Q862" s="411"/>
      <c r="R862" s="411"/>
      <c r="S862" s="411"/>
      <c r="T862" s="411"/>
    </row>
    <row r="863" spans="1:20" ht="15" thickBot="1" x14ac:dyDescent="0.4">
      <c r="A863" s="412">
        <v>2049.86</v>
      </c>
      <c r="B863" s="413">
        <v>1E-3</v>
      </c>
      <c r="C863" s="413">
        <v>0.13900000000000001</v>
      </c>
      <c r="D863" s="414">
        <f t="shared" si="27"/>
        <v>204.98600000000002</v>
      </c>
      <c r="E863" s="414"/>
      <c r="F863" s="415">
        <f t="shared" si="28"/>
        <v>-50367.673999999904</v>
      </c>
      <c r="G863" s="411"/>
      <c r="H863" s="411"/>
      <c r="I863" s="411"/>
      <c r="J863" s="411"/>
      <c r="K863" s="411"/>
      <c r="L863" s="411"/>
      <c r="M863" s="411"/>
      <c r="N863" s="411"/>
      <c r="O863" s="411"/>
      <c r="P863" s="411"/>
      <c r="Q863" s="411"/>
      <c r="R863" s="411"/>
      <c r="S863" s="411"/>
      <c r="T863" s="411"/>
    </row>
    <row r="864" spans="1:20" ht="15" thickBot="1" x14ac:dyDescent="0.4">
      <c r="A864" s="412">
        <v>2069.0100000000002</v>
      </c>
      <c r="B864" s="413">
        <v>1E-3</v>
      </c>
      <c r="C864" s="413">
        <v>0.13800000000000001</v>
      </c>
      <c r="D864" s="414">
        <f t="shared" si="27"/>
        <v>206.90100000000004</v>
      </c>
      <c r="E864" s="414"/>
      <c r="F864" s="415">
        <f t="shared" si="28"/>
        <v>-50160.772999999906</v>
      </c>
      <c r="G864" s="411"/>
      <c r="H864" s="411"/>
      <c r="I864" s="411"/>
      <c r="J864" s="411"/>
      <c r="K864" s="411"/>
      <c r="L864" s="411"/>
      <c r="M864" s="411"/>
      <c r="N864" s="411"/>
      <c r="O864" s="411"/>
      <c r="P864" s="411"/>
      <c r="Q864" s="411"/>
      <c r="R864" s="411"/>
      <c r="S864" s="411"/>
      <c r="T864" s="411"/>
    </row>
    <row r="865" spans="1:20" ht="15" thickBot="1" x14ac:dyDescent="0.4">
      <c r="A865" s="412">
        <v>2070.5500000000002</v>
      </c>
      <c r="B865" s="413">
        <v>1E-3</v>
      </c>
      <c r="C865" s="413">
        <v>0.13700000000000001</v>
      </c>
      <c r="D865" s="414">
        <f t="shared" si="27"/>
        <v>207.05500000000004</v>
      </c>
      <c r="E865" s="414"/>
      <c r="F865" s="415">
        <f t="shared" si="28"/>
        <v>-49953.717999999906</v>
      </c>
      <c r="G865" s="411"/>
      <c r="H865" s="411"/>
      <c r="I865" s="411"/>
      <c r="J865" s="411"/>
      <c r="K865" s="411"/>
      <c r="L865" s="411"/>
      <c r="M865" s="411"/>
      <c r="N865" s="411"/>
      <c r="O865" s="411"/>
      <c r="P865" s="411"/>
      <c r="Q865" s="411"/>
      <c r="R865" s="411"/>
      <c r="S865" s="411"/>
      <c r="T865" s="411"/>
    </row>
    <row r="866" spans="1:20" ht="15" thickBot="1" x14ac:dyDescent="0.4">
      <c r="A866" s="412">
        <v>2101.3200000000002</v>
      </c>
      <c r="B866" s="413">
        <v>1E-3</v>
      </c>
      <c r="C866" s="413">
        <v>0.13600000000000001</v>
      </c>
      <c r="D866" s="414">
        <f t="shared" si="27"/>
        <v>210.13200000000003</v>
      </c>
      <c r="E866" s="414"/>
      <c r="F866" s="415">
        <f t="shared" si="28"/>
        <v>-49743.585999999908</v>
      </c>
      <c r="G866" s="411"/>
      <c r="H866" s="411"/>
      <c r="I866" s="411"/>
      <c r="J866" s="411"/>
      <c r="K866" s="411"/>
      <c r="L866" s="411"/>
      <c r="M866" s="411"/>
      <c r="N866" s="411"/>
      <c r="O866" s="411"/>
      <c r="P866" s="411"/>
      <c r="Q866" s="411"/>
      <c r="R866" s="411"/>
      <c r="S866" s="411"/>
      <c r="T866" s="411"/>
    </row>
    <row r="867" spans="1:20" ht="15" thickBot="1" x14ac:dyDescent="0.4">
      <c r="A867" s="412">
        <v>2143.59</v>
      </c>
      <c r="B867" s="413">
        <v>1E-3</v>
      </c>
      <c r="C867" s="413">
        <v>0.13500000000000001</v>
      </c>
      <c r="D867" s="414">
        <f t="shared" si="27"/>
        <v>214.35900000000001</v>
      </c>
      <c r="E867" s="414"/>
      <c r="F867" s="415">
        <f t="shared" si="28"/>
        <v>-49529.226999999912</v>
      </c>
      <c r="G867" s="411"/>
      <c r="H867" s="411"/>
      <c r="I867" s="411"/>
      <c r="J867" s="411"/>
      <c r="K867" s="411"/>
      <c r="L867" s="411"/>
      <c r="M867" s="411"/>
      <c r="N867" s="411"/>
      <c r="O867" s="411"/>
      <c r="P867" s="411"/>
      <c r="Q867" s="411"/>
      <c r="R867" s="411"/>
      <c r="S867" s="411"/>
      <c r="T867" s="411"/>
    </row>
    <row r="868" spans="1:20" ht="15" thickBot="1" x14ac:dyDescent="0.4">
      <c r="A868" s="412">
        <v>2153.1</v>
      </c>
      <c r="B868" s="413">
        <v>1E-3</v>
      </c>
      <c r="C868" s="413">
        <v>0.13400000000000001</v>
      </c>
      <c r="D868" s="414">
        <f t="shared" si="27"/>
        <v>215.30999999999997</v>
      </c>
      <c r="E868" s="414"/>
      <c r="F868" s="415">
        <f t="shared" si="28"/>
        <v>-49313.916999999914</v>
      </c>
      <c r="G868" s="411"/>
      <c r="H868" s="411"/>
      <c r="I868" s="411"/>
      <c r="J868" s="411"/>
      <c r="K868" s="411"/>
      <c r="L868" s="411"/>
      <c r="M868" s="411"/>
      <c r="N868" s="411"/>
      <c r="O868" s="411"/>
      <c r="P868" s="411"/>
      <c r="Q868" s="411"/>
      <c r="R868" s="411"/>
      <c r="S868" s="411"/>
      <c r="T868" s="411"/>
    </row>
    <row r="869" spans="1:20" ht="15" thickBot="1" x14ac:dyDescent="0.4">
      <c r="A869" s="412">
        <v>2155.77</v>
      </c>
      <c r="B869" s="413">
        <v>1E-3</v>
      </c>
      <c r="C869" s="413">
        <v>0.13300000000000001</v>
      </c>
      <c r="D869" s="414">
        <f t="shared" si="27"/>
        <v>215.577</v>
      </c>
      <c r="E869" s="414"/>
      <c r="F869" s="415">
        <f t="shared" si="28"/>
        <v>-49098.339999999916</v>
      </c>
      <c r="G869" s="411"/>
      <c r="H869" s="411"/>
      <c r="I869" s="411"/>
      <c r="J869" s="411"/>
      <c r="K869" s="411"/>
      <c r="L869" s="411"/>
      <c r="M869" s="411"/>
      <c r="N869" s="411"/>
      <c r="O869" s="411"/>
      <c r="P869" s="411"/>
      <c r="Q869" s="411"/>
      <c r="R869" s="411"/>
      <c r="S869" s="411"/>
      <c r="T869" s="411"/>
    </row>
    <row r="870" spans="1:20" ht="15" thickBot="1" x14ac:dyDescent="0.4">
      <c r="A870" s="412">
        <v>2165.11</v>
      </c>
      <c r="B870" s="413">
        <v>1E-3</v>
      </c>
      <c r="C870" s="413">
        <v>0.13200000000000001</v>
      </c>
      <c r="D870" s="414">
        <f t="shared" si="27"/>
        <v>216.51100000000002</v>
      </c>
      <c r="E870" s="414"/>
      <c r="F870" s="415">
        <f t="shared" si="28"/>
        <v>-48881.828999999918</v>
      </c>
      <c r="G870" s="411"/>
      <c r="H870" s="411"/>
      <c r="I870" s="411"/>
      <c r="J870" s="411"/>
      <c r="K870" s="411"/>
      <c r="L870" s="411"/>
      <c r="M870" s="411"/>
      <c r="N870" s="411"/>
      <c r="O870" s="411"/>
      <c r="P870" s="411"/>
      <c r="Q870" s="411"/>
      <c r="R870" s="411"/>
      <c r="S870" s="411"/>
      <c r="T870" s="411"/>
    </row>
    <row r="871" spans="1:20" ht="15" thickBot="1" x14ac:dyDescent="0.4">
      <c r="A871" s="412">
        <v>2174.2399999999998</v>
      </c>
      <c r="B871" s="413">
        <v>1E-3</v>
      </c>
      <c r="C871" s="413">
        <v>0.13100000000000001</v>
      </c>
      <c r="D871" s="414">
        <f t="shared" si="27"/>
        <v>217.42399999999998</v>
      </c>
      <c r="E871" s="414"/>
      <c r="F871" s="415">
        <f t="shared" si="28"/>
        <v>-48664.404999999919</v>
      </c>
      <c r="G871" s="411"/>
      <c r="H871" s="411"/>
      <c r="I871" s="411"/>
      <c r="J871" s="411"/>
      <c r="K871" s="411"/>
      <c r="L871" s="411"/>
      <c r="M871" s="411"/>
      <c r="N871" s="411"/>
      <c r="O871" s="411"/>
      <c r="P871" s="411"/>
      <c r="Q871" s="411"/>
      <c r="R871" s="411"/>
      <c r="S871" s="411"/>
      <c r="T871" s="411"/>
    </row>
    <row r="872" spans="1:20" ht="15" thickBot="1" x14ac:dyDescent="0.4">
      <c r="A872" s="412">
        <v>2196.94</v>
      </c>
      <c r="B872" s="413">
        <v>1E-3</v>
      </c>
      <c r="C872" s="413">
        <v>0.13</v>
      </c>
      <c r="D872" s="414">
        <f t="shared" si="27"/>
        <v>219.69400000000002</v>
      </c>
      <c r="E872" s="414"/>
      <c r="F872" s="415">
        <f t="shared" si="28"/>
        <v>-48444.710999999916</v>
      </c>
      <c r="G872" s="411"/>
      <c r="H872" s="411"/>
      <c r="I872" s="411"/>
      <c r="J872" s="411"/>
      <c r="K872" s="411"/>
      <c r="L872" s="411"/>
      <c r="M872" s="411"/>
      <c r="N872" s="411"/>
      <c r="O872" s="411"/>
      <c r="P872" s="411"/>
      <c r="Q872" s="411"/>
      <c r="R872" s="411"/>
      <c r="S872" s="411"/>
      <c r="T872" s="411"/>
    </row>
    <row r="873" spans="1:20" ht="15" thickBot="1" x14ac:dyDescent="0.4">
      <c r="A873" s="412">
        <v>2197.21</v>
      </c>
      <c r="B873" s="413">
        <v>1E-3</v>
      </c>
      <c r="C873" s="413">
        <v>0.129</v>
      </c>
      <c r="D873" s="414">
        <f t="shared" si="27"/>
        <v>219.721</v>
      </c>
      <c r="E873" s="414"/>
      <c r="F873" s="415">
        <f t="shared" si="28"/>
        <v>-48224.989999999918</v>
      </c>
      <c r="G873" s="411"/>
      <c r="H873" s="411"/>
      <c r="I873" s="411"/>
      <c r="J873" s="411"/>
      <c r="K873" s="411"/>
      <c r="L873" s="411"/>
      <c r="M873" s="411"/>
      <c r="N873" s="411"/>
      <c r="O873" s="411"/>
      <c r="P873" s="411"/>
      <c r="Q873" s="411"/>
      <c r="R873" s="411"/>
      <c r="S873" s="411"/>
      <c r="T873" s="411"/>
    </row>
    <row r="874" spans="1:20" ht="15" thickBot="1" x14ac:dyDescent="0.4">
      <c r="A874" s="412">
        <v>2199.0300000000002</v>
      </c>
      <c r="B874" s="413">
        <v>1E-3</v>
      </c>
      <c r="C874" s="413">
        <v>0.128</v>
      </c>
      <c r="D874" s="414">
        <f t="shared" si="27"/>
        <v>219.90299999999999</v>
      </c>
      <c r="E874" s="414"/>
      <c r="F874" s="415">
        <f t="shared" si="28"/>
        <v>-48005.086999999919</v>
      </c>
      <c r="G874" s="411"/>
      <c r="H874" s="411"/>
      <c r="I874" s="411"/>
      <c r="J874" s="411"/>
      <c r="K874" s="411"/>
      <c r="L874" s="411"/>
      <c r="M874" s="411"/>
      <c r="N874" s="411"/>
      <c r="O874" s="411"/>
      <c r="P874" s="411"/>
      <c r="Q874" s="411"/>
      <c r="R874" s="411"/>
      <c r="S874" s="411"/>
      <c r="T874" s="411"/>
    </row>
    <row r="875" spans="1:20" ht="15" thickBot="1" x14ac:dyDescent="0.4">
      <c r="A875" s="412">
        <v>2216.4499999999998</v>
      </c>
      <c r="B875" s="413">
        <v>1E-3</v>
      </c>
      <c r="C875" s="413">
        <v>0.127</v>
      </c>
      <c r="D875" s="414">
        <f t="shared" si="27"/>
        <v>221.64500000000001</v>
      </c>
      <c r="E875" s="414"/>
      <c r="F875" s="415">
        <f t="shared" si="28"/>
        <v>-47783.441999999923</v>
      </c>
      <c r="G875" s="411"/>
      <c r="H875" s="411"/>
      <c r="I875" s="411"/>
      <c r="J875" s="411"/>
      <c r="K875" s="411"/>
      <c r="L875" s="411"/>
      <c r="M875" s="411"/>
      <c r="N875" s="411"/>
      <c r="O875" s="411"/>
      <c r="P875" s="411"/>
      <c r="Q875" s="411"/>
      <c r="R875" s="411"/>
      <c r="S875" s="411"/>
      <c r="T875" s="411"/>
    </row>
    <row r="876" spans="1:20" ht="15" thickBot="1" x14ac:dyDescent="0.4">
      <c r="A876" s="412">
        <v>2222.9699999999998</v>
      </c>
      <c r="B876" s="413">
        <v>1E-3</v>
      </c>
      <c r="C876" s="413">
        <v>0.126</v>
      </c>
      <c r="D876" s="414">
        <f t="shared" si="27"/>
        <v>222.29699999999997</v>
      </c>
      <c r="E876" s="414"/>
      <c r="F876" s="415">
        <f t="shared" si="28"/>
        <v>-47561.144999999924</v>
      </c>
      <c r="G876" s="411"/>
      <c r="H876" s="411"/>
      <c r="I876" s="411"/>
      <c r="J876" s="411"/>
      <c r="K876" s="411"/>
      <c r="L876" s="411"/>
      <c r="M876" s="411"/>
      <c r="N876" s="411"/>
      <c r="O876" s="411"/>
      <c r="P876" s="411"/>
      <c r="Q876" s="411"/>
      <c r="R876" s="411"/>
      <c r="S876" s="411"/>
      <c r="T876" s="411"/>
    </row>
    <row r="877" spans="1:20" ht="15" thickBot="1" x14ac:dyDescent="0.4">
      <c r="A877" s="412">
        <v>2230.63</v>
      </c>
      <c r="B877" s="413">
        <v>1E-3</v>
      </c>
      <c r="C877" s="413">
        <v>0.125</v>
      </c>
      <c r="D877" s="414">
        <f t="shared" si="27"/>
        <v>223.06300000000002</v>
      </c>
      <c r="E877" s="414"/>
      <c r="F877" s="415">
        <f t="shared" si="28"/>
        <v>-47338.081999999922</v>
      </c>
      <c r="G877" s="411"/>
      <c r="H877" s="411"/>
      <c r="I877" s="411"/>
      <c r="J877" s="411"/>
      <c r="K877" s="411"/>
      <c r="L877" s="411"/>
      <c r="M877" s="411"/>
      <c r="N877" s="411"/>
      <c r="O877" s="411"/>
      <c r="P877" s="411"/>
      <c r="Q877" s="411"/>
      <c r="R877" s="411"/>
      <c r="S877" s="411"/>
      <c r="T877" s="411"/>
    </row>
    <row r="878" spans="1:20" ht="15" thickBot="1" x14ac:dyDescent="0.4">
      <c r="A878" s="412">
        <v>2268.08</v>
      </c>
      <c r="B878" s="413">
        <v>1E-3</v>
      </c>
      <c r="C878" s="413">
        <v>0.124</v>
      </c>
      <c r="D878" s="414">
        <f t="shared" si="27"/>
        <v>226.80799999999999</v>
      </c>
      <c r="E878" s="414"/>
      <c r="F878" s="415">
        <f t="shared" si="28"/>
        <v>-47111.273999999925</v>
      </c>
      <c r="G878" s="411"/>
      <c r="H878" s="411"/>
      <c r="I878" s="411"/>
      <c r="J878" s="411"/>
      <c r="K878" s="411"/>
      <c r="L878" s="411"/>
      <c r="M878" s="411"/>
      <c r="N878" s="411"/>
      <c r="O878" s="411"/>
      <c r="P878" s="411"/>
      <c r="Q878" s="411"/>
      <c r="R878" s="411"/>
      <c r="S878" s="411"/>
      <c r="T878" s="411"/>
    </row>
    <row r="879" spans="1:20" ht="15" thickBot="1" x14ac:dyDescent="0.4">
      <c r="A879" s="412">
        <v>2328.15</v>
      </c>
      <c r="B879" s="413">
        <v>1E-3</v>
      </c>
      <c r="C879" s="413">
        <v>0.123</v>
      </c>
      <c r="D879" s="414">
        <f t="shared" si="27"/>
        <v>232.815</v>
      </c>
      <c r="E879" s="414"/>
      <c r="F879" s="415">
        <f t="shared" si="28"/>
        <v>-46878.458999999923</v>
      </c>
      <c r="G879" s="411"/>
      <c r="H879" s="411"/>
      <c r="I879" s="411"/>
      <c r="J879" s="411"/>
      <c r="K879" s="411"/>
      <c r="L879" s="411"/>
      <c r="M879" s="411"/>
      <c r="N879" s="411"/>
      <c r="O879" s="411"/>
      <c r="P879" s="411"/>
      <c r="Q879" s="411"/>
      <c r="R879" s="411"/>
      <c r="S879" s="411"/>
      <c r="T879" s="411"/>
    </row>
    <row r="880" spans="1:20" ht="15" thickBot="1" x14ac:dyDescent="0.4">
      <c r="A880" s="412">
        <v>2330.84</v>
      </c>
      <c r="B880" s="413">
        <v>1E-3</v>
      </c>
      <c r="C880" s="413">
        <v>0.122</v>
      </c>
      <c r="D880" s="414">
        <f t="shared" si="27"/>
        <v>233.08400000000003</v>
      </c>
      <c r="E880" s="414"/>
      <c r="F880" s="415">
        <f t="shared" si="28"/>
        <v>-46645.37499999992</v>
      </c>
      <c r="G880" s="411"/>
      <c r="H880" s="411"/>
      <c r="I880" s="411"/>
      <c r="J880" s="411"/>
      <c r="K880" s="411"/>
      <c r="L880" s="411"/>
      <c r="M880" s="411"/>
      <c r="N880" s="411"/>
      <c r="O880" s="411"/>
      <c r="P880" s="411"/>
      <c r="Q880" s="411"/>
      <c r="R880" s="411"/>
      <c r="S880" s="411"/>
      <c r="T880" s="411"/>
    </row>
    <row r="881" spans="1:20" ht="15" thickBot="1" x14ac:dyDescent="0.4">
      <c r="A881" s="412">
        <v>2345.91</v>
      </c>
      <c r="B881" s="413">
        <v>1E-3</v>
      </c>
      <c r="C881" s="413">
        <v>0.121</v>
      </c>
      <c r="D881" s="414">
        <f t="shared" si="27"/>
        <v>234.59099999999998</v>
      </c>
      <c r="E881" s="414"/>
      <c r="F881" s="415">
        <f t="shared" si="28"/>
        <v>-46410.78399999992</v>
      </c>
      <c r="G881" s="411"/>
      <c r="H881" s="411"/>
      <c r="I881" s="411"/>
      <c r="J881" s="411"/>
      <c r="K881" s="411"/>
      <c r="L881" s="411"/>
      <c r="M881" s="411"/>
      <c r="N881" s="411"/>
      <c r="O881" s="411"/>
      <c r="P881" s="411"/>
      <c r="Q881" s="411"/>
      <c r="R881" s="411"/>
      <c r="S881" s="411"/>
      <c r="T881" s="411"/>
    </row>
    <row r="882" spans="1:20" ht="15" thickBot="1" x14ac:dyDescent="0.4">
      <c r="A882" s="412">
        <v>2358.5</v>
      </c>
      <c r="B882" s="413">
        <v>1E-3</v>
      </c>
      <c r="C882" s="413">
        <v>0.12</v>
      </c>
      <c r="D882" s="414">
        <f t="shared" si="27"/>
        <v>235.85000000000002</v>
      </c>
      <c r="E882" s="414"/>
      <c r="F882" s="415">
        <f t="shared" si="28"/>
        <v>-46174.933999999921</v>
      </c>
      <c r="G882" s="411"/>
      <c r="H882" s="411"/>
      <c r="I882" s="411"/>
      <c r="J882" s="411"/>
      <c r="K882" s="411"/>
      <c r="L882" s="411"/>
      <c r="M882" s="411"/>
      <c r="N882" s="411"/>
      <c r="O882" s="411"/>
      <c r="P882" s="411"/>
      <c r="Q882" s="411"/>
      <c r="R882" s="411"/>
      <c r="S882" s="411"/>
      <c r="T882" s="411"/>
    </row>
    <row r="883" spans="1:20" ht="15" thickBot="1" x14ac:dyDescent="0.4">
      <c r="A883" s="412">
        <v>2381.48</v>
      </c>
      <c r="B883" s="413">
        <v>1E-3</v>
      </c>
      <c r="C883" s="413">
        <v>0.11899999999999999</v>
      </c>
      <c r="D883" s="414">
        <f t="shared" si="27"/>
        <v>238.14800000000002</v>
      </c>
      <c r="E883" s="414"/>
      <c r="F883" s="415">
        <f t="shared" si="28"/>
        <v>-45936.78599999992</v>
      </c>
      <c r="G883" s="411"/>
      <c r="H883" s="411"/>
      <c r="I883" s="411"/>
      <c r="J883" s="411"/>
      <c r="K883" s="411"/>
      <c r="L883" s="411"/>
      <c r="M883" s="411"/>
      <c r="N883" s="411"/>
      <c r="O883" s="411"/>
      <c r="P883" s="411"/>
      <c r="Q883" s="411"/>
      <c r="R883" s="411"/>
      <c r="S883" s="411"/>
      <c r="T883" s="411"/>
    </row>
    <row r="884" spans="1:20" ht="15" thickBot="1" x14ac:dyDescent="0.4">
      <c r="A884" s="412">
        <v>2400.1999999999998</v>
      </c>
      <c r="B884" s="413">
        <v>1E-3</v>
      </c>
      <c r="C884" s="413">
        <v>0.11799999999999999</v>
      </c>
      <c r="D884" s="414">
        <f t="shared" si="27"/>
        <v>240.01999999999998</v>
      </c>
      <c r="E884" s="414"/>
      <c r="F884" s="415">
        <f t="shared" si="28"/>
        <v>-45696.765999999923</v>
      </c>
      <c r="G884" s="411"/>
      <c r="H884" s="411"/>
      <c r="I884" s="411"/>
      <c r="J884" s="411"/>
      <c r="K884" s="411"/>
      <c r="L884" s="411"/>
      <c r="M884" s="411"/>
      <c r="N884" s="411"/>
      <c r="O884" s="411"/>
      <c r="P884" s="411"/>
      <c r="Q884" s="411"/>
      <c r="R884" s="411"/>
      <c r="S884" s="411"/>
      <c r="T884" s="411"/>
    </row>
    <row r="885" spans="1:20" ht="15" thickBot="1" x14ac:dyDescent="0.4">
      <c r="A885" s="412">
        <v>2405.23</v>
      </c>
      <c r="B885" s="413">
        <v>1E-3</v>
      </c>
      <c r="C885" s="413">
        <v>0.11700000000000001</v>
      </c>
      <c r="D885" s="414">
        <f t="shared" si="27"/>
        <v>240.523</v>
      </c>
      <c r="E885" s="414"/>
      <c r="F885" s="415">
        <f t="shared" si="28"/>
        <v>-45456.242999999922</v>
      </c>
      <c r="G885" s="411"/>
      <c r="H885" s="411"/>
      <c r="I885" s="411"/>
      <c r="J885" s="411"/>
      <c r="K885" s="411"/>
      <c r="L885" s="411"/>
      <c r="M885" s="411"/>
      <c r="N885" s="411"/>
      <c r="O885" s="411"/>
      <c r="P885" s="411"/>
      <c r="Q885" s="411"/>
      <c r="R885" s="411"/>
      <c r="S885" s="411"/>
      <c r="T885" s="411"/>
    </row>
    <row r="886" spans="1:20" ht="15" thickBot="1" x14ac:dyDescent="0.4">
      <c r="A886" s="412">
        <v>2407.88</v>
      </c>
      <c r="B886" s="413">
        <v>1E-3</v>
      </c>
      <c r="C886" s="413">
        <v>0.11600000000000001</v>
      </c>
      <c r="D886" s="414">
        <f t="shared" si="27"/>
        <v>240.78800000000001</v>
      </c>
      <c r="E886" s="414"/>
      <c r="F886" s="415">
        <f t="shared" si="28"/>
        <v>-45215.454999999922</v>
      </c>
      <c r="G886" s="411"/>
      <c r="H886" s="411"/>
      <c r="I886" s="411"/>
      <c r="J886" s="411"/>
      <c r="K886" s="411"/>
      <c r="L886" s="411"/>
      <c r="M886" s="411"/>
      <c r="N886" s="411"/>
      <c r="O886" s="411"/>
      <c r="P886" s="411"/>
      <c r="Q886" s="411"/>
      <c r="R886" s="411"/>
      <c r="S886" s="411"/>
      <c r="T886" s="411"/>
    </row>
    <row r="887" spans="1:20" ht="15" thickBot="1" x14ac:dyDescent="0.4">
      <c r="A887" s="412">
        <v>2417.56</v>
      </c>
      <c r="B887" s="413">
        <v>1E-3</v>
      </c>
      <c r="C887" s="413">
        <v>0.115</v>
      </c>
      <c r="D887" s="414">
        <f t="shared" si="27"/>
        <v>241.756</v>
      </c>
      <c r="E887" s="414"/>
      <c r="F887" s="415">
        <f t="shared" si="28"/>
        <v>-44973.69899999992</v>
      </c>
      <c r="G887" s="411"/>
      <c r="H887" s="411"/>
      <c r="I887" s="411"/>
      <c r="J887" s="411"/>
      <c r="K887" s="411"/>
      <c r="L887" s="411"/>
      <c r="M887" s="411"/>
      <c r="N887" s="411"/>
      <c r="O887" s="411"/>
      <c r="P887" s="411"/>
      <c r="Q887" s="411"/>
      <c r="R887" s="411"/>
      <c r="S887" s="411"/>
      <c r="T887" s="411"/>
    </row>
    <row r="888" spans="1:20" ht="15" thickBot="1" x14ac:dyDescent="0.4">
      <c r="A888" s="412">
        <v>2422.33</v>
      </c>
      <c r="B888" s="413">
        <v>1E-3</v>
      </c>
      <c r="C888" s="413">
        <v>0.114</v>
      </c>
      <c r="D888" s="414">
        <f t="shared" si="27"/>
        <v>242.233</v>
      </c>
      <c r="E888" s="414"/>
      <c r="F888" s="415">
        <f t="shared" si="28"/>
        <v>-44731.46599999992</v>
      </c>
      <c r="G888" s="411"/>
      <c r="H888" s="411"/>
      <c r="I888" s="411"/>
      <c r="J888" s="411"/>
      <c r="K888" s="411"/>
      <c r="L888" s="411"/>
      <c r="M888" s="411"/>
      <c r="N888" s="411"/>
      <c r="O888" s="411"/>
      <c r="P888" s="411"/>
      <c r="Q888" s="411"/>
      <c r="R888" s="411"/>
      <c r="S888" s="411"/>
      <c r="T888" s="411"/>
    </row>
    <row r="889" spans="1:20" ht="15" thickBot="1" x14ac:dyDescent="0.4">
      <c r="A889" s="412">
        <v>2452.2600000000002</v>
      </c>
      <c r="B889" s="413">
        <v>1E-3</v>
      </c>
      <c r="C889" s="413">
        <v>0.113</v>
      </c>
      <c r="D889" s="414">
        <f t="shared" si="27"/>
        <v>245.22600000000003</v>
      </c>
      <c r="E889" s="414"/>
      <c r="F889" s="415">
        <f t="shared" si="28"/>
        <v>-44486.239999999918</v>
      </c>
      <c r="G889" s="411"/>
      <c r="H889" s="411"/>
      <c r="I889" s="411"/>
      <c r="J889" s="411"/>
      <c r="K889" s="411"/>
      <c r="L889" s="411"/>
      <c r="M889" s="411"/>
      <c r="N889" s="411"/>
      <c r="O889" s="411"/>
      <c r="P889" s="411"/>
      <c r="Q889" s="411"/>
      <c r="R889" s="411"/>
      <c r="S889" s="411"/>
      <c r="T889" s="411"/>
    </row>
    <row r="890" spans="1:20" ht="15" thickBot="1" x14ac:dyDescent="0.4">
      <c r="A890" s="412">
        <v>2461.59</v>
      </c>
      <c r="B890" s="413">
        <v>1E-3</v>
      </c>
      <c r="C890" s="413">
        <v>0.112</v>
      </c>
      <c r="D890" s="414">
        <f t="shared" si="27"/>
        <v>246.15900000000002</v>
      </c>
      <c r="E890" s="414"/>
      <c r="F890" s="415">
        <f t="shared" si="28"/>
        <v>-44240.080999999918</v>
      </c>
      <c r="G890" s="411"/>
      <c r="H890" s="411"/>
      <c r="I890" s="411"/>
      <c r="J890" s="411"/>
      <c r="K890" s="411"/>
      <c r="L890" s="411"/>
      <c r="M890" s="411"/>
      <c r="N890" s="411"/>
      <c r="O890" s="411"/>
      <c r="P890" s="411"/>
      <c r="Q890" s="411"/>
      <c r="R890" s="411"/>
      <c r="S890" s="411"/>
      <c r="T890" s="411"/>
    </row>
    <row r="891" spans="1:20" ht="15" thickBot="1" x14ac:dyDescent="0.4">
      <c r="A891" s="412">
        <v>2484.06</v>
      </c>
      <c r="B891" s="413">
        <v>1E-3</v>
      </c>
      <c r="C891" s="413">
        <v>0.111</v>
      </c>
      <c r="D891" s="414">
        <f t="shared" si="27"/>
        <v>248.40599999999998</v>
      </c>
      <c r="E891" s="414"/>
      <c r="F891" s="415">
        <f t="shared" si="28"/>
        <v>-43991.674999999916</v>
      </c>
      <c r="G891" s="411"/>
      <c r="H891" s="411"/>
      <c r="I891" s="411"/>
      <c r="J891" s="411"/>
      <c r="K891" s="411"/>
      <c r="L891" s="411"/>
      <c r="M891" s="411"/>
      <c r="N891" s="411"/>
      <c r="O891" s="411"/>
      <c r="P891" s="411"/>
      <c r="Q891" s="411"/>
      <c r="R891" s="411"/>
      <c r="S891" s="411"/>
      <c r="T891" s="411"/>
    </row>
    <row r="892" spans="1:20" ht="15" thickBot="1" x14ac:dyDescent="0.4">
      <c r="A892" s="412">
        <v>2487.83</v>
      </c>
      <c r="B892" s="413">
        <v>1E-3</v>
      </c>
      <c r="C892" s="413">
        <v>0.11</v>
      </c>
      <c r="D892" s="414">
        <f t="shared" si="27"/>
        <v>248.78299999999996</v>
      </c>
      <c r="E892" s="414"/>
      <c r="F892" s="415">
        <f t="shared" si="28"/>
        <v>-43742.891999999913</v>
      </c>
      <c r="G892" s="411"/>
      <c r="H892" s="411"/>
      <c r="I892" s="411"/>
      <c r="J892" s="411"/>
      <c r="K892" s="411"/>
      <c r="L892" s="411"/>
      <c r="M892" s="411"/>
      <c r="N892" s="411"/>
      <c r="O892" s="411"/>
      <c r="P892" s="411"/>
      <c r="Q892" s="411"/>
      <c r="R892" s="411"/>
      <c r="S892" s="411"/>
      <c r="T892" s="411"/>
    </row>
    <row r="893" spans="1:20" ht="15" thickBot="1" x14ac:dyDescent="0.4">
      <c r="A893" s="412">
        <v>2494.4499999999998</v>
      </c>
      <c r="B893" s="413">
        <v>1E-3</v>
      </c>
      <c r="C893" s="413">
        <v>0.109</v>
      </c>
      <c r="D893" s="414">
        <f t="shared" si="27"/>
        <v>249.44499999999999</v>
      </c>
      <c r="E893" s="414"/>
      <c r="F893" s="415">
        <f t="shared" si="28"/>
        <v>-43493.446999999913</v>
      </c>
      <c r="G893" s="411"/>
      <c r="H893" s="411"/>
      <c r="I893" s="411"/>
      <c r="J893" s="411"/>
      <c r="K893" s="411"/>
      <c r="L893" s="411"/>
      <c r="M893" s="411"/>
      <c r="N893" s="411"/>
      <c r="O893" s="411"/>
      <c r="P893" s="411"/>
      <c r="Q893" s="411"/>
      <c r="R893" s="411"/>
      <c r="S893" s="411"/>
      <c r="T893" s="411"/>
    </row>
    <row r="894" spans="1:20" ht="15" thickBot="1" x14ac:dyDescent="0.4">
      <c r="A894" s="412">
        <v>2496.94</v>
      </c>
      <c r="B894" s="413">
        <v>1E-3</v>
      </c>
      <c r="C894" s="413">
        <v>0.108</v>
      </c>
      <c r="D894" s="414">
        <f t="shared" si="27"/>
        <v>249.69399999999999</v>
      </c>
      <c r="E894" s="414"/>
      <c r="F894" s="415">
        <f t="shared" si="28"/>
        <v>-43243.75299999991</v>
      </c>
      <c r="G894" s="411"/>
      <c r="H894" s="411"/>
      <c r="I894" s="411"/>
      <c r="J894" s="411"/>
      <c r="K894" s="411"/>
      <c r="L894" s="411"/>
      <c r="M894" s="411"/>
      <c r="N894" s="411"/>
      <c r="O894" s="411"/>
      <c r="P894" s="411"/>
      <c r="Q894" s="411"/>
      <c r="R894" s="411"/>
      <c r="S894" s="411"/>
      <c r="T894" s="411"/>
    </row>
    <row r="895" spans="1:20" ht="15" thickBot="1" x14ac:dyDescent="0.4">
      <c r="A895" s="412">
        <v>2529.73</v>
      </c>
      <c r="B895" s="413">
        <v>1E-3</v>
      </c>
      <c r="C895" s="413">
        <v>0.107</v>
      </c>
      <c r="D895" s="414">
        <f t="shared" si="27"/>
        <v>252.97300000000001</v>
      </c>
      <c r="E895" s="414"/>
      <c r="F895" s="415">
        <f t="shared" si="28"/>
        <v>-42990.779999999912</v>
      </c>
      <c r="G895" s="411"/>
      <c r="H895" s="411"/>
      <c r="I895" s="411"/>
      <c r="J895" s="411"/>
      <c r="K895" s="411"/>
      <c r="L895" s="411"/>
      <c r="M895" s="411"/>
      <c r="N895" s="411"/>
      <c r="O895" s="411"/>
      <c r="P895" s="411"/>
      <c r="Q895" s="411"/>
      <c r="R895" s="411"/>
      <c r="S895" s="411"/>
      <c r="T895" s="411"/>
    </row>
    <row r="896" spans="1:20" ht="15" thickBot="1" x14ac:dyDescent="0.4">
      <c r="A896" s="412">
        <v>2547.69</v>
      </c>
      <c r="B896" s="413">
        <v>1E-3</v>
      </c>
      <c r="C896" s="413">
        <v>0.106</v>
      </c>
      <c r="D896" s="414">
        <f t="shared" si="27"/>
        <v>254.76900000000001</v>
      </c>
      <c r="E896" s="414"/>
      <c r="F896" s="415">
        <f t="shared" si="28"/>
        <v>-42736.010999999911</v>
      </c>
      <c r="G896" s="411"/>
      <c r="H896" s="411"/>
      <c r="I896" s="411"/>
      <c r="J896" s="411"/>
      <c r="K896" s="411"/>
      <c r="L896" s="411"/>
      <c r="M896" s="411"/>
      <c r="N896" s="411"/>
      <c r="O896" s="411"/>
      <c r="P896" s="411"/>
      <c r="Q896" s="411"/>
      <c r="R896" s="411"/>
      <c r="S896" s="411"/>
      <c r="T896" s="411"/>
    </row>
    <row r="897" spans="1:20" ht="15" thickBot="1" x14ac:dyDescent="0.4">
      <c r="A897" s="412">
        <v>2551.58</v>
      </c>
      <c r="B897" s="413">
        <v>1E-3</v>
      </c>
      <c r="C897" s="413">
        <v>0.105</v>
      </c>
      <c r="D897" s="414">
        <f t="shared" si="27"/>
        <v>255.15799999999999</v>
      </c>
      <c r="E897" s="414"/>
      <c r="F897" s="415">
        <f t="shared" si="28"/>
        <v>-42480.852999999908</v>
      </c>
      <c r="G897" s="411"/>
      <c r="H897" s="411"/>
      <c r="I897" s="411"/>
      <c r="J897" s="411"/>
      <c r="K897" s="411"/>
      <c r="L897" s="411"/>
      <c r="M897" s="411"/>
      <c r="N897" s="411"/>
      <c r="O897" s="411"/>
      <c r="P897" s="411"/>
      <c r="Q897" s="411"/>
      <c r="R897" s="411"/>
      <c r="S897" s="411"/>
      <c r="T897" s="411"/>
    </row>
    <row r="898" spans="1:20" ht="15" thickBot="1" x14ac:dyDescent="0.4">
      <c r="A898" s="412">
        <v>2557.7199999999998</v>
      </c>
      <c r="B898" s="413">
        <v>1E-3</v>
      </c>
      <c r="C898" s="413">
        <v>0.104</v>
      </c>
      <c r="D898" s="414">
        <f t="shared" ref="D898:D961" si="29">A898*B898/1%</f>
        <v>255.77199999999996</v>
      </c>
      <c r="E898" s="414"/>
      <c r="F898" s="415">
        <f t="shared" si="28"/>
        <v>-42225.080999999911</v>
      </c>
      <c r="G898" s="411"/>
      <c r="H898" s="411"/>
      <c r="I898" s="411"/>
      <c r="J898" s="411"/>
      <c r="K898" s="411"/>
      <c r="L898" s="411"/>
      <c r="M898" s="411"/>
      <c r="N898" s="411"/>
      <c r="O898" s="411"/>
      <c r="P898" s="411"/>
      <c r="Q898" s="411"/>
      <c r="R898" s="411"/>
      <c r="S898" s="411"/>
      <c r="T898" s="411"/>
    </row>
    <row r="899" spans="1:20" ht="15" thickBot="1" x14ac:dyDescent="0.4">
      <c r="A899" s="412">
        <v>2562.0700000000002</v>
      </c>
      <c r="B899" s="413">
        <v>1E-3</v>
      </c>
      <c r="C899" s="413">
        <v>0.10299999999999999</v>
      </c>
      <c r="D899" s="414">
        <f t="shared" si="29"/>
        <v>256.20700000000005</v>
      </c>
      <c r="E899" s="414"/>
      <c r="F899" s="415">
        <f t="shared" ref="F899:F962" si="30">F898+D899</f>
        <v>-41968.873999999909</v>
      </c>
      <c r="G899" s="411"/>
      <c r="H899" s="411"/>
      <c r="I899" s="411"/>
      <c r="J899" s="411"/>
      <c r="K899" s="411"/>
      <c r="L899" s="411"/>
      <c r="M899" s="411"/>
      <c r="N899" s="411"/>
      <c r="O899" s="411"/>
      <c r="P899" s="411"/>
      <c r="Q899" s="411"/>
      <c r="R899" s="411"/>
      <c r="S899" s="411"/>
      <c r="T899" s="411"/>
    </row>
    <row r="900" spans="1:20" ht="15" thickBot="1" x14ac:dyDescent="0.4">
      <c r="A900" s="412">
        <v>2577.0500000000002</v>
      </c>
      <c r="B900" s="413">
        <v>1E-3</v>
      </c>
      <c r="C900" s="413">
        <v>0.10199999999999999</v>
      </c>
      <c r="D900" s="414">
        <f t="shared" si="29"/>
        <v>257.70500000000004</v>
      </c>
      <c r="E900" s="414"/>
      <c r="F900" s="415">
        <f t="shared" si="30"/>
        <v>-41711.168999999907</v>
      </c>
      <c r="G900" s="411"/>
      <c r="H900" s="411"/>
      <c r="I900" s="411"/>
      <c r="J900" s="411"/>
      <c r="K900" s="411"/>
      <c r="L900" s="411"/>
      <c r="M900" s="411"/>
      <c r="N900" s="411"/>
      <c r="O900" s="411"/>
      <c r="P900" s="411"/>
      <c r="Q900" s="411"/>
      <c r="R900" s="411"/>
      <c r="S900" s="411"/>
      <c r="T900" s="411"/>
    </row>
    <row r="901" spans="1:20" ht="15" thickBot="1" x14ac:dyDescent="0.4">
      <c r="A901" s="412">
        <v>2615.11</v>
      </c>
      <c r="B901" s="413">
        <v>1E-3</v>
      </c>
      <c r="C901" s="413">
        <v>0.10100000000000001</v>
      </c>
      <c r="D901" s="414">
        <f t="shared" si="29"/>
        <v>261.51100000000002</v>
      </c>
      <c r="E901" s="414"/>
      <c r="F901" s="415">
        <f t="shared" si="30"/>
        <v>-41449.657999999908</v>
      </c>
      <c r="G901" s="411"/>
      <c r="H901" s="411"/>
      <c r="I901" s="411"/>
      <c r="J901" s="411"/>
      <c r="K901" s="411"/>
      <c r="L901" s="411"/>
      <c r="M901" s="411"/>
      <c r="N901" s="411"/>
      <c r="O901" s="411"/>
      <c r="P901" s="411"/>
      <c r="Q901" s="411"/>
      <c r="R901" s="411"/>
      <c r="S901" s="411"/>
      <c r="T901" s="411"/>
    </row>
    <row r="902" spans="1:20" ht="15" thickBot="1" x14ac:dyDescent="0.4">
      <c r="A902" s="412">
        <v>2616.52</v>
      </c>
      <c r="B902" s="413">
        <v>1E-3</v>
      </c>
      <c r="C902" s="413">
        <v>0.1</v>
      </c>
      <c r="D902" s="414">
        <f t="shared" si="29"/>
        <v>261.65199999999999</v>
      </c>
      <c r="E902" s="414"/>
      <c r="F902" s="415">
        <f t="shared" si="30"/>
        <v>-41188.005999999907</v>
      </c>
      <c r="G902" s="411"/>
      <c r="H902" s="411"/>
      <c r="I902" s="411"/>
      <c r="J902" s="411"/>
      <c r="K902" s="411"/>
      <c r="L902" s="411"/>
      <c r="M902" s="411"/>
      <c r="N902" s="411"/>
      <c r="O902" s="411"/>
      <c r="P902" s="411"/>
      <c r="Q902" s="411"/>
      <c r="R902" s="411"/>
      <c r="S902" s="411"/>
      <c r="T902" s="411"/>
    </row>
    <row r="903" spans="1:20" ht="15" thickBot="1" x14ac:dyDescent="0.4">
      <c r="A903" s="412">
        <v>2616.54</v>
      </c>
      <c r="B903" s="413">
        <v>1E-3</v>
      </c>
      <c r="C903" s="413">
        <v>9.9000000000000005E-2</v>
      </c>
      <c r="D903" s="414">
        <f t="shared" si="29"/>
        <v>261.654</v>
      </c>
      <c r="E903" s="414"/>
      <c r="F903" s="415">
        <f t="shared" si="30"/>
        <v>-40926.351999999904</v>
      </c>
      <c r="G903" s="411"/>
      <c r="H903" s="411"/>
      <c r="I903" s="411"/>
      <c r="J903" s="411"/>
      <c r="K903" s="411"/>
      <c r="L903" s="411"/>
      <c r="M903" s="411"/>
      <c r="N903" s="411"/>
      <c r="O903" s="411"/>
      <c r="P903" s="411"/>
      <c r="Q903" s="411"/>
      <c r="R903" s="411"/>
      <c r="S903" s="411"/>
      <c r="T903" s="411"/>
    </row>
    <row r="904" spans="1:20" ht="15" thickBot="1" x14ac:dyDescent="0.4">
      <c r="A904" s="412">
        <v>2629.81</v>
      </c>
      <c r="B904" s="413">
        <v>1E-3</v>
      </c>
      <c r="C904" s="413">
        <v>9.8000000000000004E-2</v>
      </c>
      <c r="D904" s="414">
        <f t="shared" si="29"/>
        <v>262.98099999999999</v>
      </c>
      <c r="E904" s="414"/>
      <c r="F904" s="415">
        <f t="shared" si="30"/>
        <v>-40663.370999999905</v>
      </c>
      <c r="G904" s="411"/>
      <c r="H904" s="411"/>
      <c r="I904" s="411"/>
      <c r="J904" s="411"/>
      <c r="K904" s="411"/>
      <c r="L904" s="411"/>
      <c r="M904" s="411"/>
      <c r="N904" s="411"/>
      <c r="O904" s="411"/>
      <c r="P904" s="411"/>
      <c r="Q904" s="411"/>
      <c r="R904" s="411"/>
      <c r="S904" s="411"/>
      <c r="T904" s="411"/>
    </row>
    <row r="905" spans="1:20" ht="15" thickBot="1" x14ac:dyDescent="0.4">
      <c r="A905" s="412">
        <v>2634.53</v>
      </c>
      <c r="B905" s="413">
        <v>1E-3</v>
      </c>
      <c r="C905" s="413">
        <v>9.7000000000000003E-2</v>
      </c>
      <c r="D905" s="414">
        <f t="shared" si="29"/>
        <v>263.45300000000003</v>
      </c>
      <c r="E905" s="414"/>
      <c r="F905" s="415">
        <f t="shared" si="30"/>
        <v>-40399.917999999903</v>
      </c>
      <c r="G905" s="411"/>
      <c r="H905" s="411"/>
      <c r="I905" s="411"/>
      <c r="J905" s="411"/>
      <c r="K905" s="411"/>
      <c r="L905" s="411"/>
      <c r="M905" s="411"/>
      <c r="N905" s="411"/>
      <c r="O905" s="411"/>
      <c r="P905" s="411"/>
      <c r="Q905" s="411"/>
      <c r="R905" s="411"/>
      <c r="S905" s="411"/>
      <c r="T905" s="411"/>
    </row>
    <row r="906" spans="1:20" ht="15" thickBot="1" x14ac:dyDescent="0.4">
      <c r="A906" s="412">
        <v>2635.18</v>
      </c>
      <c r="B906" s="413">
        <v>1E-3</v>
      </c>
      <c r="C906" s="413">
        <v>9.6000000000000002E-2</v>
      </c>
      <c r="D906" s="414">
        <f t="shared" si="29"/>
        <v>263.51800000000003</v>
      </c>
      <c r="E906" s="414"/>
      <c r="F906" s="415">
        <f t="shared" si="30"/>
        <v>-40136.399999999907</v>
      </c>
      <c r="G906" s="411"/>
      <c r="H906" s="411"/>
      <c r="I906" s="411"/>
      <c r="J906" s="411"/>
      <c r="K906" s="411"/>
      <c r="L906" s="411"/>
      <c r="M906" s="411"/>
      <c r="N906" s="411"/>
      <c r="O906" s="411"/>
      <c r="P906" s="411"/>
      <c r="Q906" s="411"/>
      <c r="R906" s="411"/>
      <c r="S906" s="411"/>
      <c r="T906" s="411"/>
    </row>
    <row r="907" spans="1:20" ht="15" thickBot="1" x14ac:dyDescent="0.4">
      <c r="A907" s="412">
        <v>2651.77</v>
      </c>
      <c r="B907" s="413">
        <v>1E-3</v>
      </c>
      <c r="C907" s="413">
        <v>9.5000000000000001E-2</v>
      </c>
      <c r="D907" s="414">
        <f t="shared" si="29"/>
        <v>265.17699999999996</v>
      </c>
      <c r="E907" s="414"/>
      <c r="F907" s="415">
        <f t="shared" si="30"/>
        <v>-39871.222999999904</v>
      </c>
      <c r="G907" s="411"/>
      <c r="H907" s="411"/>
      <c r="I907" s="411"/>
      <c r="J907" s="411"/>
      <c r="K907" s="411"/>
      <c r="L907" s="411"/>
      <c r="M907" s="411"/>
      <c r="N907" s="411"/>
      <c r="O907" s="411"/>
      <c r="P907" s="411"/>
      <c r="Q907" s="411"/>
      <c r="R907" s="411"/>
      <c r="S907" s="411"/>
      <c r="T907" s="411"/>
    </row>
    <row r="908" spans="1:20" ht="15" thickBot="1" x14ac:dyDescent="0.4">
      <c r="A908" s="412">
        <v>2665.64</v>
      </c>
      <c r="B908" s="413">
        <v>1E-3</v>
      </c>
      <c r="C908" s="413">
        <v>9.4E-2</v>
      </c>
      <c r="D908" s="414">
        <f t="shared" si="29"/>
        <v>266.56399999999996</v>
      </c>
      <c r="E908" s="414"/>
      <c r="F908" s="415">
        <f t="shared" si="30"/>
        <v>-39604.658999999905</v>
      </c>
      <c r="G908" s="411"/>
      <c r="H908" s="411"/>
      <c r="I908" s="411"/>
      <c r="J908" s="411"/>
      <c r="K908" s="411"/>
      <c r="L908" s="411"/>
      <c r="M908" s="411"/>
      <c r="N908" s="411"/>
      <c r="O908" s="411"/>
      <c r="P908" s="411"/>
      <c r="Q908" s="411"/>
      <c r="R908" s="411"/>
      <c r="S908" s="411"/>
      <c r="T908" s="411"/>
    </row>
    <row r="909" spans="1:20" ht="15" thickBot="1" x14ac:dyDescent="0.4">
      <c r="A909" s="412">
        <v>2674.22</v>
      </c>
      <c r="B909" s="413">
        <v>1E-3</v>
      </c>
      <c r="C909" s="413">
        <v>9.2999999999999999E-2</v>
      </c>
      <c r="D909" s="414">
        <f t="shared" si="29"/>
        <v>267.42200000000003</v>
      </c>
      <c r="E909" s="414"/>
      <c r="F909" s="415">
        <f t="shared" si="30"/>
        <v>-39337.236999999906</v>
      </c>
      <c r="G909" s="411"/>
      <c r="H909" s="411"/>
      <c r="I909" s="411"/>
      <c r="J909" s="411"/>
      <c r="K909" s="411"/>
      <c r="L909" s="411"/>
      <c r="M909" s="411"/>
      <c r="N909" s="411"/>
      <c r="O909" s="411"/>
      <c r="P909" s="411"/>
      <c r="Q909" s="411"/>
      <c r="R909" s="411"/>
      <c r="S909" s="411"/>
      <c r="T909" s="411"/>
    </row>
    <row r="910" spans="1:20" ht="15" thickBot="1" x14ac:dyDescent="0.4">
      <c r="A910" s="412">
        <v>2689.08</v>
      </c>
      <c r="B910" s="413">
        <v>1E-3</v>
      </c>
      <c r="C910" s="413">
        <v>9.1999999999999998E-2</v>
      </c>
      <c r="D910" s="414">
        <f t="shared" si="29"/>
        <v>268.90800000000002</v>
      </c>
      <c r="E910" s="414"/>
      <c r="F910" s="415">
        <f t="shared" si="30"/>
        <v>-39068.328999999903</v>
      </c>
      <c r="G910" s="411"/>
      <c r="H910" s="411"/>
      <c r="I910" s="411"/>
      <c r="J910" s="411"/>
      <c r="K910" s="411"/>
      <c r="L910" s="411"/>
      <c r="M910" s="411"/>
      <c r="N910" s="411"/>
      <c r="O910" s="411"/>
      <c r="P910" s="411"/>
      <c r="Q910" s="411"/>
      <c r="R910" s="411"/>
      <c r="S910" s="411"/>
      <c r="T910" s="411"/>
    </row>
    <row r="911" spans="1:20" ht="15" thickBot="1" x14ac:dyDescent="0.4">
      <c r="A911" s="412">
        <v>2708.71</v>
      </c>
      <c r="B911" s="413">
        <v>1E-3</v>
      </c>
      <c r="C911" s="413">
        <v>9.0999999999999998E-2</v>
      </c>
      <c r="D911" s="414">
        <f t="shared" si="29"/>
        <v>270.87099999999998</v>
      </c>
      <c r="E911" s="414"/>
      <c r="F911" s="415">
        <f t="shared" si="30"/>
        <v>-38797.457999999904</v>
      </c>
      <c r="G911" s="411"/>
      <c r="H911" s="411"/>
      <c r="I911" s="411"/>
      <c r="J911" s="411"/>
      <c r="K911" s="411"/>
      <c r="L911" s="411"/>
      <c r="M911" s="411"/>
      <c r="N911" s="411"/>
      <c r="O911" s="411"/>
      <c r="P911" s="411"/>
      <c r="Q911" s="411"/>
      <c r="R911" s="411"/>
      <c r="S911" s="411"/>
      <c r="T911" s="411"/>
    </row>
    <row r="912" spans="1:20" ht="15" thickBot="1" x14ac:dyDescent="0.4">
      <c r="A912" s="412">
        <v>2709.43</v>
      </c>
      <c r="B912" s="413">
        <v>1E-3</v>
      </c>
      <c r="C912" s="413">
        <v>0.09</v>
      </c>
      <c r="D912" s="414">
        <f t="shared" si="29"/>
        <v>270.94299999999998</v>
      </c>
      <c r="E912" s="414"/>
      <c r="F912" s="415">
        <f t="shared" si="30"/>
        <v>-38526.514999999905</v>
      </c>
      <c r="G912" s="411"/>
      <c r="H912" s="411"/>
      <c r="I912" s="411"/>
      <c r="J912" s="411"/>
      <c r="K912" s="411"/>
      <c r="L912" s="411"/>
      <c r="M912" s="411"/>
      <c r="N912" s="411"/>
      <c r="O912" s="411"/>
      <c r="P912" s="411"/>
      <c r="Q912" s="411"/>
      <c r="R912" s="411"/>
      <c r="S912" s="411"/>
      <c r="T912" s="411"/>
    </row>
    <row r="913" spans="1:20" ht="15" thickBot="1" x14ac:dyDescent="0.4">
      <c r="A913" s="412">
        <v>2720.32</v>
      </c>
      <c r="B913" s="413">
        <v>1E-3</v>
      </c>
      <c r="C913" s="413">
        <v>8.8999999999999996E-2</v>
      </c>
      <c r="D913" s="414">
        <f t="shared" si="29"/>
        <v>272.03199999999998</v>
      </c>
      <c r="E913" s="414"/>
      <c r="F913" s="415">
        <f t="shared" si="30"/>
        <v>-38254.482999999906</v>
      </c>
      <c r="G913" s="411"/>
      <c r="H913" s="411"/>
      <c r="I913" s="411"/>
      <c r="J913" s="411"/>
      <c r="K913" s="411"/>
      <c r="L913" s="411"/>
      <c r="M913" s="411"/>
      <c r="N913" s="411"/>
      <c r="O913" s="411"/>
      <c r="P913" s="411"/>
      <c r="Q913" s="411"/>
      <c r="R913" s="411"/>
      <c r="S913" s="411"/>
      <c r="T913" s="411"/>
    </row>
    <row r="914" spans="1:20" ht="15" thickBot="1" x14ac:dyDescent="0.4">
      <c r="A914" s="412">
        <v>2750.72</v>
      </c>
      <c r="B914" s="413">
        <v>1E-3</v>
      </c>
      <c r="C914" s="413">
        <v>8.7999999999999995E-2</v>
      </c>
      <c r="D914" s="414">
        <f t="shared" si="29"/>
        <v>275.072</v>
      </c>
      <c r="E914" s="414"/>
      <c r="F914" s="415">
        <f t="shared" si="30"/>
        <v>-37979.410999999905</v>
      </c>
      <c r="G914" s="411"/>
      <c r="H914" s="411"/>
      <c r="I914" s="411"/>
      <c r="J914" s="411"/>
      <c r="K914" s="411"/>
      <c r="L914" s="411"/>
      <c r="M914" s="411"/>
      <c r="N914" s="411"/>
      <c r="O914" s="411"/>
      <c r="P914" s="411"/>
      <c r="Q914" s="411"/>
      <c r="R914" s="411"/>
      <c r="S914" s="411"/>
      <c r="T914" s="411"/>
    </row>
    <row r="915" spans="1:20" ht="15" thickBot="1" x14ac:dyDescent="0.4">
      <c r="A915" s="412">
        <v>2821.12</v>
      </c>
      <c r="B915" s="413">
        <v>1E-3</v>
      </c>
      <c r="C915" s="413">
        <v>8.6999999999999994E-2</v>
      </c>
      <c r="D915" s="414">
        <f t="shared" si="29"/>
        <v>282.11200000000002</v>
      </c>
      <c r="E915" s="414"/>
      <c r="F915" s="415">
        <f t="shared" si="30"/>
        <v>-37697.298999999904</v>
      </c>
      <c r="G915" s="411"/>
      <c r="H915" s="411"/>
      <c r="I915" s="411"/>
      <c r="J915" s="411"/>
      <c r="K915" s="411"/>
      <c r="L915" s="411"/>
      <c r="M915" s="411"/>
      <c r="N915" s="411"/>
      <c r="O915" s="411"/>
      <c r="P915" s="411"/>
      <c r="Q915" s="411"/>
      <c r="R915" s="411"/>
      <c r="S915" s="411"/>
      <c r="T915" s="411"/>
    </row>
    <row r="916" spans="1:20" ht="15" thickBot="1" x14ac:dyDescent="0.4">
      <c r="A916" s="412">
        <v>2840.58</v>
      </c>
      <c r="B916" s="413">
        <v>1E-3</v>
      </c>
      <c r="C916" s="413">
        <v>8.5999999999999993E-2</v>
      </c>
      <c r="D916" s="414">
        <f t="shared" si="29"/>
        <v>284.05799999999999</v>
      </c>
      <c r="E916" s="414"/>
      <c r="F916" s="415">
        <f t="shared" si="30"/>
        <v>-37413.240999999907</v>
      </c>
      <c r="G916" s="411"/>
      <c r="H916" s="411"/>
      <c r="I916" s="411"/>
      <c r="J916" s="411"/>
      <c r="K916" s="411"/>
      <c r="L916" s="411"/>
      <c r="M916" s="411"/>
      <c r="N916" s="411"/>
      <c r="O916" s="411"/>
      <c r="P916" s="411"/>
      <c r="Q916" s="411"/>
      <c r="R916" s="411"/>
      <c r="S916" s="411"/>
      <c r="T916" s="411"/>
    </row>
    <row r="917" spans="1:20" ht="15" thickBot="1" x14ac:dyDescent="0.4">
      <c r="A917" s="412">
        <v>2921.4</v>
      </c>
      <c r="B917" s="413">
        <v>1E-3</v>
      </c>
      <c r="C917" s="413">
        <v>8.5000000000000006E-2</v>
      </c>
      <c r="D917" s="414">
        <f t="shared" si="29"/>
        <v>292.14000000000004</v>
      </c>
      <c r="E917" s="414"/>
      <c r="F917" s="415">
        <f t="shared" si="30"/>
        <v>-37121.100999999908</v>
      </c>
      <c r="G917" s="411"/>
      <c r="H917" s="411"/>
      <c r="I917" s="411"/>
      <c r="J917" s="411"/>
      <c r="K917" s="411"/>
      <c r="L917" s="411"/>
      <c r="M917" s="411"/>
      <c r="N917" s="411"/>
      <c r="O917" s="411"/>
      <c r="P917" s="411"/>
      <c r="Q917" s="411"/>
      <c r="R917" s="411"/>
      <c r="S917" s="411"/>
      <c r="T917" s="411"/>
    </row>
    <row r="918" spans="1:20" ht="15" thickBot="1" x14ac:dyDescent="0.4">
      <c r="A918" s="412">
        <v>2952.06</v>
      </c>
      <c r="B918" s="413">
        <v>1E-3</v>
      </c>
      <c r="C918" s="413">
        <v>8.4000000000000005E-2</v>
      </c>
      <c r="D918" s="414">
        <f t="shared" si="29"/>
        <v>295.20599999999996</v>
      </c>
      <c r="E918" s="414"/>
      <c r="F918" s="415">
        <f t="shared" si="30"/>
        <v>-36825.894999999909</v>
      </c>
      <c r="G918" s="411"/>
      <c r="H918" s="411"/>
      <c r="I918" s="411"/>
      <c r="J918" s="411"/>
      <c r="K918" s="411"/>
      <c r="L918" s="411"/>
      <c r="M918" s="411"/>
      <c r="N918" s="411"/>
      <c r="O918" s="411"/>
      <c r="P918" s="411"/>
      <c r="Q918" s="411"/>
      <c r="R918" s="411"/>
      <c r="S918" s="411"/>
      <c r="T918" s="411"/>
    </row>
    <row r="919" spans="1:20" ht="15" thickBot="1" x14ac:dyDescent="0.4">
      <c r="A919" s="412">
        <v>2954.77</v>
      </c>
      <c r="B919" s="413">
        <v>1E-3</v>
      </c>
      <c r="C919" s="413">
        <v>8.3000000000000004E-2</v>
      </c>
      <c r="D919" s="414">
        <f t="shared" si="29"/>
        <v>295.47699999999998</v>
      </c>
      <c r="E919" s="414"/>
      <c r="F919" s="415">
        <f t="shared" si="30"/>
        <v>-36530.417999999911</v>
      </c>
      <c r="G919" s="411"/>
      <c r="H919" s="411"/>
      <c r="I919" s="411"/>
      <c r="J919" s="411"/>
      <c r="K919" s="411"/>
      <c r="L919" s="411"/>
      <c r="M919" s="411"/>
      <c r="N919" s="411"/>
      <c r="O919" s="411"/>
      <c r="P919" s="411"/>
      <c r="Q919" s="411"/>
      <c r="R919" s="411"/>
      <c r="S919" s="411"/>
      <c r="T919" s="411"/>
    </row>
    <row r="920" spans="1:20" ht="15" thickBot="1" x14ac:dyDescent="0.4">
      <c r="A920" s="412">
        <v>2964.47</v>
      </c>
      <c r="B920" s="413">
        <v>1E-3</v>
      </c>
      <c r="C920" s="413">
        <v>8.2000000000000003E-2</v>
      </c>
      <c r="D920" s="414">
        <f t="shared" si="29"/>
        <v>296.447</v>
      </c>
      <c r="E920" s="414"/>
      <c r="F920" s="415">
        <f t="shared" si="30"/>
        <v>-36233.97099999991</v>
      </c>
      <c r="G920" s="411"/>
      <c r="H920" s="411"/>
      <c r="I920" s="411"/>
      <c r="J920" s="411"/>
      <c r="K920" s="411"/>
      <c r="L920" s="411"/>
      <c r="M920" s="411"/>
      <c r="N920" s="411"/>
      <c r="O920" s="411"/>
      <c r="P920" s="411"/>
      <c r="Q920" s="411"/>
      <c r="R920" s="411"/>
      <c r="S920" s="411"/>
      <c r="T920" s="411"/>
    </row>
    <row r="921" spans="1:20" ht="15" thickBot="1" x14ac:dyDescent="0.4">
      <c r="A921" s="412">
        <v>2978.06</v>
      </c>
      <c r="B921" s="413">
        <v>1E-3</v>
      </c>
      <c r="C921" s="413">
        <v>8.1000000000000003E-2</v>
      </c>
      <c r="D921" s="414">
        <f t="shared" si="29"/>
        <v>297.80599999999998</v>
      </c>
      <c r="E921" s="414"/>
      <c r="F921" s="415">
        <f t="shared" si="30"/>
        <v>-35936.164999999914</v>
      </c>
      <c r="G921" s="411"/>
      <c r="H921" s="411"/>
      <c r="I921" s="411"/>
      <c r="J921" s="411"/>
      <c r="K921" s="411"/>
      <c r="L921" s="411"/>
      <c r="M921" s="411"/>
      <c r="N921" s="411"/>
      <c r="O921" s="411"/>
      <c r="P921" s="411"/>
      <c r="Q921" s="411"/>
      <c r="R921" s="411"/>
      <c r="S921" s="411"/>
      <c r="T921" s="411"/>
    </row>
    <row r="922" spans="1:20" ht="15" thickBot="1" x14ac:dyDescent="0.4">
      <c r="A922" s="412">
        <v>3028.88</v>
      </c>
      <c r="B922" s="413">
        <v>1E-3</v>
      </c>
      <c r="C922" s="413">
        <v>0.08</v>
      </c>
      <c r="D922" s="414">
        <f t="shared" si="29"/>
        <v>302.88799999999998</v>
      </c>
      <c r="E922" s="414"/>
      <c r="F922" s="415">
        <f t="shared" si="30"/>
        <v>-35633.276999999915</v>
      </c>
      <c r="G922" s="411"/>
      <c r="H922" s="411"/>
      <c r="I922" s="411"/>
      <c r="J922" s="411"/>
      <c r="K922" s="411"/>
      <c r="L922" s="411"/>
      <c r="M922" s="411"/>
      <c r="N922" s="411"/>
      <c r="O922" s="411"/>
      <c r="P922" s="411"/>
      <c r="Q922" s="411"/>
      <c r="R922" s="411"/>
      <c r="S922" s="411"/>
      <c r="T922" s="411"/>
    </row>
    <row r="923" spans="1:20" ht="15" thickBot="1" x14ac:dyDescent="0.4">
      <c r="A923" s="412">
        <v>3029.85</v>
      </c>
      <c r="B923" s="413">
        <v>1E-3</v>
      </c>
      <c r="C923" s="413">
        <v>7.9000000000000001E-2</v>
      </c>
      <c r="D923" s="414">
        <f t="shared" si="29"/>
        <v>302.98500000000001</v>
      </c>
      <c r="E923" s="414"/>
      <c r="F923" s="415">
        <f t="shared" si="30"/>
        <v>-35330.291999999914</v>
      </c>
      <c r="G923" s="411"/>
      <c r="H923" s="411"/>
      <c r="I923" s="411"/>
      <c r="J923" s="411"/>
      <c r="K923" s="411"/>
      <c r="L923" s="411"/>
      <c r="M923" s="411"/>
      <c r="N923" s="411"/>
      <c r="O923" s="411"/>
      <c r="P923" s="411"/>
      <c r="Q923" s="411"/>
      <c r="R923" s="411"/>
      <c r="S923" s="411"/>
      <c r="T923" s="411"/>
    </row>
    <row r="924" spans="1:20" ht="15" thickBot="1" x14ac:dyDescent="0.4">
      <c r="A924" s="412">
        <v>3031.06</v>
      </c>
      <c r="B924" s="413">
        <v>1E-3</v>
      </c>
      <c r="C924" s="413">
        <v>7.8E-2</v>
      </c>
      <c r="D924" s="414">
        <f t="shared" si="29"/>
        <v>303.10599999999999</v>
      </c>
      <c r="E924" s="414"/>
      <c r="F924" s="415">
        <f t="shared" si="30"/>
        <v>-35027.185999999914</v>
      </c>
      <c r="G924" s="411"/>
      <c r="H924" s="411"/>
      <c r="I924" s="411"/>
      <c r="J924" s="411"/>
      <c r="K924" s="411"/>
      <c r="L924" s="411"/>
      <c r="M924" s="411"/>
      <c r="N924" s="411"/>
      <c r="O924" s="411"/>
      <c r="P924" s="411"/>
      <c r="Q924" s="411"/>
      <c r="R924" s="411"/>
      <c r="S924" s="411"/>
      <c r="T924" s="411"/>
    </row>
    <row r="925" spans="1:20" ht="15" thickBot="1" x14ac:dyDescent="0.4">
      <c r="A925" s="412">
        <v>3032.07</v>
      </c>
      <c r="B925" s="413">
        <v>1E-3</v>
      </c>
      <c r="C925" s="413">
        <v>7.6999999999999999E-2</v>
      </c>
      <c r="D925" s="414">
        <f t="shared" si="29"/>
        <v>303.20699999999999</v>
      </c>
      <c r="E925" s="414"/>
      <c r="F925" s="415">
        <f t="shared" si="30"/>
        <v>-34723.978999999912</v>
      </c>
      <c r="G925" s="411"/>
      <c r="H925" s="411"/>
      <c r="I925" s="411"/>
      <c r="J925" s="411"/>
      <c r="K925" s="411"/>
      <c r="L925" s="411"/>
      <c r="M925" s="411"/>
      <c r="N925" s="411"/>
      <c r="O925" s="411"/>
      <c r="P925" s="411"/>
      <c r="Q925" s="411"/>
      <c r="R925" s="411"/>
      <c r="S925" s="411"/>
      <c r="T925" s="411"/>
    </row>
    <row r="926" spans="1:20" ht="15" thickBot="1" x14ac:dyDescent="0.4">
      <c r="A926" s="412">
        <v>3035.89</v>
      </c>
      <c r="B926" s="413">
        <v>1E-3</v>
      </c>
      <c r="C926" s="413">
        <v>7.5999999999999998E-2</v>
      </c>
      <c r="D926" s="414">
        <f t="shared" si="29"/>
        <v>303.58899999999994</v>
      </c>
      <c r="E926" s="414"/>
      <c r="F926" s="415">
        <f t="shared" si="30"/>
        <v>-34420.389999999912</v>
      </c>
      <c r="G926" s="411"/>
      <c r="H926" s="411"/>
      <c r="I926" s="411"/>
      <c r="J926" s="411"/>
      <c r="K926" s="411"/>
      <c r="L926" s="411"/>
      <c r="M926" s="411"/>
      <c r="N926" s="411"/>
      <c r="O926" s="411"/>
      <c r="P926" s="411"/>
      <c r="Q926" s="411"/>
      <c r="R926" s="411"/>
      <c r="S926" s="411"/>
      <c r="T926" s="411"/>
    </row>
    <row r="927" spans="1:20" ht="15" thickBot="1" x14ac:dyDescent="0.4">
      <c r="A927" s="412">
        <v>3044.55</v>
      </c>
      <c r="B927" s="413">
        <v>1E-3</v>
      </c>
      <c r="C927" s="413">
        <v>7.4999999999999997E-2</v>
      </c>
      <c r="D927" s="414">
        <f t="shared" si="29"/>
        <v>304.45499999999998</v>
      </c>
      <c r="E927" s="414"/>
      <c r="F927" s="415">
        <f t="shared" si="30"/>
        <v>-34115.93499999991</v>
      </c>
      <c r="G927" s="411"/>
      <c r="H927" s="411"/>
      <c r="I927" s="411"/>
      <c r="J927" s="411"/>
      <c r="K927" s="411"/>
      <c r="L927" s="411"/>
      <c r="M927" s="411"/>
      <c r="N927" s="411"/>
      <c r="O927" s="411"/>
      <c r="P927" s="411"/>
      <c r="Q927" s="411"/>
      <c r="R927" s="411"/>
      <c r="S927" s="411"/>
      <c r="T927" s="411"/>
    </row>
    <row r="928" spans="1:20" ht="15" thickBot="1" x14ac:dyDescent="0.4">
      <c r="A928" s="412">
        <v>3050.17</v>
      </c>
      <c r="B928" s="413">
        <v>1E-3</v>
      </c>
      <c r="C928" s="413">
        <v>7.3999999999999996E-2</v>
      </c>
      <c r="D928" s="414">
        <f t="shared" si="29"/>
        <v>305.017</v>
      </c>
      <c r="E928" s="414"/>
      <c r="F928" s="415">
        <f t="shared" si="30"/>
        <v>-33810.917999999911</v>
      </c>
      <c r="G928" s="411"/>
      <c r="H928" s="411"/>
      <c r="I928" s="411"/>
      <c r="J928" s="411"/>
      <c r="K928" s="411"/>
      <c r="L928" s="411"/>
      <c r="M928" s="411"/>
      <c r="N928" s="411"/>
      <c r="O928" s="411"/>
      <c r="P928" s="411"/>
      <c r="Q928" s="411"/>
      <c r="R928" s="411"/>
      <c r="S928" s="411"/>
      <c r="T928" s="411"/>
    </row>
    <row r="929" spans="1:20" ht="15" thickBot="1" x14ac:dyDescent="0.4">
      <c r="A929" s="412">
        <v>3076.72</v>
      </c>
      <c r="B929" s="413">
        <v>1E-3</v>
      </c>
      <c r="C929" s="413">
        <v>7.2999999999999995E-2</v>
      </c>
      <c r="D929" s="414">
        <f t="shared" si="29"/>
        <v>307.67199999999997</v>
      </c>
      <c r="E929" s="414"/>
      <c r="F929" s="415">
        <f t="shared" si="30"/>
        <v>-33503.245999999912</v>
      </c>
      <c r="G929" s="411"/>
      <c r="H929" s="411"/>
      <c r="I929" s="411"/>
      <c r="J929" s="411"/>
      <c r="K929" s="411"/>
      <c r="L929" s="411"/>
      <c r="M929" s="411"/>
      <c r="N929" s="411"/>
      <c r="O929" s="411"/>
      <c r="P929" s="411"/>
      <c r="Q929" s="411"/>
      <c r="R929" s="411"/>
      <c r="S929" s="411"/>
      <c r="T929" s="411"/>
    </row>
    <row r="930" spans="1:20" ht="15" thickBot="1" x14ac:dyDescent="0.4">
      <c r="A930" s="412">
        <v>3137.13</v>
      </c>
      <c r="B930" s="413">
        <v>1E-3</v>
      </c>
      <c r="C930" s="413">
        <v>7.1999999999999995E-2</v>
      </c>
      <c r="D930" s="414">
        <f t="shared" si="29"/>
        <v>313.71299999999997</v>
      </c>
      <c r="E930" s="414"/>
      <c r="F930" s="415">
        <f t="shared" si="30"/>
        <v>-33189.532999999908</v>
      </c>
      <c r="G930" s="411"/>
      <c r="H930" s="411"/>
      <c r="I930" s="411"/>
      <c r="J930" s="411"/>
      <c r="K930" s="411"/>
      <c r="L930" s="411"/>
      <c r="M930" s="411"/>
      <c r="N930" s="411"/>
      <c r="O930" s="411"/>
      <c r="P930" s="411"/>
      <c r="Q930" s="411"/>
      <c r="R930" s="411"/>
      <c r="S930" s="411"/>
      <c r="T930" s="411"/>
    </row>
    <row r="931" spans="1:20" ht="15" thickBot="1" x14ac:dyDescent="0.4">
      <c r="A931" s="412">
        <v>3205.02</v>
      </c>
      <c r="B931" s="413">
        <v>1E-3</v>
      </c>
      <c r="C931" s="413">
        <v>7.0999999999999994E-2</v>
      </c>
      <c r="D931" s="414">
        <f t="shared" si="29"/>
        <v>320.50200000000001</v>
      </c>
      <c r="E931" s="414"/>
      <c r="F931" s="415">
        <f t="shared" si="30"/>
        <v>-32869.030999999908</v>
      </c>
      <c r="G931" s="411"/>
      <c r="H931" s="411"/>
      <c r="I931" s="411"/>
      <c r="J931" s="411"/>
      <c r="K931" s="411"/>
      <c r="L931" s="411"/>
      <c r="M931" s="411"/>
      <c r="N931" s="411"/>
      <c r="O931" s="411"/>
      <c r="P931" s="411"/>
      <c r="Q931" s="411"/>
      <c r="R931" s="411"/>
      <c r="S931" s="411"/>
      <c r="T931" s="411"/>
    </row>
    <row r="932" spans="1:20" ht="15" thickBot="1" x14ac:dyDescent="0.4">
      <c r="A932" s="412">
        <v>3257.65</v>
      </c>
      <c r="B932" s="413">
        <v>1E-3</v>
      </c>
      <c r="C932" s="413">
        <v>7.0000000000000007E-2</v>
      </c>
      <c r="D932" s="414">
        <f t="shared" si="29"/>
        <v>325.76500000000004</v>
      </c>
      <c r="E932" s="414"/>
      <c r="F932" s="415">
        <f t="shared" si="30"/>
        <v>-32543.265999999909</v>
      </c>
      <c r="G932" s="411"/>
      <c r="H932" s="411"/>
      <c r="I932" s="411"/>
      <c r="J932" s="411"/>
      <c r="K932" s="411"/>
      <c r="L932" s="411"/>
      <c r="M932" s="411"/>
      <c r="N932" s="411"/>
      <c r="O932" s="411"/>
      <c r="P932" s="411"/>
      <c r="Q932" s="411"/>
      <c r="R932" s="411"/>
      <c r="S932" s="411"/>
      <c r="T932" s="411"/>
    </row>
    <row r="933" spans="1:20" ht="15" thickBot="1" x14ac:dyDescent="0.4">
      <c r="A933" s="412">
        <v>3275.49</v>
      </c>
      <c r="B933" s="413">
        <v>1E-3</v>
      </c>
      <c r="C933" s="413">
        <v>6.9000000000000006E-2</v>
      </c>
      <c r="D933" s="414">
        <f t="shared" si="29"/>
        <v>327.54899999999998</v>
      </c>
      <c r="E933" s="414"/>
      <c r="F933" s="415">
        <f t="shared" si="30"/>
        <v>-32215.71699999991</v>
      </c>
      <c r="G933" s="411"/>
      <c r="H933" s="411"/>
      <c r="I933" s="411"/>
      <c r="J933" s="411"/>
      <c r="K933" s="411"/>
      <c r="L933" s="411"/>
      <c r="M933" s="411"/>
      <c r="N933" s="411"/>
      <c r="O933" s="411"/>
      <c r="P933" s="411"/>
      <c r="Q933" s="411"/>
      <c r="R933" s="411"/>
      <c r="S933" s="411"/>
      <c r="T933" s="411"/>
    </row>
    <row r="934" spans="1:20" ht="15" thickBot="1" x14ac:dyDescent="0.4">
      <c r="A934" s="412">
        <v>3325.74</v>
      </c>
      <c r="B934" s="413">
        <v>1E-3</v>
      </c>
      <c r="C934" s="413">
        <v>6.8000000000000005E-2</v>
      </c>
      <c r="D934" s="414">
        <f t="shared" si="29"/>
        <v>332.57399999999996</v>
      </c>
      <c r="E934" s="414"/>
      <c r="F934" s="415">
        <f t="shared" si="30"/>
        <v>-31883.142999999909</v>
      </c>
      <c r="G934" s="411"/>
      <c r="H934" s="411"/>
      <c r="I934" s="411"/>
      <c r="J934" s="411"/>
      <c r="K934" s="411"/>
      <c r="L934" s="411"/>
      <c r="M934" s="411"/>
      <c r="N934" s="411"/>
      <c r="O934" s="411"/>
      <c r="P934" s="411"/>
      <c r="Q934" s="411"/>
      <c r="R934" s="411"/>
      <c r="S934" s="411"/>
      <c r="T934" s="411"/>
    </row>
    <row r="935" spans="1:20" ht="15" thickBot="1" x14ac:dyDescent="0.4">
      <c r="A935" s="412">
        <v>3345.1</v>
      </c>
      <c r="B935" s="413">
        <v>1E-3</v>
      </c>
      <c r="C935" s="413">
        <v>6.7000000000000004E-2</v>
      </c>
      <c r="D935" s="414">
        <f t="shared" si="29"/>
        <v>334.51</v>
      </c>
      <c r="E935" s="414"/>
      <c r="F935" s="415">
        <f t="shared" si="30"/>
        <v>-31548.632999999911</v>
      </c>
      <c r="G935" s="411"/>
      <c r="H935" s="411"/>
      <c r="I935" s="411"/>
      <c r="J935" s="411"/>
      <c r="K935" s="411"/>
      <c r="L935" s="411"/>
      <c r="M935" s="411"/>
      <c r="N935" s="411"/>
      <c r="O935" s="411"/>
      <c r="P935" s="411"/>
      <c r="Q935" s="411"/>
      <c r="R935" s="411"/>
      <c r="S935" s="411"/>
      <c r="T935" s="411"/>
    </row>
    <row r="936" spans="1:20" ht="15" thickBot="1" x14ac:dyDescent="0.4">
      <c r="A936" s="412">
        <v>3394.71</v>
      </c>
      <c r="B936" s="413">
        <v>1E-3</v>
      </c>
      <c r="C936" s="413">
        <v>6.6000000000000003E-2</v>
      </c>
      <c r="D936" s="414">
        <f t="shared" si="29"/>
        <v>339.471</v>
      </c>
      <c r="E936" s="414"/>
      <c r="F936" s="415">
        <f t="shared" si="30"/>
        <v>-31209.161999999909</v>
      </c>
      <c r="G936" s="411"/>
      <c r="H936" s="411"/>
      <c r="I936" s="411"/>
      <c r="J936" s="411"/>
      <c r="K936" s="411"/>
      <c r="L936" s="411"/>
      <c r="M936" s="411"/>
      <c r="N936" s="411"/>
      <c r="O936" s="411"/>
      <c r="P936" s="411"/>
      <c r="Q936" s="411"/>
      <c r="R936" s="411"/>
      <c r="S936" s="411"/>
      <c r="T936" s="411"/>
    </row>
    <row r="937" spans="1:20" ht="15" thickBot="1" x14ac:dyDescent="0.4">
      <c r="A937" s="412">
        <v>3522.36</v>
      </c>
      <c r="B937" s="413">
        <v>1E-3</v>
      </c>
      <c r="C937" s="413">
        <v>6.5000000000000002E-2</v>
      </c>
      <c r="D937" s="414">
        <f t="shared" si="29"/>
        <v>352.23600000000005</v>
      </c>
      <c r="E937" s="414"/>
      <c r="F937" s="415">
        <f t="shared" si="30"/>
        <v>-30856.925999999909</v>
      </c>
      <c r="G937" s="411"/>
      <c r="H937" s="411"/>
      <c r="I937" s="411"/>
      <c r="J937" s="411"/>
      <c r="K937" s="411"/>
      <c r="L937" s="411"/>
      <c r="M937" s="411"/>
      <c r="N937" s="411"/>
      <c r="O937" s="411"/>
      <c r="P937" s="411"/>
      <c r="Q937" s="411"/>
      <c r="R937" s="411"/>
      <c r="S937" s="411"/>
      <c r="T937" s="411"/>
    </row>
    <row r="938" spans="1:20" ht="15" thickBot="1" x14ac:dyDescent="0.4">
      <c r="A938" s="412">
        <v>3525.72</v>
      </c>
      <c r="B938" s="413">
        <v>1E-3</v>
      </c>
      <c r="C938" s="413">
        <v>6.4000000000000001E-2</v>
      </c>
      <c r="D938" s="414">
        <f t="shared" si="29"/>
        <v>352.57199999999995</v>
      </c>
      <c r="E938" s="414"/>
      <c r="F938" s="415">
        <f t="shared" si="30"/>
        <v>-30504.353999999908</v>
      </c>
      <c r="G938" s="411"/>
      <c r="H938" s="411"/>
      <c r="I938" s="411"/>
      <c r="J938" s="411"/>
      <c r="K938" s="411"/>
      <c r="L938" s="411"/>
      <c r="M938" s="411"/>
      <c r="N938" s="411"/>
      <c r="O938" s="411"/>
      <c r="P938" s="411"/>
      <c r="Q938" s="411"/>
      <c r="R938" s="411"/>
      <c r="S938" s="411"/>
      <c r="T938" s="411"/>
    </row>
    <row r="939" spans="1:20" ht="15" thickBot="1" x14ac:dyDescent="0.4">
      <c r="A939" s="412">
        <v>3531.63</v>
      </c>
      <c r="B939" s="413">
        <v>1E-3</v>
      </c>
      <c r="C939" s="413">
        <v>6.3E-2</v>
      </c>
      <c r="D939" s="414">
        <f t="shared" si="29"/>
        <v>353.16300000000001</v>
      </c>
      <c r="E939" s="414"/>
      <c r="F939" s="415">
        <f t="shared" si="30"/>
        <v>-30151.190999999908</v>
      </c>
      <c r="G939" s="411"/>
      <c r="H939" s="411"/>
      <c r="I939" s="411"/>
      <c r="J939" s="411"/>
      <c r="K939" s="411"/>
      <c r="L939" s="411"/>
      <c r="M939" s="411"/>
      <c r="N939" s="411"/>
      <c r="O939" s="411"/>
      <c r="P939" s="411"/>
      <c r="Q939" s="411"/>
      <c r="R939" s="411"/>
      <c r="S939" s="411"/>
      <c r="T939" s="411"/>
    </row>
    <row r="940" spans="1:20" ht="15" thickBot="1" x14ac:dyDescent="0.4">
      <c r="A940" s="412">
        <v>3556.15</v>
      </c>
      <c r="B940" s="413">
        <v>1E-3</v>
      </c>
      <c r="C940" s="413">
        <v>6.2E-2</v>
      </c>
      <c r="D940" s="414">
        <f t="shared" si="29"/>
        <v>355.61500000000001</v>
      </c>
      <c r="E940" s="414"/>
      <c r="F940" s="415">
        <f t="shared" si="30"/>
        <v>-29795.575999999906</v>
      </c>
      <c r="G940" s="411"/>
      <c r="H940" s="411"/>
      <c r="I940" s="411"/>
      <c r="J940" s="411"/>
      <c r="K940" s="411"/>
      <c r="L940" s="411"/>
      <c r="M940" s="411"/>
      <c r="N940" s="411"/>
      <c r="O940" s="411"/>
      <c r="P940" s="411"/>
      <c r="Q940" s="411"/>
      <c r="R940" s="411"/>
      <c r="S940" s="411"/>
      <c r="T940" s="411"/>
    </row>
    <row r="941" spans="1:20" ht="15" thickBot="1" x14ac:dyDescent="0.4">
      <c r="A941" s="412">
        <v>3596.83</v>
      </c>
      <c r="B941" s="413">
        <v>1E-3</v>
      </c>
      <c r="C941" s="413">
        <v>6.0999999999999999E-2</v>
      </c>
      <c r="D941" s="414">
        <f t="shared" si="29"/>
        <v>359.68299999999999</v>
      </c>
      <c r="E941" s="414"/>
      <c r="F941" s="415">
        <f t="shared" si="30"/>
        <v>-29435.892999999905</v>
      </c>
      <c r="G941" s="411"/>
      <c r="H941" s="411"/>
      <c r="I941" s="411"/>
      <c r="J941" s="411"/>
      <c r="K941" s="411"/>
      <c r="L941" s="411"/>
      <c r="M941" s="411"/>
      <c r="N941" s="411"/>
      <c r="O941" s="411"/>
      <c r="P941" s="411"/>
      <c r="Q941" s="411"/>
      <c r="R941" s="411"/>
      <c r="S941" s="411"/>
      <c r="T941" s="411"/>
    </row>
    <row r="942" spans="1:20" ht="15" thickBot="1" x14ac:dyDescent="0.4">
      <c r="A942" s="412">
        <v>3599.58</v>
      </c>
      <c r="B942" s="413">
        <v>1E-3</v>
      </c>
      <c r="C942" s="413">
        <v>0.06</v>
      </c>
      <c r="D942" s="414">
        <f t="shared" si="29"/>
        <v>359.95799999999997</v>
      </c>
      <c r="E942" s="414"/>
      <c r="F942" s="415">
        <f t="shared" si="30"/>
        <v>-29075.934999999907</v>
      </c>
      <c r="G942" s="411"/>
      <c r="H942" s="411"/>
      <c r="I942" s="411"/>
      <c r="J942" s="411"/>
      <c r="K942" s="411"/>
      <c r="L942" s="411"/>
      <c r="M942" s="411"/>
      <c r="N942" s="411"/>
      <c r="O942" s="411"/>
      <c r="P942" s="411"/>
      <c r="Q942" s="411"/>
      <c r="R942" s="411"/>
      <c r="S942" s="411"/>
      <c r="T942" s="411"/>
    </row>
    <row r="943" spans="1:20" ht="15" thickBot="1" x14ac:dyDescent="0.4">
      <c r="A943" s="412">
        <v>3609.32</v>
      </c>
      <c r="B943" s="413">
        <v>1E-3</v>
      </c>
      <c r="C943" s="413">
        <v>5.8999999999999997E-2</v>
      </c>
      <c r="D943" s="414">
        <f t="shared" si="29"/>
        <v>360.93200000000002</v>
      </c>
      <c r="E943" s="414"/>
      <c r="F943" s="415">
        <f t="shared" si="30"/>
        <v>-28715.002999999906</v>
      </c>
      <c r="G943" s="411"/>
      <c r="H943" s="411"/>
      <c r="I943" s="411"/>
      <c r="J943" s="411"/>
      <c r="K943" s="411"/>
      <c r="L943" s="411"/>
      <c r="M943" s="411"/>
      <c r="N943" s="411"/>
      <c r="O943" s="411"/>
      <c r="P943" s="411"/>
      <c r="Q943" s="411"/>
      <c r="R943" s="411"/>
      <c r="S943" s="411"/>
      <c r="T943" s="411"/>
    </row>
    <row r="944" spans="1:20" ht="15" thickBot="1" x14ac:dyDescent="0.4">
      <c r="A944" s="412">
        <v>3614.19</v>
      </c>
      <c r="B944" s="413">
        <v>1E-3</v>
      </c>
      <c r="C944" s="413">
        <v>5.8000000000000003E-2</v>
      </c>
      <c r="D944" s="414">
        <f t="shared" si="29"/>
        <v>361.41900000000004</v>
      </c>
      <c r="E944" s="414"/>
      <c r="F944" s="415">
        <f t="shared" si="30"/>
        <v>-28353.583999999904</v>
      </c>
      <c r="G944" s="411"/>
      <c r="H944" s="411"/>
      <c r="I944" s="411"/>
      <c r="J944" s="411"/>
      <c r="K944" s="411"/>
      <c r="L944" s="411"/>
      <c r="M944" s="411"/>
      <c r="N944" s="411"/>
      <c r="O944" s="411"/>
      <c r="P944" s="411"/>
      <c r="Q944" s="411"/>
      <c r="R944" s="411"/>
      <c r="S944" s="411"/>
      <c r="T944" s="411"/>
    </row>
    <row r="945" spans="1:20" ht="15" thickBot="1" x14ac:dyDescent="0.4">
      <c r="A945" s="412">
        <v>3614.81</v>
      </c>
      <c r="B945" s="413">
        <v>1E-3</v>
      </c>
      <c r="C945" s="413">
        <v>5.7000000000000002E-2</v>
      </c>
      <c r="D945" s="414">
        <f t="shared" si="29"/>
        <v>361.48099999999999</v>
      </c>
      <c r="E945" s="414"/>
      <c r="F945" s="415">
        <f t="shared" si="30"/>
        <v>-27992.102999999905</v>
      </c>
      <c r="G945" s="411"/>
      <c r="H945" s="411"/>
      <c r="I945" s="411"/>
      <c r="J945" s="411"/>
      <c r="K945" s="411"/>
      <c r="L945" s="411"/>
      <c r="M945" s="411"/>
      <c r="N945" s="411"/>
      <c r="O945" s="411"/>
      <c r="P945" s="411"/>
      <c r="Q945" s="411"/>
      <c r="R945" s="411"/>
      <c r="S945" s="411"/>
      <c r="T945" s="411"/>
    </row>
    <row r="946" spans="1:20" ht="15" thickBot="1" x14ac:dyDescent="0.4">
      <c r="A946" s="412">
        <v>3615.93</v>
      </c>
      <c r="B946" s="413">
        <v>1E-3</v>
      </c>
      <c r="C946" s="413">
        <v>5.6000000000000001E-2</v>
      </c>
      <c r="D946" s="414">
        <f t="shared" si="29"/>
        <v>361.59300000000002</v>
      </c>
      <c r="E946" s="414"/>
      <c r="F946" s="415">
        <f t="shared" si="30"/>
        <v>-27630.509999999904</v>
      </c>
      <c r="G946" s="411"/>
      <c r="H946" s="411"/>
      <c r="I946" s="411"/>
      <c r="J946" s="411"/>
      <c r="K946" s="411"/>
      <c r="L946" s="411"/>
      <c r="M946" s="411"/>
      <c r="N946" s="411"/>
      <c r="O946" s="411"/>
      <c r="P946" s="411"/>
      <c r="Q946" s="411"/>
      <c r="R946" s="411"/>
      <c r="S946" s="411"/>
      <c r="T946" s="411"/>
    </row>
    <row r="947" spans="1:20" ht="15" thickBot="1" x14ac:dyDescent="0.4">
      <c r="A947" s="412">
        <v>3617.49</v>
      </c>
      <c r="B947" s="413">
        <v>1E-3</v>
      </c>
      <c r="C947" s="413">
        <v>5.5E-2</v>
      </c>
      <c r="D947" s="414">
        <f t="shared" si="29"/>
        <v>361.74899999999997</v>
      </c>
      <c r="E947" s="414"/>
      <c r="F947" s="415">
        <f t="shared" si="30"/>
        <v>-27268.760999999904</v>
      </c>
      <c r="G947" s="411"/>
      <c r="H947" s="411"/>
      <c r="I947" s="411"/>
      <c r="J947" s="411"/>
      <c r="K947" s="411"/>
      <c r="L947" s="411"/>
      <c r="M947" s="411"/>
      <c r="N947" s="411"/>
      <c r="O947" s="411"/>
      <c r="P947" s="411"/>
      <c r="Q947" s="411"/>
      <c r="R947" s="411"/>
      <c r="S947" s="411"/>
      <c r="T947" s="411"/>
    </row>
    <row r="948" spans="1:20" ht="15" thickBot="1" x14ac:dyDescent="0.4">
      <c r="A948" s="412">
        <v>3662.86</v>
      </c>
      <c r="B948" s="413">
        <v>1E-3</v>
      </c>
      <c r="C948" s="413">
        <v>5.3999999999999999E-2</v>
      </c>
      <c r="D948" s="414">
        <f t="shared" si="29"/>
        <v>366.286</v>
      </c>
      <c r="E948" s="414"/>
      <c r="F948" s="415">
        <f t="shared" si="30"/>
        <v>-26902.474999999904</v>
      </c>
      <c r="G948" s="411"/>
      <c r="H948" s="411"/>
      <c r="I948" s="411"/>
      <c r="J948" s="411"/>
      <c r="K948" s="411"/>
      <c r="L948" s="411"/>
      <c r="M948" s="411"/>
      <c r="N948" s="411"/>
      <c r="O948" s="411"/>
      <c r="P948" s="411"/>
      <c r="Q948" s="411"/>
      <c r="R948" s="411"/>
      <c r="S948" s="411"/>
      <c r="T948" s="411"/>
    </row>
    <row r="949" spans="1:20" ht="15" thickBot="1" x14ac:dyDescent="0.4">
      <c r="A949" s="412">
        <v>3663.08</v>
      </c>
      <c r="B949" s="413">
        <v>1E-3</v>
      </c>
      <c r="C949" s="413">
        <v>5.2999999999999999E-2</v>
      </c>
      <c r="D949" s="414">
        <f t="shared" si="29"/>
        <v>366.30799999999999</v>
      </c>
      <c r="E949" s="414"/>
      <c r="F949" s="415">
        <f t="shared" si="30"/>
        <v>-26536.166999999903</v>
      </c>
      <c r="G949" s="411"/>
      <c r="H949" s="411"/>
      <c r="I949" s="411"/>
      <c r="J949" s="411"/>
      <c r="K949" s="411"/>
      <c r="L949" s="411"/>
      <c r="M949" s="411"/>
      <c r="N949" s="411"/>
      <c r="O949" s="411"/>
      <c r="P949" s="411"/>
      <c r="Q949" s="411"/>
      <c r="R949" s="411"/>
      <c r="S949" s="411"/>
      <c r="T949" s="411"/>
    </row>
    <row r="950" spans="1:20" ht="15" thickBot="1" x14ac:dyDescent="0.4">
      <c r="A950" s="412">
        <v>3727.12</v>
      </c>
      <c r="B950" s="413">
        <v>1E-3</v>
      </c>
      <c r="C950" s="413">
        <v>5.1999999999999998E-2</v>
      </c>
      <c r="D950" s="414">
        <f t="shared" si="29"/>
        <v>372.71199999999999</v>
      </c>
      <c r="E950" s="414"/>
      <c r="F950" s="415">
        <f t="shared" si="30"/>
        <v>-26163.454999999904</v>
      </c>
      <c r="G950" s="411"/>
      <c r="H950" s="411"/>
      <c r="I950" s="411"/>
      <c r="J950" s="411"/>
      <c r="K950" s="411"/>
      <c r="L950" s="411"/>
      <c r="M950" s="411"/>
      <c r="N950" s="411"/>
      <c r="O950" s="411"/>
      <c r="P950" s="411"/>
      <c r="Q950" s="411"/>
      <c r="R950" s="411"/>
      <c r="S950" s="411"/>
      <c r="T950" s="411"/>
    </row>
    <row r="951" spans="1:20" ht="15" thickBot="1" x14ac:dyDescent="0.4">
      <c r="A951" s="412">
        <v>3875.43</v>
      </c>
      <c r="B951" s="413">
        <v>1E-3</v>
      </c>
      <c r="C951" s="413">
        <v>5.0999999999999997E-2</v>
      </c>
      <c r="D951" s="414">
        <f t="shared" si="29"/>
        <v>387.54299999999995</v>
      </c>
      <c r="E951" s="414"/>
      <c r="F951" s="415">
        <f t="shared" si="30"/>
        <v>-25775.911999999902</v>
      </c>
      <c r="G951" s="411"/>
      <c r="H951" s="411"/>
      <c r="I951" s="411"/>
      <c r="J951" s="411"/>
      <c r="K951" s="411"/>
      <c r="L951" s="411"/>
      <c r="M951" s="411"/>
      <c r="N951" s="411"/>
      <c r="O951" s="411"/>
      <c r="P951" s="411"/>
      <c r="Q951" s="411"/>
      <c r="R951" s="411"/>
      <c r="S951" s="411"/>
      <c r="T951" s="411"/>
    </row>
    <row r="952" spans="1:20" ht="15" thickBot="1" x14ac:dyDescent="0.4">
      <c r="A952" s="412">
        <v>3923.16</v>
      </c>
      <c r="B952" s="413">
        <v>1E-3</v>
      </c>
      <c r="C952" s="413">
        <v>0.05</v>
      </c>
      <c r="D952" s="414">
        <f t="shared" si="29"/>
        <v>392.31599999999997</v>
      </c>
      <c r="E952" s="414"/>
      <c r="F952" s="415">
        <f t="shared" si="30"/>
        <v>-25383.595999999903</v>
      </c>
      <c r="G952" s="411"/>
      <c r="H952" s="411"/>
      <c r="I952" s="411"/>
      <c r="J952" s="411"/>
      <c r="K952" s="411"/>
      <c r="L952" s="411"/>
      <c r="M952" s="411"/>
      <c r="N952" s="411"/>
      <c r="O952" s="411"/>
      <c r="P952" s="411"/>
      <c r="Q952" s="411"/>
      <c r="R952" s="411"/>
      <c r="S952" s="411"/>
      <c r="T952" s="411"/>
    </row>
    <row r="953" spans="1:20" ht="15" thickBot="1" x14ac:dyDescent="0.4">
      <c r="A953" s="412">
        <v>3963.28</v>
      </c>
      <c r="B953" s="413">
        <v>1E-3</v>
      </c>
      <c r="C953" s="413">
        <v>4.9000000000000002E-2</v>
      </c>
      <c r="D953" s="414">
        <f t="shared" si="29"/>
        <v>396.32800000000003</v>
      </c>
      <c r="E953" s="414"/>
      <c r="F953" s="415">
        <f t="shared" si="30"/>
        <v>-24987.267999999902</v>
      </c>
      <c r="G953" s="411"/>
      <c r="H953" s="411"/>
      <c r="I953" s="411"/>
      <c r="J953" s="411"/>
      <c r="K953" s="411"/>
      <c r="L953" s="411"/>
      <c r="M953" s="411"/>
      <c r="N953" s="411"/>
      <c r="O953" s="411"/>
      <c r="P953" s="411"/>
      <c r="Q953" s="411"/>
      <c r="R953" s="411"/>
      <c r="S953" s="411"/>
      <c r="T953" s="411"/>
    </row>
    <row r="954" spans="1:20" ht="15" thickBot="1" x14ac:dyDescent="0.4">
      <c r="A954" s="412">
        <v>4107.8999999999996</v>
      </c>
      <c r="B954" s="413">
        <v>1E-3</v>
      </c>
      <c r="C954" s="413">
        <v>4.8000000000000001E-2</v>
      </c>
      <c r="D954" s="414">
        <f t="shared" si="29"/>
        <v>410.78999999999996</v>
      </c>
      <c r="E954" s="414"/>
      <c r="F954" s="415">
        <f t="shared" si="30"/>
        <v>-24576.477999999901</v>
      </c>
      <c r="G954" s="411"/>
      <c r="H954" s="411"/>
      <c r="I954" s="411"/>
      <c r="J954" s="411"/>
      <c r="K954" s="411"/>
      <c r="L954" s="411"/>
      <c r="M954" s="411"/>
      <c r="N954" s="411"/>
      <c r="O954" s="411"/>
      <c r="P954" s="411"/>
      <c r="Q954" s="411"/>
      <c r="R954" s="411"/>
      <c r="S954" s="411"/>
      <c r="T954" s="411"/>
    </row>
    <row r="955" spans="1:20" ht="15" thickBot="1" x14ac:dyDescent="0.4">
      <c r="A955" s="412">
        <v>4116.3999999999996</v>
      </c>
      <c r="B955" s="413">
        <v>1E-3</v>
      </c>
      <c r="C955" s="413">
        <v>4.7E-2</v>
      </c>
      <c r="D955" s="414">
        <f t="shared" si="29"/>
        <v>411.63999999999993</v>
      </c>
      <c r="E955" s="414"/>
      <c r="F955" s="415">
        <f t="shared" si="30"/>
        <v>-24164.837999999902</v>
      </c>
      <c r="G955" s="411"/>
      <c r="H955" s="411"/>
      <c r="I955" s="411"/>
      <c r="J955" s="411"/>
      <c r="K955" s="411"/>
      <c r="L955" s="411"/>
      <c r="M955" s="411"/>
      <c r="N955" s="411"/>
      <c r="O955" s="411"/>
      <c r="P955" s="411"/>
      <c r="Q955" s="411"/>
      <c r="R955" s="411"/>
      <c r="S955" s="411"/>
      <c r="T955" s="411"/>
    </row>
    <row r="956" spans="1:20" ht="15" thickBot="1" x14ac:dyDescent="0.4">
      <c r="A956" s="412">
        <v>4143.99</v>
      </c>
      <c r="B956" s="413">
        <v>1E-3</v>
      </c>
      <c r="C956" s="413">
        <v>4.5999999999999999E-2</v>
      </c>
      <c r="D956" s="414">
        <f t="shared" si="29"/>
        <v>414.39899999999994</v>
      </c>
      <c r="E956" s="414"/>
      <c r="F956" s="415">
        <f t="shared" si="30"/>
        <v>-23750.4389999999</v>
      </c>
      <c r="G956" s="411"/>
      <c r="H956" s="411"/>
      <c r="I956" s="411"/>
      <c r="J956" s="411"/>
      <c r="K956" s="411"/>
      <c r="L956" s="411"/>
      <c r="M956" s="411"/>
      <c r="N956" s="411"/>
      <c r="O956" s="411"/>
      <c r="P956" s="411"/>
      <c r="Q956" s="411"/>
      <c r="R956" s="411"/>
      <c r="S956" s="411"/>
      <c r="T956" s="411"/>
    </row>
    <row r="957" spans="1:20" ht="15" thickBot="1" x14ac:dyDescent="0.4">
      <c r="A957" s="412">
        <v>4156.67</v>
      </c>
      <c r="B957" s="413">
        <v>1E-3</v>
      </c>
      <c r="C957" s="413">
        <v>4.4999999999999998E-2</v>
      </c>
      <c r="D957" s="414">
        <f t="shared" si="29"/>
        <v>415.66699999999997</v>
      </c>
      <c r="E957" s="414"/>
      <c r="F957" s="415">
        <f t="shared" si="30"/>
        <v>-23334.771999999899</v>
      </c>
      <c r="G957" s="411"/>
      <c r="H957" s="411"/>
      <c r="I957" s="411"/>
      <c r="J957" s="411"/>
      <c r="K957" s="411"/>
      <c r="L957" s="411"/>
      <c r="M957" s="411"/>
      <c r="N957" s="411"/>
      <c r="O957" s="411"/>
      <c r="P957" s="411"/>
      <c r="Q957" s="411"/>
      <c r="R957" s="411"/>
      <c r="S957" s="411"/>
      <c r="T957" s="411"/>
    </row>
    <row r="958" spans="1:20" ht="15" thickBot="1" x14ac:dyDescent="0.4">
      <c r="A958" s="412">
        <v>4164.6000000000004</v>
      </c>
      <c r="B958" s="413">
        <v>1E-3</v>
      </c>
      <c r="C958" s="413">
        <v>4.3999999999999997E-2</v>
      </c>
      <c r="D958" s="414">
        <f t="shared" si="29"/>
        <v>416.46</v>
      </c>
      <c r="E958" s="414"/>
      <c r="F958" s="415">
        <f t="shared" si="30"/>
        <v>-22918.3119999999</v>
      </c>
      <c r="G958" s="411"/>
      <c r="H958" s="411"/>
      <c r="I958" s="411"/>
      <c r="J958" s="411"/>
      <c r="K958" s="411"/>
      <c r="L958" s="411"/>
      <c r="M958" s="411"/>
      <c r="N958" s="411"/>
      <c r="O958" s="411"/>
      <c r="P958" s="411"/>
      <c r="Q958" s="411"/>
      <c r="R958" s="411"/>
      <c r="S958" s="411"/>
      <c r="T958" s="411"/>
    </row>
    <row r="959" spans="1:20" ht="15" thickBot="1" x14ac:dyDescent="0.4">
      <c r="A959" s="412">
        <v>4219.2</v>
      </c>
      <c r="B959" s="413">
        <v>1E-3</v>
      </c>
      <c r="C959" s="413">
        <v>4.2999999999999997E-2</v>
      </c>
      <c r="D959" s="414">
        <f t="shared" si="29"/>
        <v>421.91999999999996</v>
      </c>
      <c r="E959" s="414"/>
      <c r="F959" s="415">
        <f t="shared" si="30"/>
        <v>-22496.391999999902</v>
      </c>
      <c r="G959" s="411"/>
      <c r="H959" s="411"/>
      <c r="I959" s="411"/>
      <c r="J959" s="411"/>
      <c r="K959" s="411"/>
      <c r="L959" s="411"/>
      <c r="M959" s="411"/>
      <c r="N959" s="411"/>
      <c r="O959" s="411"/>
      <c r="P959" s="411"/>
      <c r="Q959" s="411"/>
      <c r="R959" s="411"/>
      <c r="S959" s="411"/>
      <c r="T959" s="411"/>
    </row>
    <row r="960" spans="1:20" ht="15" thickBot="1" x14ac:dyDescent="0.4">
      <c r="A960" s="412">
        <v>4247.91</v>
      </c>
      <c r="B960" s="413">
        <v>1E-3</v>
      </c>
      <c r="C960" s="413">
        <v>4.2000000000000003E-2</v>
      </c>
      <c r="D960" s="414">
        <f t="shared" si="29"/>
        <v>424.791</v>
      </c>
      <c r="E960" s="414"/>
      <c r="F960" s="415">
        <f t="shared" si="30"/>
        <v>-22071.600999999901</v>
      </c>
      <c r="G960" s="411"/>
      <c r="H960" s="411"/>
      <c r="I960" s="411"/>
      <c r="J960" s="411"/>
      <c r="K960" s="411"/>
      <c r="L960" s="411"/>
      <c r="M960" s="411"/>
      <c r="N960" s="411"/>
      <c r="O960" s="411"/>
      <c r="P960" s="411"/>
      <c r="Q960" s="411"/>
      <c r="R960" s="411"/>
      <c r="S960" s="411"/>
      <c r="T960" s="411"/>
    </row>
    <row r="961" spans="1:20" ht="15" thickBot="1" x14ac:dyDescent="0.4">
      <c r="A961" s="412">
        <v>4354.42</v>
      </c>
      <c r="B961" s="413">
        <v>1E-3</v>
      </c>
      <c r="C961" s="413">
        <v>4.1000000000000002E-2</v>
      </c>
      <c r="D961" s="414">
        <f t="shared" si="29"/>
        <v>435.44200000000001</v>
      </c>
      <c r="E961" s="414"/>
      <c r="F961" s="415">
        <f t="shared" si="30"/>
        <v>-21636.158999999901</v>
      </c>
      <c r="G961" s="411"/>
      <c r="H961" s="411"/>
      <c r="I961" s="411"/>
      <c r="J961" s="411"/>
      <c r="K961" s="411"/>
      <c r="L961" s="411"/>
      <c r="M961" s="411"/>
      <c r="N961" s="411"/>
      <c r="O961" s="411"/>
      <c r="P961" s="411"/>
      <c r="Q961" s="411"/>
      <c r="R961" s="411"/>
      <c r="S961" s="411"/>
      <c r="T961" s="411"/>
    </row>
    <row r="962" spans="1:20" ht="15" thickBot="1" x14ac:dyDescent="0.4">
      <c r="A962" s="412">
        <v>4374.2299999999996</v>
      </c>
      <c r="B962" s="413">
        <v>1E-3</v>
      </c>
      <c r="C962" s="413">
        <v>0.04</v>
      </c>
      <c r="D962" s="414">
        <f t="shared" ref="D962:D1001" si="31">A962*B962/1%</f>
        <v>437.423</v>
      </c>
      <c r="E962" s="414"/>
      <c r="F962" s="415">
        <f t="shared" si="30"/>
        <v>-21198.735999999903</v>
      </c>
      <c r="G962" s="411"/>
      <c r="H962" s="411"/>
      <c r="I962" s="411"/>
      <c r="J962" s="411"/>
      <c r="K962" s="411"/>
      <c r="L962" s="411"/>
      <c r="M962" s="411"/>
      <c r="N962" s="411"/>
      <c r="O962" s="411"/>
      <c r="P962" s="411"/>
      <c r="Q962" s="411"/>
      <c r="R962" s="411"/>
      <c r="S962" s="411"/>
      <c r="T962" s="411"/>
    </row>
    <row r="963" spans="1:20" ht="15" thickBot="1" x14ac:dyDescent="0.4">
      <c r="A963" s="412">
        <v>4418.8599999999997</v>
      </c>
      <c r="B963" s="413">
        <v>1E-3</v>
      </c>
      <c r="C963" s="413">
        <v>3.9E-2</v>
      </c>
      <c r="D963" s="414">
        <f t="shared" si="31"/>
        <v>441.88599999999997</v>
      </c>
      <c r="E963" s="414"/>
      <c r="F963" s="415">
        <f t="shared" ref="F963:F1001" si="32">F962+D963</f>
        <v>-20756.849999999904</v>
      </c>
      <c r="G963" s="411"/>
      <c r="H963" s="411"/>
      <c r="I963" s="411"/>
      <c r="J963" s="411"/>
      <c r="K963" s="411"/>
      <c r="L963" s="411"/>
      <c r="M963" s="411"/>
      <c r="N963" s="411"/>
      <c r="O963" s="411"/>
      <c r="P963" s="411"/>
      <c r="Q963" s="411"/>
      <c r="R963" s="411"/>
      <c r="S963" s="411"/>
      <c r="T963" s="411"/>
    </row>
    <row r="964" spans="1:20" ht="15" thickBot="1" x14ac:dyDescent="0.4">
      <c r="A964" s="412">
        <v>4439.29</v>
      </c>
      <c r="B964" s="413">
        <v>1E-3</v>
      </c>
      <c r="C964" s="413">
        <v>3.7999999999999999E-2</v>
      </c>
      <c r="D964" s="414">
        <f t="shared" si="31"/>
        <v>443.92899999999997</v>
      </c>
      <c r="E964" s="414"/>
      <c r="F964" s="415">
        <f t="shared" si="32"/>
        <v>-20312.920999999904</v>
      </c>
      <c r="G964" s="411"/>
      <c r="H964" s="411"/>
      <c r="I964" s="411"/>
      <c r="J964" s="411"/>
      <c r="K964" s="411"/>
      <c r="L964" s="411"/>
      <c r="M964" s="411"/>
      <c r="N964" s="411"/>
      <c r="O964" s="411"/>
      <c r="P964" s="411"/>
      <c r="Q964" s="411"/>
      <c r="R964" s="411"/>
      <c r="S964" s="411"/>
      <c r="T964" s="411"/>
    </row>
    <row r="965" spans="1:20" ht="15" thickBot="1" x14ac:dyDescent="0.4">
      <c r="A965" s="412">
        <v>4473.08</v>
      </c>
      <c r="B965" s="413">
        <v>1E-3</v>
      </c>
      <c r="C965" s="413">
        <v>3.6999999999999998E-2</v>
      </c>
      <c r="D965" s="414">
        <f t="shared" si="31"/>
        <v>447.30800000000005</v>
      </c>
      <c r="E965" s="414"/>
      <c r="F965" s="415">
        <f t="shared" si="32"/>
        <v>-19865.612999999903</v>
      </c>
      <c r="G965" s="411"/>
      <c r="H965" s="411"/>
      <c r="I965" s="411"/>
      <c r="J965" s="411"/>
      <c r="K965" s="411"/>
      <c r="L965" s="411"/>
      <c r="M965" s="411"/>
      <c r="N965" s="411"/>
      <c r="O965" s="411"/>
      <c r="P965" s="411"/>
      <c r="Q965" s="411"/>
      <c r="R965" s="411"/>
      <c r="S965" s="411"/>
      <c r="T965" s="411"/>
    </row>
    <row r="966" spans="1:20" ht="15" thickBot="1" x14ac:dyDescent="0.4">
      <c r="A966" s="412">
        <v>4525.5</v>
      </c>
      <c r="B966" s="413">
        <v>1E-3</v>
      </c>
      <c r="C966" s="413">
        <v>3.5999999999999997E-2</v>
      </c>
      <c r="D966" s="414">
        <f t="shared" si="31"/>
        <v>452.55</v>
      </c>
      <c r="E966" s="414"/>
      <c r="F966" s="415">
        <f t="shared" si="32"/>
        <v>-19413.062999999904</v>
      </c>
      <c r="G966" s="411"/>
      <c r="H966" s="411"/>
      <c r="I966" s="411"/>
      <c r="J966" s="411"/>
      <c r="K966" s="411"/>
      <c r="L966" s="411"/>
      <c r="M966" s="411"/>
      <c r="N966" s="411"/>
      <c r="O966" s="411"/>
      <c r="P966" s="411"/>
      <c r="Q966" s="411"/>
      <c r="R966" s="411"/>
      <c r="S966" s="411"/>
      <c r="T966" s="411"/>
    </row>
    <row r="967" spans="1:20" ht="15" thickBot="1" x14ac:dyDescent="0.4">
      <c r="A967" s="412">
        <v>4597.2700000000004</v>
      </c>
      <c r="B967" s="413">
        <v>1E-3</v>
      </c>
      <c r="C967" s="413">
        <v>3.5000000000000003E-2</v>
      </c>
      <c r="D967" s="414">
        <f t="shared" si="31"/>
        <v>459.72700000000009</v>
      </c>
      <c r="E967" s="414"/>
      <c r="F967" s="415">
        <f t="shared" si="32"/>
        <v>-18953.335999999905</v>
      </c>
      <c r="G967" s="411"/>
      <c r="H967" s="411"/>
      <c r="I967" s="411"/>
      <c r="J967" s="411"/>
      <c r="K967" s="411"/>
      <c r="L967" s="411"/>
      <c r="M967" s="411"/>
      <c r="N967" s="411"/>
      <c r="O967" s="411"/>
      <c r="P967" s="411"/>
      <c r="Q967" s="411"/>
      <c r="R967" s="411"/>
      <c r="S967" s="411"/>
      <c r="T967" s="411"/>
    </row>
    <row r="968" spans="1:20" ht="15" thickBot="1" x14ac:dyDescent="0.4">
      <c r="A968" s="412">
        <v>4609.51</v>
      </c>
      <c r="B968" s="413">
        <v>1E-3</v>
      </c>
      <c r="C968" s="413">
        <v>3.4000000000000002E-2</v>
      </c>
      <c r="D968" s="414">
        <f t="shared" si="31"/>
        <v>460.95100000000002</v>
      </c>
      <c r="E968" s="414"/>
      <c r="F968" s="415">
        <f t="shared" si="32"/>
        <v>-18492.384999999904</v>
      </c>
      <c r="G968" s="411"/>
      <c r="H968" s="411"/>
      <c r="I968" s="411"/>
      <c r="J968" s="411"/>
      <c r="K968" s="411"/>
      <c r="L968" s="411"/>
      <c r="M968" s="411"/>
      <c r="N968" s="411"/>
      <c r="O968" s="411"/>
      <c r="P968" s="411"/>
      <c r="Q968" s="411"/>
      <c r="R968" s="411"/>
      <c r="S968" s="411"/>
      <c r="T968" s="411"/>
    </row>
    <row r="969" spans="1:20" ht="15" thickBot="1" x14ac:dyDescent="0.4">
      <c r="A969" s="412">
        <v>4610.5200000000004</v>
      </c>
      <c r="B969" s="413">
        <v>1E-3</v>
      </c>
      <c r="C969" s="413">
        <v>3.3000000000000002E-2</v>
      </c>
      <c r="D969" s="414">
        <f t="shared" si="31"/>
        <v>461.05200000000002</v>
      </c>
      <c r="E969" s="414"/>
      <c r="F969" s="415">
        <f t="shared" si="32"/>
        <v>-18031.332999999904</v>
      </c>
      <c r="G969" s="411"/>
      <c r="H969" s="411"/>
      <c r="I969" s="411"/>
      <c r="J969" s="411"/>
      <c r="K969" s="411"/>
      <c r="L969" s="411"/>
      <c r="M969" s="411"/>
      <c r="N969" s="411"/>
      <c r="O969" s="411"/>
      <c r="P969" s="411"/>
      <c r="Q969" s="411"/>
      <c r="R969" s="411"/>
      <c r="S969" s="411"/>
      <c r="T969" s="411"/>
    </row>
    <row r="970" spans="1:20" ht="15" thickBot="1" x14ac:dyDescent="0.4">
      <c r="A970" s="412">
        <v>4633.42</v>
      </c>
      <c r="B970" s="413">
        <v>1E-3</v>
      </c>
      <c r="C970" s="413">
        <v>3.2000000000000001E-2</v>
      </c>
      <c r="D970" s="414">
        <f t="shared" si="31"/>
        <v>463.34199999999998</v>
      </c>
      <c r="E970" s="414"/>
      <c r="F970" s="415">
        <f t="shared" si="32"/>
        <v>-17567.990999999904</v>
      </c>
      <c r="G970" s="411"/>
      <c r="H970" s="411"/>
      <c r="I970" s="411"/>
      <c r="J970" s="411"/>
      <c r="K970" s="411"/>
      <c r="L970" s="411"/>
      <c r="M970" s="411"/>
      <c r="N970" s="411"/>
      <c r="O970" s="411"/>
      <c r="P970" s="411"/>
      <c r="Q970" s="411"/>
      <c r="R970" s="411"/>
      <c r="S970" s="411"/>
      <c r="T970" s="411"/>
    </row>
    <row r="971" spans="1:20" ht="15" thickBot="1" x14ac:dyDescent="0.4">
      <c r="A971" s="412">
        <v>4830.9399999999996</v>
      </c>
      <c r="B971" s="413">
        <v>1E-3</v>
      </c>
      <c r="C971" s="413">
        <v>3.1E-2</v>
      </c>
      <c r="D971" s="414">
        <f t="shared" si="31"/>
        <v>483.09399999999999</v>
      </c>
      <c r="E971" s="414"/>
      <c r="F971" s="415">
        <f t="shared" si="32"/>
        <v>-17084.896999999903</v>
      </c>
      <c r="G971" s="411"/>
      <c r="H971" s="411"/>
      <c r="I971" s="411"/>
      <c r="J971" s="411"/>
      <c r="K971" s="411"/>
      <c r="L971" s="411"/>
      <c r="M971" s="411"/>
      <c r="N971" s="411"/>
      <c r="O971" s="411"/>
      <c r="P971" s="411"/>
      <c r="Q971" s="411"/>
      <c r="R971" s="411"/>
      <c r="S971" s="411"/>
      <c r="T971" s="411"/>
    </row>
    <row r="972" spans="1:20" ht="15" thickBot="1" x14ac:dyDescent="0.4">
      <c r="A972" s="412">
        <v>4986.8900000000003</v>
      </c>
      <c r="B972" s="413">
        <v>1E-3</v>
      </c>
      <c r="C972" s="413">
        <v>0.03</v>
      </c>
      <c r="D972" s="414">
        <f t="shared" si="31"/>
        <v>498.68900000000008</v>
      </c>
      <c r="E972" s="414"/>
      <c r="F972" s="415">
        <f t="shared" si="32"/>
        <v>-16586.207999999904</v>
      </c>
      <c r="G972" s="411"/>
      <c r="H972" s="411"/>
      <c r="I972" s="411"/>
      <c r="J972" s="411"/>
      <c r="K972" s="411"/>
      <c r="L972" s="411"/>
      <c r="M972" s="411"/>
      <c r="N972" s="411"/>
      <c r="O972" s="411"/>
      <c r="P972" s="411"/>
      <c r="Q972" s="411"/>
      <c r="R972" s="411"/>
      <c r="S972" s="411"/>
      <c r="T972" s="411"/>
    </row>
    <row r="973" spans="1:20" ht="15" thickBot="1" x14ac:dyDescent="0.4">
      <c r="A973" s="412">
        <v>5035.87</v>
      </c>
      <c r="B973" s="413">
        <v>1E-3</v>
      </c>
      <c r="C973" s="413">
        <v>2.9000000000000001E-2</v>
      </c>
      <c r="D973" s="414">
        <f t="shared" si="31"/>
        <v>503.58699999999999</v>
      </c>
      <c r="E973" s="414"/>
      <c r="F973" s="415">
        <f t="shared" si="32"/>
        <v>-16082.620999999905</v>
      </c>
      <c r="G973" s="411"/>
      <c r="H973" s="411"/>
      <c r="I973" s="411"/>
      <c r="J973" s="411"/>
      <c r="K973" s="411"/>
      <c r="L973" s="411"/>
      <c r="M973" s="411"/>
      <c r="N973" s="411"/>
      <c r="O973" s="411"/>
      <c r="P973" s="411"/>
      <c r="Q973" s="411"/>
      <c r="R973" s="411"/>
      <c r="S973" s="411"/>
      <c r="T973" s="411"/>
    </row>
    <row r="974" spans="1:20" ht="15" thickBot="1" x14ac:dyDescent="0.4">
      <c r="A974" s="412">
        <v>5094.51</v>
      </c>
      <c r="B974" s="413">
        <v>1E-3</v>
      </c>
      <c r="C974" s="413">
        <v>2.8000000000000001E-2</v>
      </c>
      <c r="D974" s="414">
        <f t="shared" si="31"/>
        <v>509.45100000000002</v>
      </c>
      <c r="E974" s="414"/>
      <c r="F974" s="415">
        <f t="shared" si="32"/>
        <v>-15573.169999999904</v>
      </c>
      <c r="G974" s="411"/>
      <c r="H974" s="411"/>
      <c r="I974" s="411"/>
      <c r="J974" s="411"/>
      <c r="K974" s="411"/>
      <c r="L974" s="411"/>
      <c r="M974" s="411"/>
      <c r="N974" s="411"/>
      <c r="O974" s="411"/>
      <c r="P974" s="411"/>
      <c r="Q974" s="411"/>
      <c r="R974" s="411"/>
      <c r="S974" s="411"/>
      <c r="T974" s="411"/>
    </row>
    <row r="975" spans="1:20" ht="15" thickBot="1" x14ac:dyDescent="0.4">
      <c r="A975" s="412">
        <v>5131.49</v>
      </c>
      <c r="B975" s="413">
        <v>1E-3</v>
      </c>
      <c r="C975" s="413">
        <v>2.7E-2</v>
      </c>
      <c r="D975" s="414">
        <f t="shared" si="31"/>
        <v>513.149</v>
      </c>
      <c r="E975" s="414"/>
      <c r="F975" s="415">
        <f t="shared" si="32"/>
        <v>-15060.020999999904</v>
      </c>
      <c r="G975" s="411"/>
      <c r="H975" s="411"/>
      <c r="I975" s="411"/>
      <c r="J975" s="411"/>
      <c r="K975" s="411"/>
      <c r="L975" s="411"/>
      <c r="M975" s="411"/>
      <c r="N975" s="411"/>
      <c r="O975" s="411"/>
      <c r="P975" s="411"/>
      <c r="Q975" s="411"/>
      <c r="R975" s="411"/>
      <c r="S975" s="411"/>
      <c r="T975" s="411"/>
    </row>
    <row r="976" spans="1:20" ht="15" thickBot="1" x14ac:dyDescent="0.4">
      <c r="A976" s="412">
        <v>5183.83</v>
      </c>
      <c r="B976" s="413">
        <v>1E-3</v>
      </c>
      <c r="C976" s="413">
        <v>2.5999999999999999E-2</v>
      </c>
      <c r="D976" s="414">
        <f t="shared" si="31"/>
        <v>518.38300000000004</v>
      </c>
      <c r="E976" s="414"/>
      <c r="F976" s="415">
        <f t="shared" si="32"/>
        <v>-14541.637999999904</v>
      </c>
      <c r="G976" s="411"/>
      <c r="H976" s="411"/>
      <c r="I976" s="411"/>
      <c r="J976" s="411"/>
      <c r="K976" s="411"/>
      <c r="L976" s="411"/>
      <c r="M976" s="411"/>
      <c r="N976" s="411"/>
      <c r="O976" s="411"/>
      <c r="P976" s="411"/>
      <c r="Q976" s="411"/>
      <c r="R976" s="411"/>
      <c r="S976" s="411"/>
      <c r="T976" s="411"/>
    </row>
    <row r="977" spans="1:20" ht="15" thickBot="1" x14ac:dyDescent="0.4">
      <c r="A977" s="412">
        <v>5215.76</v>
      </c>
      <c r="B977" s="413">
        <v>1E-3</v>
      </c>
      <c r="C977" s="413">
        <v>2.5000000000000001E-2</v>
      </c>
      <c r="D977" s="414">
        <f t="shared" si="31"/>
        <v>521.57600000000002</v>
      </c>
      <c r="E977" s="414"/>
      <c r="F977" s="415">
        <f t="shared" si="32"/>
        <v>-14020.061999999903</v>
      </c>
      <c r="G977" s="411"/>
      <c r="H977" s="411"/>
      <c r="I977" s="411"/>
      <c r="J977" s="411"/>
      <c r="K977" s="411"/>
      <c r="L977" s="411"/>
      <c r="M977" s="411"/>
      <c r="N977" s="411"/>
      <c r="O977" s="411"/>
      <c r="P977" s="411"/>
      <c r="Q977" s="411"/>
      <c r="R977" s="411"/>
      <c r="S977" s="411"/>
      <c r="T977" s="411"/>
    </row>
    <row r="978" spans="1:20" ht="15" thickBot="1" x14ac:dyDescent="0.4">
      <c r="A978" s="412">
        <v>5229.8</v>
      </c>
      <c r="B978" s="413">
        <v>1E-3</v>
      </c>
      <c r="C978" s="413">
        <v>2.4E-2</v>
      </c>
      <c r="D978" s="414">
        <f t="shared" si="31"/>
        <v>522.98</v>
      </c>
      <c r="E978" s="414"/>
      <c r="F978" s="415">
        <f t="shared" si="32"/>
        <v>-13497.081999999904</v>
      </c>
      <c r="G978" s="411"/>
      <c r="H978" s="411"/>
      <c r="I978" s="411"/>
      <c r="J978" s="411"/>
      <c r="K978" s="411"/>
      <c r="L978" s="411"/>
      <c r="M978" s="411"/>
      <c r="N978" s="411"/>
      <c r="O978" s="411"/>
      <c r="P978" s="411"/>
      <c r="Q978" s="411"/>
      <c r="R978" s="411"/>
      <c r="S978" s="411"/>
      <c r="T978" s="411"/>
    </row>
    <row r="979" spans="1:20" ht="15" thickBot="1" x14ac:dyDescent="0.4">
      <c r="A979" s="412">
        <v>5240.37</v>
      </c>
      <c r="B979" s="413">
        <v>1E-3</v>
      </c>
      <c r="C979" s="413">
        <v>2.3E-2</v>
      </c>
      <c r="D979" s="414">
        <f t="shared" si="31"/>
        <v>524.03700000000003</v>
      </c>
      <c r="E979" s="414"/>
      <c r="F979" s="415">
        <f t="shared" si="32"/>
        <v>-12973.044999999904</v>
      </c>
      <c r="G979" s="411"/>
      <c r="H979" s="411"/>
      <c r="I979" s="411"/>
      <c r="J979" s="411"/>
      <c r="K979" s="411"/>
      <c r="L979" s="411"/>
      <c r="M979" s="411"/>
      <c r="N979" s="411"/>
      <c r="O979" s="411"/>
      <c r="P979" s="411"/>
      <c r="Q979" s="411"/>
      <c r="R979" s="411"/>
      <c r="S979" s="411"/>
      <c r="T979" s="411"/>
    </row>
    <row r="980" spans="1:20" ht="15" thickBot="1" x14ac:dyDescent="0.4">
      <c r="A980" s="412">
        <v>5262.83</v>
      </c>
      <c r="B980" s="413">
        <v>1E-3</v>
      </c>
      <c r="C980" s="413">
        <v>2.1999999999999999E-2</v>
      </c>
      <c r="D980" s="414">
        <f t="shared" si="31"/>
        <v>526.28300000000002</v>
      </c>
      <c r="E980" s="414"/>
      <c r="F980" s="415">
        <f t="shared" si="32"/>
        <v>-12446.761999999904</v>
      </c>
      <c r="G980" s="411"/>
      <c r="H980" s="411"/>
      <c r="I980" s="411"/>
      <c r="J980" s="411"/>
      <c r="K980" s="411"/>
      <c r="L980" s="411"/>
      <c r="M980" s="411"/>
      <c r="N980" s="411"/>
      <c r="O980" s="411"/>
      <c r="P980" s="411"/>
      <c r="Q980" s="411"/>
      <c r="R980" s="411"/>
      <c r="S980" s="411"/>
      <c r="T980" s="411"/>
    </row>
    <row r="981" spans="1:20" ht="15" thickBot="1" x14ac:dyDescent="0.4">
      <c r="A981" s="412">
        <v>5294.21</v>
      </c>
      <c r="B981" s="413">
        <v>1E-3</v>
      </c>
      <c r="C981" s="413">
        <v>2.1000000000000001E-2</v>
      </c>
      <c r="D981" s="414">
        <f t="shared" si="31"/>
        <v>529.42100000000005</v>
      </c>
      <c r="E981" s="414"/>
      <c r="F981" s="415">
        <f t="shared" si="32"/>
        <v>-11917.340999999904</v>
      </c>
      <c r="G981" s="411"/>
      <c r="H981" s="411"/>
      <c r="I981" s="411"/>
      <c r="J981" s="411"/>
      <c r="K981" s="411"/>
      <c r="L981" s="411"/>
      <c r="M981" s="411"/>
      <c r="N981" s="411"/>
      <c r="O981" s="411"/>
      <c r="P981" s="411"/>
      <c r="Q981" s="411"/>
      <c r="R981" s="411"/>
      <c r="S981" s="411"/>
      <c r="T981" s="411"/>
    </row>
    <row r="982" spans="1:20" ht="15" thickBot="1" x14ac:dyDescent="0.4">
      <c r="A982" s="412">
        <v>5392.33</v>
      </c>
      <c r="B982" s="413">
        <v>1E-3</v>
      </c>
      <c r="C982" s="413">
        <v>0.02</v>
      </c>
      <c r="D982" s="414">
        <f t="shared" si="31"/>
        <v>539.23300000000006</v>
      </c>
      <c r="E982" s="414"/>
      <c r="F982" s="415">
        <f t="shared" si="32"/>
        <v>-11378.107999999904</v>
      </c>
      <c r="G982" s="411"/>
      <c r="H982" s="411"/>
      <c r="I982" s="411"/>
      <c r="J982" s="411"/>
      <c r="K982" s="411"/>
      <c r="L982" s="411"/>
      <c r="M982" s="411"/>
      <c r="N982" s="411"/>
      <c r="O982" s="411"/>
      <c r="P982" s="411"/>
      <c r="Q982" s="411"/>
      <c r="R982" s="411"/>
      <c r="S982" s="411"/>
      <c r="T982" s="411"/>
    </row>
    <row r="983" spans="1:20" ht="15" thickBot="1" x14ac:dyDescent="0.4">
      <c r="A983" s="412">
        <v>5484.63</v>
      </c>
      <c r="B983" s="413">
        <v>1E-3</v>
      </c>
      <c r="C983" s="413">
        <v>1.9E-2</v>
      </c>
      <c r="D983" s="414">
        <f t="shared" si="31"/>
        <v>548.46299999999997</v>
      </c>
      <c r="E983" s="414"/>
      <c r="F983" s="415">
        <f t="shared" si="32"/>
        <v>-10829.644999999904</v>
      </c>
      <c r="G983" s="411"/>
      <c r="H983" s="411"/>
      <c r="I983" s="411"/>
      <c r="J983" s="411"/>
      <c r="K983" s="411"/>
      <c r="L983" s="411"/>
      <c r="M983" s="411"/>
      <c r="N983" s="411"/>
      <c r="O983" s="411"/>
      <c r="P983" s="411"/>
      <c r="Q983" s="411"/>
      <c r="R983" s="411"/>
      <c r="S983" s="411"/>
      <c r="T983" s="411"/>
    </row>
    <row r="984" spans="1:20" ht="15" thickBot="1" x14ac:dyDescent="0.4">
      <c r="A984" s="412">
        <v>5530.88</v>
      </c>
      <c r="B984" s="413">
        <v>1E-3</v>
      </c>
      <c r="C984" s="413">
        <v>1.7999999999999999E-2</v>
      </c>
      <c r="D984" s="414">
        <f t="shared" si="31"/>
        <v>553.08799999999997</v>
      </c>
      <c r="E984" s="414"/>
      <c r="F984" s="415">
        <f t="shared" si="32"/>
        <v>-10276.556999999904</v>
      </c>
      <c r="G984" s="411"/>
      <c r="H984" s="411"/>
      <c r="I984" s="411"/>
      <c r="J984" s="411"/>
      <c r="K984" s="411"/>
      <c r="L984" s="411"/>
      <c r="M984" s="411"/>
      <c r="N984" s="411"/>
      <c r="O984" s="411"/>
      <c r="P984" s="411"/>
      <c r="Q984" s="411"/>
      <c r="R984" s="411"/>
      <c r="S984" s="411"/>
      <c r="T984" s="411"/>
    </row>
    <row r="985" spans="1:20" ht="15" thickBot="1" x14ac:dyDescent="0.4">
      <c r="A985" s="412">
        <v>5593.89</v>
      </c>
      <c r="B985" s="413">
        <v>1E-3</v>
      </c>
      <c r="C985" s="413">
        <v>1.7000000000000001E-2</v>
      </c>
      <c r="D985" s="414">
        <f t="shared" si="31"/>
        <v>559.38900000000001</v>
      </c>
      <c r="E985" s="414"/>
      <c r="F985" s="415">
        <f t="shared" si="32"/>
        <v>-9717.1679999999051</v>
      </c>
      <c r="G985" s="411"/>
      <c r="H985" s="411"/>
      <c r="I985" s="411"/>
      <c r="J985" s="411"/>
      <c r="K985" s="411"/>
      <c r="L985" s="411"/>
      <c r="M985" s="411"/>
      <c r="N985" s="411"/>
      <c r="O985" s="411"/>
      <c r="P985" s="411"/>
      <c r="Q985" s="411"/>
      <c r="R985" s="411"/>
      <c r="S985" s="411"/>
      <c r="T985" s="411"/>
    </row>
    <row r="986" spans="1:20" ht="15" thickBot="1" x14ac:dyDescent="0.4">
      <c r="A986" s="412">
        <v>5821.06</v>
      </c>
      <c r="B986" s="413">
        <v>1E-3</v>
      </c>
      <c r="C986" s="413">
        <v>1.6E-2</v>
      </c>
      <c r="D986" s="414">
        <f t="shared" si="31"/>
        <v>582.10599999999999</v>
      </c>
      <c r="E986" s="414"/>
      <c r="F986" s="415">
        <f t="shared" si="32"/>
        <v>-9135.0619999999053</v>
      </c>
      <c r="G986" s="411"/>
      <c r="H986" s="411"/>
      <c r="I986" s="411"/>
      <c r="J986" s="411"/>
      <c r="K986" s="411"/>
      <c r="L986" s="411"/>
      <c r="M986" s="411"/>
      <c r="N986" s="411"/>
      <c r="O986" s="411"/>
      <c r="P986" s="411"/>
      <c r="Q986" s="411"/>
      <c r="R986" s="411"/>
      <c r="S986" s="411"/>
      <c r="T986" s="411"/>
    </row>
    <row r="987" spans="1:20" ht="15" thickBot="1" x14ac:dyDescent="0.4">
      <c r="A987" s="412">
        <v>5977.54</v>
      </c>
      <c r="B987" s="413">
        <v>1E-3</v>
      </c>
      <c r="C987" s="413">
        <v>1.4999999999999999E-2</v>
      </c>
      <c r="D987" s="414">
        <f t="shared" si="31"/>
        <v>597.75400000000002</v>
      </c>
      <c r="E987" s="414"/>
      <c r="F987" s="415">
        <f t="shared" si="32"/>
        <v>-8537.3079999999045</v>
      </c>
      <c r="G987" s="411"/>
      <c r="H987" s="411"/>
      <c r="I987" s="411"/>
      <c r="J987" s="411"/>
      <c r="K987" s="411"/>
      <c r="L987" s="411"/>
      <c r="M987" s="411"/>
      <c r="N987" s="411"/>
      <c r="O987" s="411"/>
      <c r="P987" s="411"/>
      <c r="Q987" s="411"/>
      <c r="R987" s="411"/>
      <c r="S987" s="411"/>
      <c r="T987" s="411"/>
    </row>
    <row r="988" spans="1:20" ht="15" thickBot="1" x14ac:dyDescent="0.4">
      <c r="A988" s="412">
        <v>6174.28</v>
      </c>
      <c r="B988" s="413">
        <v>1E-3</v>
      </c>
      <c r="C988" s="413">
        <v>1.4E-2</v>
      </c>
      <c r="D988" s="414">
        <f t="shared" si="31"/>
        <v>617.428</v>
      </c>
      <c r="E988" s="414"/>
      <c r="F988" s="415">
        <f t="shared" si="32"/>
        <v>-7919.8799999999046</v>
      </c>
      <c r="G988" s="411"/>
      <c r="H988" s="411"/>
      <c r="I988" s="411"/>
      <c r="J988" s="411"/>
      <c r="K988" s="411"/>
      <c r="L988" s="411"/>
      <c r="M988" s="411"/>
      <c r="N988" s="411"/>
      <c r="O988" s="411"/>
      <c r="P988" s="411"/>
      <c r="Q988" s="411"/>
      <c r="R988" s="411"/>
      <c r="S988" s="411"/>
      <c r="T988" s="411"/>
    </row>
    <row r="989" spans="1:20" ht="15" thickBot="1" x14ac:dyDescent="0.4">
      <c r="A989" s="412">
        <v>6429.26</v>
      </c>
      <c r="B989" s="413">
        <v>1E-3</v>
      </c>
      <c r="C989" s="413">
        <v>1.2999999999999999E-2</v>
      </c>
      <c r="D989" s="414">
        <f t="shared" si="31"/>
        <v>642.92600000000004</v>
      </c>
      <c r="E989" s="414"/>
      <c r="F989" s="415">
        <f t="shared" si="32"/>
        <v>-7276.9539999999042</v>
      </c>
      <c r="G989" s="411"/>
      <c r="H989" s="411"/>
      <c r="I989" s="411"/>
      <c r="J989" s="411"/>
      <c r="K989" s="411"/>
      <c r="L989" s="411"/>
      <c r="M989" s="411"/>
      <c r="N989" s="411"/>
      <c r="O989" s="411"/>
      <c r="P989" s="411"/>
      <c r="Q989" s="411"/>
      <c r="R989" s="411"/>
      <c r="S989" s="411"/>
      <c r="T989" s="411"/>
    </row>
    <row r="990" spans="1:20" ht="15" thickBot="1" x14ac:dyDescent="0.4">
      <c r="A990" s="412">
        <v>6547.89</v>
      </c>
      <c r="B990" s="413">
        <v>1E-3</v>
      </c>
      <c r="C990" s="413">
        <v>1.2E-2</v>
      </c>
      <c r="D990" s="414">
        <f t="shared" si="31"/>
        <v>654.7890000000001</v>
      </c>
      <c r="E990" s="414"/>
      <c r="F990" s="415">
        <f t="shared" si="32"/>
        <v>-6622.1649999999045</v>
      </c>
      <c r="G990" s="411"/>
      <c r="H990" s="411"/>
      <c r="I990" s="411"/>
      <c r="J990" s="411"/>
      <c r="K990" s="411"/>
      <c r="L990" s="411"/>
      <c r="M990" s="411"/>
      <c r="N990" s="411"/>
      <c r="O990" s="411"/>
      <c r="P990" s="411"/>
      <c r="Q990" s="411"/>
      <c r="R990" s="411"/>
      <c r="S990" s="411"/>
      <c r="T990" s="411"/>
    </row>
    <row r="991" spans="1:20" ht="15" thickBot="1" x14ac:dyDescent="0.4">
      <c r="A991" s="412">
        <v>6898.18</v>
      </c>
      <c r="B991" s="413">
        <v>1E-3</v>
      </c>
      <c r="C991" s="413">
        <v>1.0999999999999999E-2</v>
      </c>
      <c r="D991" s="414">
        <f t="shared" si="31"/>
        <v>689.8180000000001</v>
      </c>
      <c r="E991" s="414"/>
      <c r="F991" s="415">
        <f t="shared" si="32"/>
        <v>-5932.3469999999043</v>
      </c>
      <c r="G991" s="411"/>
      <c r="H991" s="411"/>
      <c r="I991" s="411"/>
      <c r="J991" s="411"/>
      <c r="K991" s="411"/>
      <c r="L991" s="411"/>
      <c r="M991" s="411"/>
      <c r="N991" s="411"/>
      <c r="O991" s="411"/>
      <c r="P991" s="411"/>
      <c r="Q991" s="411"/>
      <c r="R991" s="411"/>
      <c r="S991" s="411"/>
      <c r="T991" s="411"/>
    </row>
    <row r="992" spans="1:20" ht="15" thickBot="1" x14ac:dyDescent="0.4">
      <c r="A992" s="412">
        <v>7116.64</v>
      </c>
      <c r="B992" s="413">
        <v>1E-3</v>
      </c>
      <c r="C992" s="413">
        <v>0.01</v>
      </c>
      <c r="D992" s="414">
        <f t="shared" si="31"/>
        <v>711.66399999999999</v>
      </c>
      <c r="E992" s="414"/>
      <c r="F992" s="415">
        <f t="shared" si="32"/>
        <v>-5220.6829999999045</v>
      </c>
      <c r="G992" s="411"/>
      <c r="H992" s="411"/>
      <c r="I992" s="411"/>
      <c r="J992" s="411"/>
      <c r="K992" s="411"/>
      <c r="L992" s="411"/>
      <c r="M992" s="411"/>
      <c r="N992" s="411"/>
      <c r="O992" s="411"/>
      <c r="P992" s="411"/>
      <c r="Q992" s="411"/>
      <c r="R992" s="411"/>
      <c r="S992" s="411"/>
      <c r="T992" s="411"/>
    </row>
    <row r="993" spans="1:20" ht="15" thickBot="1" x14ac:dyDescent="0.4">
      <c r="A993" s="412">
        <v>7247.46</v>
      </c>
      <c r="B993" s="413">
        <v>1E-3</v>
      </c>
      <c r="C993" s="413">
        <v>8.9999999999999993E-3</v>
      </c>
      <c r="D993" s="414">
        <f t="shared" si="31"/>
        <v>724.74599999999998</v>
      </c>
      <c r="E993" s="414"/>
      <c r="F993" s="415">
        <f t="shared" si="32"/>
        <v>-4495.9369999999044</v>
      </c>
      <c r="G993" s="411"/>
      <c r="H993" s="411"/>
      <c r="I993" s="411"/>
      <c r="J993" s="411"/>
      <c r="K993" s="411"/>
      <c r="L993" s="411"/>
      <c r="M993" s="411"/>
      <c r="N993" s="411"/>
      <c r="O993" s="411"/>
      <c r="P993" s="411"/>
      <c r="Q993" s="411"/>
      <c r="R993" s="411"/>
      <c r="S993" s="411"/>
      <c r="T993" s="411"/>
    </row>
    <row r="994" spans="1:20" ht="15" thickBot="1" x14ac:dyDescent="0.4">
      <c r="A994" s="412">
        <v>7410.28</v>
      </c>
      <c r="B994" s="413">
        <v>1E-3</v>
      </c>
      <c r="C994" s="413">
        <v>8.0000000000000002E-3</v>
      </c>
      <c r="D994" s="414">
        <f t="shared" si="31"/>
        <v>741.02800000000002</v>
      </c>
      <c r="E994" s="414"/>
      <c r="F994" s="415">
        <f t="shared" si="32"/>
        <v>-3754.9089999999042</v>
      </c>
      <c r="G994" s="411"/>
      <c r="H994" s="411"/>
      <c r="I994" s="411"/>
      <c r="J994" s="411"/>
      <c r="K994" s="411"/>
      <c r="L994" s="411"/>
      <c r="M994" s="411"/>
      <c r="N994" s="411"/>
      <c r="O994" s="411"/>
      <c r="P994" s="411"/>
      <c r="Q994" s="411"/>
      <c r="R994" s="411"/>
      <c r="S994" s="411"/>
      <c r="T994" s="411"/>
    </row>
    <row r="995" spans="1:20" ht="15" thickBot="1" x14ac:dyDescent="0.4">
      <c r="A995" s="412">
        <v>7472.67</v>
      </c>
      <c r="B995" s="413">
        <v>1E-3</v>
      </c>
      <c r="C995" s="413">
        <v>7.0000000000000001E-3</v>
      </c>
      <c r="D995" s="414">
        <f t="shared" si="31"/>
        <v>747.26699999999994</v>
      </c>
      <c r="E995" s="414"/>
      <c r="F995" s="415">
        <f t="shared" si="32"/>
        <v>-3007.6419999999043</v>
      </c>
      <c r="G995" s="411"/>
      <c r="H995" s="411"/>
      <c r="I995" s="411"/>
      <c r="J995" s="411"/>
      <c r="K995" s="411"/>
      <c r="L995" s="411"/>
      <c r="M995" s="411"/>
      <c r="N995" s="411"/>
      <c r="O995" s="411"/>
      <c r="P995" s="411"/>
      <c r="Q995" s="411"/>
      <c r="R995" s="411"/>
      <c r="S995" s="411"/>
      <c r="T995" s="411"/>
    </row>
    <row r="996" spans="1:20" ht="15" thickBot="1" x14ac:dyDescent="0.4">
      <c r="A996" s="412">
        <v>7472.8</v>
      </c>
      <c r="B996" s="413">
        <v>1E-3</v>
      </c>
      <c r="C996" s="413">
        <v>6.0000000000000001E-3</v>
      </c>
      <c r="D996" s="414">
        <f t="shared" si="31"/>
        <v>747.28</v>
      </c>
      <c r="E996" s="414"/>
      <c r="F996" s="415">
        <f t="shared" si="32"/>
        <v>-2260.3619999999046</v>
      </c>
      <c r="G996" s="411"/>
      <c r="H996" s="411"/>
      <c r="I996" s="411"/>
      <c r="J996" s="411"/>
      <c r="K996" s="411"/>
      <c r="L996" s="411"/>
      <c r="M996" s="411"/>
      <c r="N996" s="411"/>
      <c r="O996" s="411"/>
      <c r="P996" s="411"/>
      <c r="Q996" s="411"/>
      <c r="R996" s="411"/>
      <c r="S996" s="411"/>
      <c r="T996" s="411"/>
    </row>
    <row r="997" spans="1:20" ht="15" thickBot="1" x14ac:dyDescent="0.4">
      <c r="A997" s="412">
        <v>7743.14</v>
      </c>
      <c r="B997" s="413">
        <v>1E-3</v>
      </c>
      <c r="C997" s="413">
        <v>5.0000000000000001E-3</v>
      </c>
      <c r="D997" s="414">
        <f t="shared" si="31"/>
        <v>774.31399999999996</v>
      </c>
      <c r="E997" s="414"/>
      <c r="F997" s="415">
        <f t="shared" si="32"/>
        <v>-1486.0479999999047</v>
      </c>
      <c r="G997" s="411"/>
      <c r="H997" s="411"/>
      <c r="I997" s="411"/>
      <c r="J997" s="411"/>
      <c r="K997" s="411"/>
      <c r="L997" s="411"/>
      <c r="M997" s="411"/>
      <c r="N997" s="411"/>
      <c r="O997" s="411"/>
      <c r="P997" s="411"/>
      <c r="Q997" s="411"/>
      <c r="R997" s="411"/>
      <c r="S997" s="411"/>
      <c r="T997" s="411"/>
    </row>
    <row r="998" spans="1:20" ht="15" thickBot="1" x14ac:dyDescent="0.4">
      <c r="A998" s="412">
        <v>7772.1</v>
      </c>
      <c r="B998" s="413">
        <v>1E-3</v>
      </c>
      <c r="C998" s="413">
        <v>4.0000000000000001E-3</v>
      </c>
      <c r="D998" s="414">
        <f t="shared" si="31"/>
        <v>777.21</v>
      </c>
      <c r="E998" s="414"/>
      <c r="F998" s="415">
        <f t="shared" si="32"/>
        <v>-708.8379999999047</v>
      </c>
      <c r="G998" s="411"/>
      <c r="H998" s="411"/>
      <c r="I998" s="411"/>
      <c r="J998" s="411"/>
      <c r="K998" s="411"/>
      <c r="L998" s="411"/>
      <c r="M998" s="411"/>
      <c r="N998" s="411"/>
      <c r="O998" s="411"/>
      <c r="P998" s="411"/>
      <c r="Q998" s="411"/>
      <c r="R998" s="411"/>
      <c r="S998" s="411"/>
      <c r="T998" s="411"/>
    </row>
    <row r="999" spans="1:20" ht="15" thickBot="1" x14ac:dyDescent="0.4">
      <c r="A999" s="412">
        <v>7843.83</v>
      </c>
      <c r="B999" s="413">
        <v>1E-3</v>
      </c>
      <c r="C999" s="413">
        <v>3.0000000000000001E-3</v>
      </c>
      <c r="D999" s="414">
        <f t="shared" si="31"/>
        <v>784.38300000000004</v>
      </c>
      <c r="E999" s="414"/>
      <c r="F999" s="415">
        <f t="shared" si="32"/>
        <v>75.545000000095342</v>
      </c>
      <c r="G999" s="411"/>
      <c r="H999" s="411"/>
      <c r="I999" s="411"/>
      <c r="J999" s="411"/>
      <c r="K999" s="411"/>
      <c r="L999" s="411"/>
      <c r="M999" s="411"/>
      <c r="N999" s="411"/>
      <c r="O999" s="411"/>
      <c r="P999" s="411"/>
      <c r="Q999" s="411"/>
      <c r="R999" s="411"/>
      <c r="S999" s="411"/>
      <c r="T999" s="411"/>
    </row>
    <row r="1000" spans="1:20" ht="15" thickBot="1" x14ac:dyDescent="0.4">
      <c r="A1000" s="412">
        <v>8130.63</v>
      </c>
      <c r="B1000" s="413">
        <v>1E-3</v>
      </c>
      <c r="C1000" s="413">
        <v>2E-3</v>
      </c>
      <c r="D1000" s="414">
        <f t="shared" si="31"/>
        <v>813.06299999999999</v>
      </c>
      <c r="E1000" s="414"/>
      <c r="F1000" s="415">
        <f t="shared" si="32"/>
        <v>888.60800000009533</v>
      </c>
      <c r="G1000" s="411"/>
      <c r="H1000" s="411"/>
      <c r="I1000" s="411"/>
      <c r="J1000" s="411"/>
      <c r="K1000" s="411"/>
      <c r="L1000" s="411"/>
      <c r="M1000" s="411"/>
      <c r="N1000" s="411"/>
      <c r="O1000" s="411"/>
      <c r="P1000" s="411"/>
      <c r="Q1000" s="411"/>
      <c r="R1000" s="411"/>
      <c r="S1000" s="411"/>
      <c r="T1000" s="411"/>
    </row>
    <row r="1001" spans="1:20" ht="15" thickBot="1" x14ac:dyDescent="0.4">
      <c r="A1001" s="412">
        <v>50318.16</v>
      </c>
      <c r="B1001" s="413">
        <v>1E-3</v>
      </c>
      <c r="C1001" s="413">
        <v>1E-3</v>
      </c>
      <c r="D1001" s="414">
        <f t="shared" si="31"/>
        <v>5031.8160000000007</v>
      </c>
      <c r="E1001" s="414"/>
      <c r="F1001" s="415">
        <f t="shared" si="32"/>
        <v>5920.4240000000964</v>
      </c>
      <c r="G1001" s="411"/>
      <c r="H1001" s="411"/>
      <c r="I1001" s="411"/>
      <c r="J1001" s="411"/>
      <c r="K1001" s="411"/>
      <c r="L1001" s="411"/>
      <c r="M1001" s="411"/>
      <c r="N1001" s="411"/>
      <c r="O1001" s="411"/>
      <c r="P1001" s="411"/>
      <c r="Q1001" s="411"/>
      <c r="R1001" s="411"/>
      <c r="S1001" s="411"/>
      <c r="T1001" s="411"/>
    </row>
    <row r="1002" spans="1:20" ht="15" thickBot="1" x14ac:dyDescent="0.4">
      <c r="A1002" s="448"/>
      <c r="B1002" s="411"/>
      <c r="C1002" s="411"/>
      <c r="D1002" s="414"/>
      <c r="E1002" s="414"/>
      <c r="F1002" s="415"/>
      <c r="G1002" s="411"/>
      <c r="H1002" s="411"/>
      <c r="I1002" s="411"/>
      <c r="J1002" s="411"/>
      <c r="K1002" s="411"/>
      <c r="L1002" s="411"/>
      <c r="M1002" s="411"/>
      <c r="N1002" s="411"/>
      <c r="O1002" s="411"/>
      <c r="P1002" s="411"/>
      <c r="Q1002" s="411"/>
      <c r="R1002" s="411"/>
      <c r="S1002" s="411"/>
      <c r="T1002" s="411"/>
    </row>
    <row r="1003" spans="1:20" ht="15" thickBot="1" x14ac:dyDescent="0.4">
      <c r="A1003" s="448"/>
    </row>
    <row r="1004" spans="1:20" ht="15" thickBot="1" x14ac:dyDescent="0.4">
      <c r="A1004" s="448"/>
    </row>
    <row r="1005" spans="1:20" ht="15" thickBot="1" x14ac:dyDescent="0.4">
      <c r="A1005" s="448"/>
    </row>
    <row r="1006" spans="1:20" ht="15" thickBot="1" x14ac:dyDescent="0.4">
      <c r="A1006" s="448"/>
    </row>
    <row r="1007" spans="1:20" ht="15" thickBot="1" x14ac:dyDescent="0.4">
      <c r="A1007" s="448"/>
    </row>
    <row r="1008" spans="1:20" ht="15" thickBot="1" x14ac:dyDescent="0.4">
      <c r="A1008" s="448"/>
    </row>
    <row r="1009" spans="1:1" ht="15" thickBot="1" x14ac:dyDescent="0.4">
      <c r="A1009" s="448"/>
    </row>
    <row r="1010" spans="1:1" ht="15" thickBot="1" x14ac:dyDescent="0.4">
      <c r="A1010" s="448"/>
    </row>
    <row r="1011" spans="1:1" ht="15" thickBot="1" x14ac:dyDescent="0.4">
      <c r="A1011" s="448"/>
    </row>
    <row r="1012" spans="1:1" ht="15" thickBot="1" x14ac:dyDescent="0.4">
      <c r="A1012" s="448"/>
    </row>
    <row r="1013" spans="1:1" ht="15" thickBot="1" x14ac:dyDescent="0.4">
      <c r="A1013" s="448"/>
    </row>
    <row r="1014" spans="1:1" ht="15" thickBot="1" x14ac:dyDescent="0.4">
      <c r="A1014" s="448"/>
    </row>
    <row r="1015" spans="1:1" ht="15" thickBot="1" x14ac:dyDescent="0.4">
      <c r="A1015" s="448"/>
    </row>
    <row r="1016" spans="1:1" ht="15" thickBot="1" x14ac:dyDescent="0.4">
      <c r="A1016" s="448"/>
    </row>
    <row r="1017" spans="1:1" ht="15" thickBot="1" x14ac:dyDescent="0.4">
      <c r="A1017" s="448"/>
    </row>
    <row r="1018" spans="1:1" ht="15" thickBot="1" x14ac:dyDescent="0.4">
      <c r="A1018" s="448"/>
    </row>
    <row r="1019" spans="1:1" ht="15" thickBot="1" x14ac:dyDescent="0.4">
      <c r="A1019" s="448"/>
    </row>
    <row r="1020" spans="1:1" ht="15" thickBot="1" x14ac:dyDescent="0.4">
      <c r="A1020" s="448"/>
    </row>
    <row r="1021" spans="1:1" ht="15" thickBot="1" x14ac:dyDescent="0.4">
      <c r="A1021" s="448"/>
    </row>
    <row r="1022" spans="1:1" ht="15" thickBot="1" x14ac:dyDescent="0.4">
      <c r="A1022" s="448"/>
    </row>
    <row r="1023" spans="1:1" ht="15" thickBot="1" x14ac:dyDescent="0.4">
      <c r="A1023" s="448"/>
    </row>
    <row r="1024" spans="1:1" ht="15" thickBot="1" x14ac:dyDescent="0.4">
      <c r="A1024" s="448"/>
    </row>
    <row r="1025" spans="1:1" ht="15" thickBot="1" x14ac:dyDescent="0.4">
      <c r="A1025" s="448"/>
    </row>
    <row r="1026" spans="1:1" ht="15" thickBot="1" x14ac:dyDescent="0.4">
      <c r="A1026" s="448"/>
    </row>
    <row r="1027" spans="1:1" ht="15" thickBot="1" x14ac:dyDescent="0.4">
      <c r="A1027" s="448"/>
    </row>
    <row r="1028" spans="1:1" ht="15" thickBot="1" x14ac:dyDescent="0.4">
      <c r="A1028" s="448"/>
    </row>
    <row r="1029" spans="1:1" ht="15" thickBot="1" x14ac:dyDescent="0.4">
      <c r="A1029" s="448"/>
    </row>
    <row r="1030" spans="1:1" ht="15" thickBot="1" x14ac:dyDescent="0.4">
      <c r="A1030" s="448"/>
    </row>
    <row r="1031" spans="1:1" ht="15" thickBot="1" x14ac:dyDescent="0.4">
      <c r="A1031" s="448"/>
    </row>
    <row r="1032" spans="1:1" ht="15" thickBot="1" x14ac:dyDescent="0.4">
      <c r="A1032" s="448"/>
    </row>
    <row r="1033" spans="1:1" ht="15" thickBot="1" x14ac:dyDescent="0.4">
      <c r="A1033" s="448"/>
    </row>
    <row r="1034" spans="1:1" ht="15" thickBot="1" x14ac:dyDescent="0.4">
      <c r="A1034" s="448"/>
    </row>
    <row r="1035" spans="1:1" ht="15" thickBot="1" x14ac:dyDescent="0.4">
      <c r="A1035" s="448"/>
    </row>
    <row r="1036" spans="1:1" ht="15" thickBot="1" x14ac:dyDescent="0.4">
      <c r="A1036" s="448"/>
    </row>
    <row r="1037" spans="1:1" ht="15" thickBot="1" x14ac:dyDescent="0.4">
      <c r="A1037" s="448"/>
    </row>
    <row r="1038" spans="1:1" ht="15" thickBot="1" x14ac:dyDescent="0.4">
      <c r="A1038" s="448"/>
    </row>
    <row r="1039" spans="1:1" ht="15" thickBot="1" x14ac:dyDescent="0.4">
      <c r="A1039" s="448"/>
    </row>
    <row r="1040" spans="1:1" ht="15" thickBot="1" x14ac:dyDescent="0.4">
      <c r="A1040" s="448"/>
    </row>
    <row r="1041" spans="1:1" ht="15" thickBot="1" x14ac:dyDescent="0.4">
      <c r="A1041" s="448"/>
    </row>
    <row r="1042" spans="1:1" ht="15" thickBot="1" x14ac:dyDescent="0.4">
      <c r="A1042" s="448"/>
    </row>
    <row r="1043" spans="1:1" ht="15" thickBot="1" x14ac:dyDescent="0.4">
      <c r="A1043" s="448"/>
    </row>
    <row r="1044" spans="1:1" ht="15" thickBot="1" x14ac:dyDescent="0.4">
      <c r="A1044" s="448"/>
    </row>
    <row r="1045" spans="1:1" ht="15" thickBot="1" x14ac:dyDescent="0.4">
      <c r="A1045" s="448"/>
    </row>
    <row r="1046" spans="1:1" ht="15" thickBot="1" x14ac:dyDescent="0.4">
      <c r="A1046" s="448"/>
    </row>
    <row r="1047" spans="1:1" ht="15" thickBot="1" x14ac:dyDescent="0.4">
      <c r="A1047" s="448"/>
    </row>
    <row r="1048" spans="1:1" ht="15" thickBot="1" x14ac:dyDescent="0.4">
      <c r="A1048" s="448"/>
    </row>
    <row r="1049" spans="1:1" ht="15" thickBot="1" x14ac:dyDescent="0.4">
      <c r="A1049" s="448"/>
    </row>
    <row r="1050" spans="1:1" ht="15" thickBot="1" x14ac:dyDescent="0.4">
      <c r="A1050" s="448"/>
    </row>
    <row r="1051" spans="1:1" ht="15" thickBot="1" x14ac:dyDescent="0.4">
      <c r="A1051" s="448"/>
    </row>
    <row r="1052" spans="1:1" ht="15" thickBot="1" x14ac:dyDescent="0.4">
      <c r="A1052" s="448"/>
    </row>
    <row r="1053" spans="1:1" ht="15" thickBot="1" x14ac:dyDescent="0.4">
      <c r="A1053" s="448"/>
    </row>
    <row r="1054" spans="1:1" ht="15" thickBot="1" x14ac:dyDescent="0.4">
      <c r="A1054" s="448"/>
    </row>
    <row r="1055" spans="1:1" ht="15" thickBot="1" x14ac:dyDescent="0.4">
      <c r="A1055" s="448"/>
    </row>
    <row r="1056" spans="1:1" ht="15" thickBot="1" x14ac:dyDescent="0.4">
      <c r="A1056" s="448"/>
    </row>
    <row r="1057" spans="1:1" ht="15" thickBot="1" x14ac:dyDescent="0.4">
      <c r="A1057" s="448"/>
    </row>
    <row r="1058" spans="1:1" ht="15" thickBot="1" x14ac:dyDescent="0.4">
      <c r="A1058" s="448"/>
    </row>
    <row r="1059" spans="1:1" ht="15" thickBot="1" x14ac:dyDescent="0.4">
      <c r="A1059" s="448"/>
    </row>
    <row r="1060" spans="1:1" ht="15" thickBot="1" x14ac:dyDescent="0.4">
      <c r="A1060" s="448"/>
    </row>
    <row r="1061" spans="1:1" ht="15" thickBot="1" x14ac:dyDescent="0.4">
      <c r="A1061" s="448"/>
    </row>
    <row r="1062" spans="1:1" ht="15" thickBot="1" x14ac:dyDescent="0.4">
      <c r="A1062" s="448"/>
    </row>
    <row r="1063" spans="1:1" ht="15" thickBot="1" x14ac:dyDescent="0.4">
      <c r="A1063" s="448"/>
    </row>
    <row r="1064" spans="1:1" ht="15" thickBot="1" x14ac:dyDescent="0.4">
      <c r="A1064" s="448"/>
    </row>
    <row r="1065" spans="1:1" ht="15" thickBot="1" x14ac:dyDescent="0.4">
      <c r="A1065" s="448"/>
    </row>
    <row r="1066" spans="1:1" ht="15" thickBot="1" x14ac:dyDescent="0.4">
      <c r="A1066" s="448"/>
    </row>
    <row r="1067" spans="1:1" ht="15" thickBot="1" x14ac:dyDescent="0.4">
      <c r="A1067" s="448"/>
    </row>
    <row r="1068" spans="1:1" ht="15" thickBot="1" x14ac:dyDescent="0.4">
      <c r="A1068" s="448"/>
    </row>
    <row r="1069" spans="1:1" ht="15" thickBot="1" x14ac:dyDescent="0.4">
      <c r="A1069" s="448"/>
    </row>
    <row r="1070" spans="1:1" ht="15" thickBot="1" x14ac:dyDescent="0.4">
      <c r="A1070" s="448"/>
    </row>
    <row r="1071" spans="1:1" ht="15" thickBot="1" x14ac:dyDescent="0.4">
      <c r="A1071" s="448"/>
    </row>
    <row r="1072" spans="1:1" ht="15" thickBot="1" x14ac:dyDescent="0.4">
      <c r="A1072" s="448"/>
    </row>
    <row r="1073" spans="1:1" ht="15" thickBot="1" x14ac:dyDescent="0.4">
      <c r="A1073" s="448"/>
    </row>
    <row r="1074" spans="1:1" ht="15" thickBot="1" x14ac:dyDescent="0.4">
      <c r="A1074" s="448"/>
    </row>
    <row r="1075" spans="1:1" ht="15" thickBot="1" x14ac:dyDescent="0.4">
      <c r="A1075" s="448"/>
    </row>
    <row r="1076" spans="1:1" ht="15" thickBot="1" x14ac:dyDescent="0.4">
      <c r="A1076" s="448"/>
    </row>
    <row r="1077" spans="1:1" ht="15" thickBot="1" x14ac:dyDescent="0.4">
      <c r="A1077" s="448"/>
    </row>
    <row r="1078" spans="1:1" ht="15" thickBot="1" x14ac:dyDescent="0.4">
      <c r="A1078" s="448"/>
    </row>
    <row r="1079" spans="1:1" ht="15" thickBot="1" x14ac:dyDescent="0.4">
      <c r="A1079" s="448"/>
    </row>
    <row r="1080" spans="1:1" ht="15" thickBot="1" x14ac:dyDescent="0.4">
      <c r="A1080" s="448"/>
    </row>
    <row r="1081" spans="1:1" ht="15" thickBot="1" x14ac:dyDescent="0.4">
      <c r="A1081" s="448"/>
    </row>
    <row r="1082" spans="1:1" ht="15" thickBot="1" x14ac:dyDescent="0.4">
      <c r="A1082" s="448"/>
    </row>
    <row r="1083" spans="1:1" ht="15" thickBot="1" x14ac:dyDescent="0.4">
      <c r="A1083" s="448"/>
    </row>
    <row r="1084" spans="1:1" ht="15" thickBot="1" x14ac:dyDescent="0.4">
      <c r="A1084" s="448"/>
    </row>
    <row r="1085" spans="1:1" ht="15" thickBot="1" x14ac:dyDescent="0.4">
      <c r="A1085" s="448"/>
    </row>
    <row r="1086" spans="1:1" ht="15" thickBot="1" x14ac:dyDescent="0.4">
      <c r="A1086" s="448"/>
    </row>
    <row r="1087" spans="1:1" ht="15" thickBot="1" x14ac:dyDescent="0.4">
      <c r="A1087" s="448"/>
    </row>
    <row r="1088" spans="1:1" ht="15" thickBot="1" x14ac:dyDescent="0.4">
      <c r="A1088" s="448"/>
    </row>
    <row r="1089" spans="1:1" ht="15" thickBot="1" x14ac:dyDescent="0.4">
      <c r="A1089" s="448"/>
    </row>
    <row r="1090" spans="1:1" ht="15" thickBot="1" x14ac:dyDescent="0.4">
      <c r="A1090" s="448"/>
    </row>
    <row r="1091" spans="1:1" ht="15" thickBot="1" x14ac:dyDescent="0.4">
      <c r="A1091" s="448"/>
    </row>
    <row r="1092" spans="1:1" ht="15" thickBot="1" x14ac:dyDescent="0.4">
      <c r="A1092" s="448"/>
    </row>
    <row r="1093" spans="1:1" ht="15" thickBot="1" x14ac:dyDescent="0.4">
      <c r="A1093" s="448"/>
    </row>
    <row r="1094" spans="1:1" ht="15" thickBot="1" x14ac:dyDescent="0.4">
      <c r="A1094" s="448"/>
    </row>
    <row r="1095" spans="1:1" ht="15" thickBot="1" x14ac:dyDescent="0.4">
      <c r="A1095" s="448"/>
    </row>
    <row r="1096" spans="1:1" ht="15" thickBot="1" x14ac:dyDescent="0.4">
      <c r="A1096" s="448"/>
    </row>
    <row r="1097" spans="1:1" ht="15" thickBot="1" x14ac:dyDescent="0.4">
      <c r="A1097" s="448"/>
    </row>
    <row r="1098" spans="1:1" ht="15" thickBot="1" x14ac:dyDescent="0.4">
      <c r="A1098" s="448"/>
    </row>
    <row r="1099" spans="1:1" ht="15" thickBot="1" x14ac:dyDescent="0.4">
      <c r="A1099" s="448"/>
    </row>
    <row r="1100" spans="1:1" ht="15" thickBot="1" x14ac:dyDescent="0.4">
      <c r="A1100" s="448"/>
    </row>
    <row r="1101" spans="1:1" ht="15" thickBot="1" x14ac:dyDescent="0.4">
      <c r="A1101" s="448"/>
    </row>
    <row r="1102" spans="1:1" ht="15" thickBot="1" x14ac:dyDescent="0.4">
      <c r="A1102" s="448"/>
    </row>
    <row r="1103" spans="1:1" ht="15" thickBot="1" x14ac:dyDescent="0.4">
      <c r="A1103" s="448"/>
    </row>
    <row r="1104" spans="1:1" ht="15" thickBot="1" x14ac:dyDescent="0.4">
      <c r="A1104" s="448"/>
    </row>
    <row r="1105" spans="1:1" ht="15" thickBot="1" x14ac:dyDescent="0.4">
      <c r="A1105" s="448"/>
    </row>
    <row r="1106" spans="1:1" ht="15" thickBot="1" x14ac:dyDescent="0.4">
      <c r="A1106" s="448"/>
    </row>
    <row r="1107" spans="1:1" ht="15" thickBot="1" x14ac:dyDescent="0.4">
      <c r="A1107" s="448"/>
    </row>
    <row r="1108" spans="1:1" ht="15" thickBot="1" x14ac:dyDescent="0.4">
      <c r="A1108" s="448"/>
    </row>
    <row r="1109" spans="1:1" ht="15" thickBot="1" x14ac:dyDescent="0.4">
      <c r="A1109" s="448"/>
    </row>
    <row r="1110" spans="1:1" ht="15" thickBot="1" x14ac:dyDescent="0.4">
      <c r="A1110" s="448"/>
    </row>
    <row r="1111" spans="1:1" ht="15" thickBot="1" x14ac:dyDescent="0.4">
      <c r="A1111" s="448"/>
    </row>
    <row r="1112" spans="1:1" ht="15" thickBot="1" x14ac:dyDescent="0.4">
      <c r="A1112" s="448"/>
    </row>
    <row r="1113" spans="1:1" ht="15" thickBot="1" x14ac:dyDescent="0.4">
      <c r="A1113" s="448"/>
    </row>
    <row r="1114" spans="1:1" ht="15" thickBot="1" x14ac:dyDescent="0.4">
      <c r="A1114" s="448"/>
    </row>
    <row r="1115" spans="1:1" ht="15" thickBot="1" x14ac:dyDescent="0.4">
      <c r="A1115" s="448"/>
    </row>
    <row r="1116" spans="1:1" ht="15" thickBot="1" x14ac:dyDescent="0.4">
      <c r="A1116" s="448"/>
    </row>
    <row r="1117" spans="1:1" ht="15" thickBot="1" x14ac:dyDescent="0.4">
      <c r="A1117" s="448"/>
    </row>
    <row r="1118" spans="1:1" ht="15" thickBot="1" x14ac:dyDescent="0.4">
      <c r="A1118" s="448"/>
    </row>
    <row r="1119" spans="1:1" ht="15" thickBot="1" x14ac:dyDescent="0.4">
      <c r="A1119" s="448"/>
    </row>
    <row r="1120" spans="1:1" ht="15" thickBot="1" x14ac:dyDescent="0.4">
      <c r="A1120" s="448"/>
    </row>
    <row r="1121" spans="1:1" ht="15" thickBot="1" x14ac:dyDescent="0.4">
      <c r="A1121" s="448"/>
    </row>
    <row r="1122" spans="1:1" ht="15" thickBot="1" x14ac:dyDescent="0.4">
      <c r="A1122" s="448"/>
    </row>
    <row r="1123" spans="1:1" ht="15" thickBot="1" x14ac:dyDescent="0.4">
      <c r="A1123" s="448"/>
    </row>
    <row r="1124" spans="1:1" ht="15" thickBot="1" x14ac:dyDescent="0.4">
      <c r="A1124" s="448"/>
    </row>
    <row r="1125" spans="1:1" ht="15" thickBot="1" x14ac:dyDescent="0.4">
      <c r="A1125" s="448"/>
    </row>
    <row r="1126" spans="1:1" ht="15" thickBot="1" x14ac:dyDescent="0.4">
      <c r="A1126" s="448"/>
    </row>
    <row r="1127" spans="1:1" ht="15" thickBot="1" x14ac:dyDescent="0.4">
      <c r="A1127" s="448"/>
    </row>
    <row r="1128" spans="1:1" ht="15" thickBot="1" x14ac:dyDescent="0.4">
      <c r="A1128" s="448"/>
    </row>
    <row r="1129" spans="1:1" ht="15" thickBot="1" x14ac:dyDescent="0.4">
      <c r="A1129" s="448"/>
    </row>
    <row r="1130" spans="1:1" ht="15" thickBot="1" x14ac:dyDescent="0.4">
      <c r="A1130" s="448"/>
    </row>
    <row r="1131" spans="1:1" ht="15" thickBot="1" x14ac:dyDescent="0.4">
      <c r="A1131" s="448"/>
    </row>
    <row r="1132" spans="1:1" ht="15" thickBot="1" x14ac:dyDescent="0.4">
      <c r="A1132" s="448"/>
    </row>
    <row r="1133" spans="1:1" ht="15" thickBot="1" x14ac:dyDescent="0.4">
      <c r="A1133" s="448"/>
    </row>
    <row r="1134" spans="1:1" ht="15" thickBot="1" x14ac:dyDescent="0.4">
      <c r="A1134" s="448"/>
    </row>
    <row r="1135" spans="1:1" ht="15" thickBot="1" x14ac:dyDescent="0.4">
      <c r="A1135" s="448"/>
    </row>
    <row r="1136" spans="1:1" ht="15" thickBot="1" x14ac:dyDescent="0.4">
      <c r="A1136" s="448"/>
    </row>
    <row r="1137" spans="1:1" ht="15" thickBot="1" x14ac:dyDescent="0.4">
      <c r="A1137" s="448"/>
    </row>
    <row r="1138" spans="1:1" ht="15" thickBot="1" x14ac:dyDescent="0.4">
      <c r="A1138" s="448"/>
    </row>
    <row r="1139" spans="1:1" ht="15" thickBot="1" x14ac:dyDescent="0.4">
      <c r="A1139" s="448"/>
    </row>
    <row r="1140" spans="1:1" ht="15" thickBot="1" x14ac:dyDescent="0.4">
      <c r="A1140" s="448"/>
    </row>
    <row r="1141" spans="1:1" ht="15" thickBot="1" x14ac:dyDescent="0.4">
      <c r="A1141" s="448"/>
    </row>
    <row r="1142" spans="1:1" ht="15" thickBot="1" x14ac:dyDescent="0.4">
      <c r="A1142" s="448"/>
    </row>
    <row r="1143" spans="1:1" ht="15" thickBot="1" x14ac:dyDescent="0.4">
      <c r="A1143" s="448"/>
    </row>
    <row r="1144" spans="1:1" ht="15" thickBot="1" x14ac:dyDescent="0.4">
      <c r="A1144" s="448"/>
    </row>
    <row r="1145" spans="1:1" ht="15" thickBot="1" x14ac:dyDescent="0.4">
      <c r="A1145" s="448"/>
    </row>
    <row r="1146" spans="1:1" ht="15" thickBot="1" x14ac:dyDescent="0.4">
      <c r="A1146" s="448"/>
    </row>
    <row r="1147" spans="1:1" ht="15" thickBot="1" x14ac:dyDescent="0.4">
      <c r="A1147" s="448"/>
    </row>
    <row r="1148" spans="1:1" ht="15" thickBot="1" x14ac:dyDescent="0.4">
      <c r="A1148" s="448"/>
    </row>
    <row r="1149" spans="1:1" ht="15" thickBot="1" x14ac:dyDescent="0.4">
      <c r="A1149" s="448"/>
    </row>
    <row r="1150" spans="1:1" ht="15" thickBot="1" x14ac:dyDescent="0.4">
      <c r="A1150" s="448"/>
    </row>
    <row r="1151" spans="1:1" ht="15" thickBot="1" x14ac:dyDescent="0.4">
      <c r="A1151" s="448"/>
    </row>
    <row r="1152" spans="1:1" ht="15" thickBot="1" x14ac:dyDescent="0.4">
      <c r="A1152" s="448"/>
    </row>
    <row r="1153" spans="1:1" ht="15" thickBot="1" x14ac:dyDescent="0.4">
      <c r="A1153" s="448"/>
    </row>
    <row r="1154" spans="1:1" ht="15" thickBot="1" x14ac:dyDescent="0.4">
      <c r="A1154" s="448"/>
    </row>
    <row r="1155" spans="1:1" ht="15" thickBot="1" x14ac:dyDescent="0.4">
      <c r="A1155" s="448"/>
    </row>
    <row r="1156" spans="1:1" ht="15" thickBot="1" x14ac:dyDescent="0.4">
      <c r="A1156" s="448"/>
    </row>
    <row r="1157" spans="1:1" ht="15" thickBot="1" x14ac:dyDescent="0.4">
      <c r="A1157" s="448"/>
    </row>
    <row r="1158" spans="1:1" ht="15" thickBot="1" x14ac:dyDescent="0.4">
      <c r="A1158" s="448"/>
    </row>
    <row r="1159" spans="1:1" ht="15" thickBot="1" x14ac:dyDescent="0.4">
      <c r="A1159" s="448"/>
    </row>
    <row r="1160" spans="1:1" ht="15" thickBot="1" x14ac:dyDescent="0.4">
      <c r="A1160" s="448"/>
    </row>
    <row r="1161" spans="1:1" ht="15" thickBot="1" x14ac:dyDescent="0.4">
      <c r="A1161" s="448"/>
    </row>
    <row r="1162" spans="1:1" ht="15" thickBot="1" x14ac:dyDescent="0.4">
      <c r="A1162" s="448"/>
    </row>
    <row r="1163" spans="1:1" ht="15" thickBot="1" x14ac:dyDescent="0.4">
      <c r="A1163" s="448"/>
    </row>
    <row r="1164" spans="1:1" ht="15" thickBot="1" x14ac:dyDescent="0.4">
      <c r="A1164" s="448"/>
    </row>
    <row r="1165" spans="1:1" ht="15" thickBot="1" x14ac:dyDescent="0.4">
      <c r="A1165" s="448"/>
    </row>
    <row r="1166" spans="1:1" ht="15" thickBot="1" x14ac:dyDescent="0.4">
      <c r="A1166" s="448"/>
    </row>
    <row r="1167" spans="1:1" ht="15" thickBot="1" x14ac:dyDescent="0.4">
      <c r="A1167" s="448"/>
    </row>
    <row r="1168" spans="1:1" ht="15" thickBot="1" x14ac:dyDescent="0.4">
      <c r="A1168" s="448"/>
    </row>
    <row r="1169" spans="1:1" ht="15" thickBot="1" x14ac:dyDescent="0.4">
      <c r="A1169" s="448"/>
    </row>
    <row r="1170" spans="1:1" ht="15" thickBot="1" x14ac:dyDescent="0.4">
      <c r="A1170" s="448"/>
    </row>
    <row r="1171" spans="1:1" ht="15" thickBot="1" x14ac:dyDescent="0.4">
      <c r="A1171" s="448"/>
    </row>
    <row r="1172" spans="1:1" ht="15" thickBot="1" x14ac:dyDescent="0.4">
      <c r="A1172" s="448"/>
    </row>
    <row r="1173" spans="1:1" ht="15" thickBot="1" x14ac:dyDescent="0.4">
      <c r="A1173" s="448"/>
    </row>
    <row r="1174" spans="1:1" ht="15" thickBot="1" x14ac:dyDescent="0.4">
      <c r="A1174" s="448"/>
    </row>
    <row r="1175" spans="1:1" ht="15" thickBot="1" x14ac:dyDescent="0.4">
      <c r="A1175" s="448"/>
    </row>
    <row r="1176" spans="1:1" ht="15" thickBot="1" x14ac:dyDescent="0.4">
      <c r="A1176" s="448"/>
    </row>
    <row r="1177" spans="1:1" ht="15" thickBot="1" x14ac:dyDescent="0.4">
      <c r="A1177" s="448"/>
    </row>
    <row r="1178" spans="1:1" ht="15" thickBot="1" x14ac:dyDescent="0.4">
      <c r="A1178" s="448"/>
    </row>
    <row r="1179" spans="1:1" ht="15" thickBot="1" x14ac:dyDescent="0.4">
      <c r="A1179" s="448"/>
    </row>
    <row r="1180" spans="1:1" ht="15" thickBot="1" x14ac:dyDescent="0.4">
      <c r="A1180" s="448"/>
    </row>
    <row r="1181" spans="1:1" ht="15" thickBot="1" x14ac:dyDescent="0.4">
      <c r="A1181" s="448"/>
    </row>
    <row r="1182" spans="1:1" ht="15" thickBot="1" x14ac:dyDescent="0.4">
      <c r="A1182" s="448"/>
    </row>
    <row r="1183" spans="1:1" ht="15" thickBot="1" x14ac:dyDescent="0.4">
      <c r="A1183" s="448"/>
    </row>
    <row r="1184" spans="1:1" ht="15" thickBot="1" x14ac:dyDescent="0.4">
      <c r="A1184" s="448"/>
    </row>
    <row r="1185" spans="1:1" ht="15" thickBot="1" x14ac:dyDescent="0.4">
      <c r="A1185" s="448"/>
    </row>
    <row r="1186" spans="1:1" ht="15" thickBot="1" x14ac:dyDescent="0.4">
      <c r="A1186" s="448"/>
    </row>
    <row r="1187" spans="1:1" ht="15" thickBot="1" x14ac:dyDescent="0.4">
      <c r="A1187" s="448"/>
    </row>
    <row r="1188" spans="1:1" ht="15" thickBot="1" x14ac:dyDescent="0.4">
      <c r="A1188" s="448"/>
    </row>
    <row r="1189" spans="1:1" ht="15" thickBot="1" x14ac:dyDescent="0.4">
      <c r="A1189" s="448"/>
    </row>
    <row r="1190" spans="1:1" ht="15" thickBot="1" x14ac:dyDescent="0.4">
      <c r="A1190" s="448"/>
    </row>
    <row r="1191" spans="1:1" ht="15" thickBot="1" x14ac:dyDescent="0.4">
      <c r="A1191" s="448"/>
    </row>
    <row r="1192" spans="1:1" ht="15" thickBot="1" x14ac:dyDescent="0.4">
      <c r="A1192" s="448"/>
    </row>
    <row r="1193" spans="1:1" ht="15" thickBot="1" x14ac:dyDescent="0.4">
      <c r="A1193" s="448"/>
    </row>
    <row r="1194" spans="1:1" ht="15" thickBot="1" x14ac:dyDescent="0.4">
      <c r="A1194" s="448"/>
    </row>
    <row r="1195" spans="1:1" ht="15" thickBot="1" x14ac:dyDescent="0.4">
      <c r="A1195" s="448"/>
    </row>
    <row r="1196" spans="1:1" ht="15" thickBot="1" x14ac:dyDescent="0.4">
      <c r="A1196" s="448"/>
    </row>
    <row r="1197" spans="1:1" ht="15" thickBot="1" x14ac:dyDescent="0.4">
      <c r="A1197" s="448"/>
    </row>
    <row r="1198" spans="1:1" ht="15" thickBot="1" x14ac:dyDescent="0.4">
      <c r="A1198" s="448"/>
    </row>
    <row r="1199" spans="1:1" ht="15" thickBot="1" x14ac:dyDescent="0.4">
      <c r="A1199" s="448"/>
    </row>
    <row r="1200" spans="1:1" ht="15" thickBot="1" x14ac:dyDescent="0.4">
      <c r="A1200" s="448"/>
    </row>
    <row r="1201" spans="1:1" ht="15" thickBot="1" x14ac:dyDescent="0.4">
      <c r="A1201" s="448"/>
    </row>
    <row r="1202" spans="1:1" ht="15" thickBot="1" x14ac:dyDescent="0.4">
      <c r="A1202" s="448"/>
    </row>
    <row r="1203" spans="1:1" ht="15" thickBot="1" x14ac:dyDescent="0.4">
      <c r="A1203" s="448"/>
    </row>
    <row r="1204" spans="1:1" ht="15" thickBot="1" x14ac:dyDescent="0.4">
      <c r="A1204" s="448"/>
    </row>
    <row r="1205" spans="1:1" ht="15" thickBot="1" x14ac:dyDescent="0.4">
      <c r="A1205" s="448"/>
    </row>
    <row r="1206" spans="1:1" ht="15" thickBot="1" x14ac:dyDescent="0.4">
      <c r="A1206" s="448"/>
    </row>
    <row r="1207" spans="1:1" ht="15" thickBot="1" x14ac:dyDescent="0.4">
      <c r="A1207" s="448"/>
    </row>
    <row r="1208" spans="1:1" ht="15" thickBot="1" x14ac:dyDescent="0.4">
      <c r="A1208" s="448"/>
    </row>
    <row r="1209" spans="1:1" ht="15" thickBot="1" x14ac:dyDescent="0.4">
      <c r="A1209" s="448"/>
    </row>
    <row r="1210" spans="1:1" ht="15" thickBot="1" x14ac:dyDescent="0.4">
      <c r="A1210" s="448"/>
    </row>
    <row r="1211" spans="1:1" ht="15" thickBot="1" x14ac:dyDescent="0.4">
      <c r="A1211" s="448"/>
    </row>
    <row r="1212" spans="1:1" ht="15" thickBot="1" x14ac:dyDescent="0.4">
      <c r="A1212" s="448"/>
    </row>
    <row r="1213" spans="1:1" ht="15" thickBot="1" x14ac:dyDescent="0.4">
      <c r="A1213" s="448"/>
    </row>
    <row r="1214" spans="1:1" ht="15" thickBot="1" x14ac:dyDescent="0.4">
      <c r="A1214" s="448"/>
    </row>
    <row r="1215" spans="1:1" ht="15" thickBot="1" x14ac:dyDescent="0.4">
      <c r="A1215" s="448"/>
    </row>
    <row r="1216" spans="1:1" ht="15" thickBot="1" x14ac:dyDescent="0.4">
      <c r="A1216" s="448"/>
    </row>
    <row r="1217" spans="1:1" ht="15" thickBot="1" x14ac:dyDescent="0.4">
      <c r="A1217" s="448"/>
    </row>
    <row r="1218" spans="1:1" ht="15" thickBot="1" x14ac:dyDescent="0.4">
      <c r="A1218" s="448"/>
    </row>
    <row r="1219" spans="1:1" ht="15" thickBot="1" x14ac:dyDescent="0.4">
      <c r="A1219" s="448"/>
    </row>
    <row r="1220" spans="1:1" ht="15" thickBot="1" x14ac:dyDescent="0.4">
      <c r="A1220" s="448"/>
    </row>
    <row r="1221" spans="1:1" ht="15" thickBot="1" x14ac:dyDescent="0.4">
      <c r="A1221" s="448"/>
    </row>
    <row r="1222" spans="1:1" ht="15" thickBot="1" x14ac:dyDescent="0.4">
      <c r="A1222" s="448"/>
    </row>
    <row r="1223" spans="1:1" ht="15" thickBot="1" x14ac:dyDescent="0.4">
      <c r="A1223" s="448"/>
    </row>
    <row r="1224" spans="1:1" ht="15" thickBot="1" x14ac:dyDescent="0.4">
      <c r="A1224" s="448"/>
    </row>
    <row r="1225" spans="1:1" ht="15" thickBot="1" x14ac:dyDescent="0.4">
      <c r="A1225" s="448"/>
    </row>
    <row r="1226" spans="1:1" ht="15" thickBot="1" x14ac:dyDescent="0.4">
      <c r="A1226" s="448"/>
    </row>
    <row r="1227" spans="1:1" ht="15" thickBot="1" x14ac:dyDescent="0.4">
      <c r="A1227" s="448"/>
    </row>
    <row r="1228" spans="1:1" ht="15" thickBot="1" x14ac:dyDescent="0.4">
      <c r="A1228" s="448"/>
    </row>
    <row r="1229" spans="1:1" ht="15" thickBot="1" x14ac:dyDescent="0.4">
      <c r="A1229" s="448"/>
    </row>
    <row r="1230" spans="1:1" ht="15" thickBot="1" x14ac:dyDescent="0.4">
      <c r="A1230" s="448"/>
    </row>
    <row r="1231" spans="1:1" ht="15" thickBot="1" x14ac:dyDescent="0.4">
      <c r="A1231" s="448"/>
    </row>
    <row r="1232" spans="1:1" ht="15" thickBot="1" x14ac:dyDescent="0.4">
      <c r="A1232" s="448"/>
    </row>
    <row r="1233" spans="1:1" ht="15" thickBot="1" x14ac:dyDescent="0.4">
      <c r="A1233" s="448"/>
    </row>
    <row r="1234" spans="1:1" ht="15" thickBot="1" x14ac:dyDescent="0.4">
      <c r="A1234" s="448"/>
    </row>
    <row r="1235" spans="1:1" ht="15" thickBot="1" x14ac:dyDescent="0.4">
      <c r="A1235" s="448"/>
    </row>
    <row r="1236" spans="1:1" ht="15" thickBot="1" x14ac:dyDescent="0.4">
      <c r="A1236" s="448"/>
    </row>
    <row r="1237" spans="1:1" ht="15" thickBot="1" x14ac:dyDescent="0.4">
      <c r="A1237" s="448"/>
    </row>
    <row r="1238" spans="1:1" ht="15" thickBot="1" x14ac:dyDescent="0.4">
      <c r="A1238" s="448"/>
    </row>
    <row r="1239" spans="1:1" ht="15" thickBot="1" x14ac:dyDescent="0.4">
      <c r="A1239" s="448"/>
    </row>
    <row r="1240" spans="1:1" ht="15" thickBot="1" x14ac:dyDescent="0.4">
      <c r="A1240" s="448"/>
    </row>
    <row r="1241" spans="1:1" ht="15" thickBot="1" x14ac:dyDescent="0.4">
      <c r="A1241" s="448"/>
    </row>
    <row r="1242" spans="1:1" ht="15" thickBot="1" x14ac:dyDescent="0.4">
      <c r="A1242" s="448"/>
    </row>
    <row r="1243" spans="1:1" ht="15" thickBot="1" x14ac:dyDescent="0.4">
      <c r="A1243" s="448"/>
    </row>
    <row r="1244" spans="1:1" ht="15" thickBot="1" x14ac:dyDescent="0.4">
      <c r="A1244" s="448"/>
    </row>
    <row r="1245" spans="1:1" ht="15" thickBot="1" x14ac:dyDescent="0.4">
      <c r="A1245" s="448"/>
    </row>
    <row r="1246" spans="1:1" ht="15" thickBot="1" x14ac:dyDescent="0.4">
      <c r="A1246" s="448"/>
    </row>
    <row r="1247" spans="1:1" ht="15" thickBot="1" x14ac:dyDescent="0.4">
      <c r="A1247" s="448"/>
    </row>
    <row r="1248" spans="1:1" ht="15" thickBot="1" x14ac:dyDescent="0.4">
      <c r="A1248" s="448"/>
    </row>
    <row r="1249" spans="1:1" ht="15" thickBot="1" x14ac:dyDescent="0.4">
      <c r="A1249" s="448"/>
    </row>
    <row r="1250" spans="1:1" ht="15" thickBot="1" x14ac:dyDescent="0.4">
      <c r="A1250" s="448"/>
    </row>
    <row r="1251" spans="1:1" ht="15" thickBot="1" x14ac:dyDescent="0.4">
      <c r="A1251" s="448"/>
    </row>
    <row r="1252" spans="1:1" ht="15" thickBot="1" x14ac:dyDescent="0.4">
      <c r="A1252" s="448"/>
    </row>
  </sheetData>
  <mergeCells count="14">
    <mergeCell ref="P7:Q7"/>
    <mergeCell ref="J10:N10"/>
    <mergeCell ref="J11:K11"/>
    <mergeCell ref="L12:M12"/>
    <mergeCell ref="J3:L3"/>
    <mergeCell ref="J4:K4"/>
    <mergeCell ref="L4:M4"/>
    <mergeCell ref="N4:O4"/>
    <mergeCell ref="P4:Q4"/>
    <mergeCell ref="L13:M13"/>
    <mergeCell ref="J14:K14"/>
    <mergeCell ref="L15:M15"/>
    <mergeCell ref="L16:M16"/>
    <mergeCell ref="L7:M7"/>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9B809-3CA5-41B0-A5DC-6D514C6ACFC2}">
  <dimension ref="B2:C9"/>
  <sheetViews>
    <sheetView topLeftCell="A3" workbookViewId="0">
      <selection activeCell="E3" sqref="E3"/>
    </sheetView>
  </sheetViews>
  <sheetFormatPr defaultRowHeight="14.5" x14ac:dyDescent="0.35"/>
  <cols>
    <col min="2" max="2" width="20.81640625" customWidth="1"/>
    <col min="3" max="3" width="51.81640625" customWidth="1"/>
  </cols>
  <sheetData>
    <row r="2" spans="2:3" x14ac:dyDescent="0.35">
      <c r="B2" s="564" t="s">
        <v>1559</v>
      </c>
      <c r="C2" s="565" t="s">
        <v>1560</v>
      </c>
    </row>
    <row r="3" spans="2:3" ht="72.5" x14ac:dyDescent="0.35">
      <c r="B3" s="567" t="s">
        <v>1573</v>
      </c>
      <c r="C3" s="566" t="s">
        <v>1571</v>
      </c>
    </row>
    <row r="4" spans="2:3" ht="82" customHeight="1" x14ac:dyDescent="0.35">
      <c r="B4" s="567" t="s">
        <v>1570</v>
      </c>
      <c r="C4" s="566" t="s">
        <v>1572</v>
      </c>
    </row>
    <row r="5" spans="2:3" ht="72.5" x14ac:dyDescent="0.35">
      <c r="B5" s="567" t="s">
        <v>1568</v>
      </c>
      <c r="C5" s="566" t="s">
        <v>1569</v>
      </c>
    </row>
    <row r="6" spans="2:3" ht="72.5" x14ac:dyDescent="0.35">
      <c r="B6" s="567" t="s">
        <v>1567</v>
      </c>
      <c r="C6" s="566" t="s">
        <v>1566</v>
      </c>
    </row>
    <row r="7" spans="2:3" ht="72.5" x14ac:dyDescent="0.35">
      <c r="B7" s="567" t="s">
        <v>1565</v>
      </c>
      <c r="C7" s="566" t="s">
        <v>1574</v>
      </c>
    </row>
    <row r="8" spans="2:3" ht="72.5" x14ac:dyDescent="0.35">
      <c r="B8" s="567" t="s">
        <v>1563</v>
      </c>
      <c r="C8" s="566" t="s">
        <v>1564</v>
      </c>
    </row>
    <row r="9" spans="2:3" ht="72.5" x14ac:dyDescent="0.35">
      <c r="B9" s="567" t="s">
        <v>1561</v>
      </c>
      <c r="C9" s="566" t="s">
        <v>1562</v>
      </c>
    </row>
  </sheetData>
  <hyperlinks>
    <hyperlink ref="B9" r:id="rId1" display="https://thienlonggroup.com/storage/media/T4OuDa5Yi8dh4LCFCfjx7cb0NTUf72ipnlrdzNk5.pdf" xr:uid="{B6300694-2797-45F6-A4C2-BEB2FFB336E5}"/>
    <hyperlink ref="B8" r:id="rId2" display="https://thienlonggroup.com/storage/media/UGBr00gZZ2hyT9Jv5OAlq2QanVj4pYM9IufXCYPA.pdf" xr:uid="{D3D7EF2F-CAB1-4576-BBC0-06C595E057AC}"/>
    <hyperlink ref="B7" r:id="rId3" display="https://thienlonggroup.com/storage/media/PIKRYlxnk6260Z8tjBV5iusExh9M53hSKf0CZRbx.pdf" xr:uid="{54613989-37EE-4E60-ABD6-F230CE66F90D}"/>
    <hyperlink ref="B6" r:id="rId4" display="https://thienlonggroup.com/storage/media/5oYg6oThBPDPB7vwq7AWBl7yRQhzy0aNwx0mfNBw.pdf" xr:uid="{DBFEA3BE-E818-4774-87E1-4A5FA99960D1}"/>
    <hyperlink ref="B5" r:id="rId5" display="https://thienlonggroup.com/old_pdf/2020/02/TLG-Nghi-quyet-HDQT-vv-tam-ung-co-tuc-dot-2-nam-2019_signed.pdf" xr:uid="{7EE21BC7-B7E4-4B13-8EEE-E8EDCBA987AC}"/>
    <hyperlink ref="B4" r:id="rId6" display="https://thienlonggroup.com/old_pdf/2019/08/CBTT-NQHDQT-11-2019.pdf" xr:uid="{B426D41F-ECE6-4338-8A8B-2D09A3277F70}"/>
    <hyperlink ref="B3" r:id="rId7" display="https://thienlonggroup.com/old_pdf/2019/04/20190403_NQHDQT004.pdf" xr:uid="{BCDA0D0C-1FD7-4163-ADBD-832C15854ADE}"/>
  </hyperlinks>
  <pageMargins left="0.7" right="0.7" top="0.75" bottom="0.75" header="0.3" footer="0.3"/>
  <pageSetup orientation="portrait" r:id="rId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6CE647D1ADE0A49B752B9384417F62A" ma:contentTypeVersion="3" ma:contentTypeDescription="Create a new document." ma:contentTypeScope="" ma:versionID="d24b028f86d92882611f9e36cd35eac3">
  <xsd:schema xmlns:xsd="http://www.w3.org/2001/XMLSchema" xmlns:xs="http://www.w3.org/2001/XMLSchema" xmlns:p="http://schemas.microsoft.com/office/2006/metadata/properties" xmlns:ns3="6cc27034-7982-427c-9c12-e902a6c97213" targetNamespace="http://schemas.microsoft.com/office/2006/metadata/properties" ma:root="true" ma:fieldsID="d6353e08612ab4f089e707481b43279e" ns3:_="">
    <xsd:import namespace="6cc27034-7982-427c-9c12-e902a6c97213"/>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c27034-7982-427c-9c12-e902a6c972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6cc27034-7982-427c-9c12-e902a6c97213" xsi:nil="true"/>
  </documentManagement>
</p:properties>
</file>

<file path=customXml/item4.xml>�� 
</file>

<file path=customXml/itemProps1.xml><?xml version="1.0" encoding="utf-8"?>
<ds:datastoreItem xmlns:ds="http://schemas.openxmlformats.org/officeDocument/2006/customXml" ds:itemID="{1056BDE5-C105-4880-822F-337D688BAD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cc27034-7982-427c-9c12-e902a6c972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CB6EFF4-23F9-4DDF-B5DB-AD007DC71198}">
  <ds:schemaRefs>
    <ds:schemaRef ds:uri="http://schemas.microsoft.com/sharepoint/v3/contenttype/forms"/>
  </ds:schemaRefs>
</ds:datastoreItem>
</file>

<file path=customXml/itemProps3.xml><?xml version="1.0" encoding="utf-8"?>
<ds:datastoreItem xmlns:ds="http://schemas.openxmlformats.org/officeDocument/2006/customXml" ds:itemID="{34E959AC-9536-457F-BF53-38889259F143}">
  <ds:schemaRefs>
    <ds:schemaRef ds:uri="http://schemas.microsoft.com/office/infopath/2007/PartnerControls"/>
    <ds:schemaRef ds:uri="http://schemas.microsoft.com/office/2006/documentManagement/types"/>
    <ds:schemaRef ds:uri="http://purl.org/dc/terms/"/>
    <ds:schemaRef ds:uri="http://purl.org/dc/elements/1.1/"/>
    <ds:schemaRef ds:uri="http://www.w3.org/XML/1998/namespace"/>
    <ds:schemaRef ds:uri="http://purl.org/dc/dcmitype/"/>
    <ds:schemaRef ds:uri="http://schemas.openxmlformats.org/package/2006/metadata/core-properties"/>
    <ds:schemaRef ds:uri="6cc27034-7982-427c-9c12-e902a6c97213"/>
    <ds:schemaRef ds:uri="http://schemas.microsoft.com/office/2006/metadata/properties"/>
  </ds:schemaRefs>
</ds:datastoreItem>
</file>

<file path=customXml/itemProps4.xml><?xml version="1.0" encoding="utf-8"?>
<ds:datastoreItem xmlns:ds="http://schemas.openxmlformats.org/officeDocument/2006/customXml" ds:itemID="{C46001FE-4C87-4629-B1A7-7B32C6D4BCC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Table of contents</vt:lpstr>
      <vt:lpstr>Raw Data</vt:lpstr>
      <vt:lpstr>Data Clean</vt:lpstr>
      <vt:lpstr>Financial Ratios</vt:lpstr>
      <vt:lpstr>Depreciation Calculation</vt:lpstr>
      <vt:lpstr>Revenue Detail</vt:lpstr>
      <vt:lpstr>Assumptions</vt:lpstr>
      <vt:lpstr>FS</vt:lpstr>
      <vt:lpstr>WACC &amp; EBITDA Multiply</vt:lpstr>
      <vt:lpstr>Beta</vt:lpstr>
      <vt:lpstr>PE Valuation</vt:lpstr>
      <vt:lpstr>Relative Valuation</vt:lpstr>
      <vt:lpstr>DDM Valuation</vt:lpstr>
      <vt:lpstr>DDM Tornado</vt:lpstr>
      <vt:lpstr>DDM Scenario Analysis</vt:lpstr>
      <vt:lpstr>DCF</vt:lpstr>
      <vt:lpstr>DCF Scenario Analysis</vt:lpstr>
      <vt:lpstr>DCF Tornado</vt:lpstr>
      <vt:lpstr>APV</vt:lpstr>
      <vt:lpstr>APV Scencario Analysis</vt:lpstr>
      <vt:lpstr>APV Tornado</vt:lpstr>
      <vt:lpstr>Scenario Summary</vt:lpstr>
      <vt:lpstr>Valuation Summary</vt:lpstr>
      <vt:lpstr>Sensitivity</vt:lpstr>
      <vt:lpstr>Z-score</vt:lpstr>
      <vt:lpstr>VAR</vt:lpstr>
      <vt:lpstr>Dividend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Lê Đức</dc:creator>
  <cp:keywords/>
  <dc:description/>
  <cp:lastModifiedBy>DELL</cp:lastModifiedBy>
  <cp:revision/>
  <dcterms:created xsi:type="dcterms:W3CDTF">2023-06-13T09:15:19Z</dcterms:created>
  <dcterms:modified xsi:type="dcterms:W3CDTF">2023-07-27T11:55:34Z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0x010100F6CE647D1ADE0A49B752B9384417F62A</vt:lpwstr>
  </property>
</Properties>
</file>